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6E8734CD-4CA9-45FF-A7FC-9794EF4BB5C6}" xr6:coauthVersionLast="47" xr6:coauthVersionMax="47" xr10:uidLastSave="{00000000-0000-0000-0000-000000000000}"/>
  <workbookProtection lockStructure="1"/>
  <bookViews>
    <workbookView xWindow="28680" yWindow="-120" windowWidth="29040" windowHeight="15990" xr2:uid="{E906775F-6C48-4096-9F54-C1B7AF44B2B0}"/>
  </bookViews>
  <sheets>
    <sheet name="Intro" sheetId="6" r:id="rId1"/>
    <sheet name="Range" sheetId="1" r:id="rId2"/>
    <sheet name="Combinations" sheetId="2" state="hidden" r:id="rId3"/>
    <sheet name="Helper Grid" sheetId="4" state="hidden"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2" i="1" l="1"/>
  <c r="X2" i="1"/>
  <c r="W2" i="1"/>
  <c r="T2" i="1"/>
  <c r="U2" i="1"/>
  <c r="S2" i="1"/>
  <c r="Q2" i="1"/>
  <c r="P2" i="1"/>
  <c r="I2" i="1"/>
  <c r="J2" i="1"/>
  <c r="A5" i="4"/>
  <c r="D2" i="4"/>
  <c r="C1" i="4"/>
  <c r="B5" i="1"/>
  <c r="B6" i="1"/>
  <c r="B7" i="1"/>
  <c r="B8" i="1"/>
  <c r="B9" i="1"/>
  <c r="B10" i="1"/>
  <c r="B11" i="1"/>
  <c r="B12" i="1"/>
  <c r="B13" i="1"/>
  <c r="B14" i="1"/>
  <c r="B3" i="1"/>
  <c r="B4" i="1"/>
  <c r="L11" i="1"/>
  <c r="J13" i="1"/>
  <c r="K13" i="1"/>
  <c r="L13" i="1"/>
  <c r="L12" i="1"/>
  <c r="K12" i="1"/>
  <c r="M3" i="1"/>
  <c r="J5" i="1"/>
  <c r="M14" i="1" l="1"/>
  <c r="L14" i="1"/>
  <c r="K14" i="1"/>
  <c r="J11" i="1"/>
  <c r="J12" i="1"/>
  <c r="J14" i="1"/>
  <c r="I10" i="1"/>
  <c r="I11" i="1"/>
  <c r="I12" i="1"/>
  <c r="I13" i="1"/>
  <c r="I14" i="1"/>
  <c r="H9" i="1"/>
  <c r="H10" i="1"/>
  <c r="H11" i="1"/>
  <c r="H12" i="1"/>
  <c r="H13" i="1"/>
  <c r="H14" i="1"/>
  <c r="G8" i="1"/>
  <c r="G9" i="1"/>
  <c r="G10" i="1"/>
  <c r="G11" i="1"/>
  <c r="G12" i="1"/>
  <c r="G13" i="1"/>
  <c r="G14" i="1"/>
  <c r="F7" i="1"/>
  <c r="F8" i="1"/>
  <c r="F9" i="1"/>
  <c r="F10" i="1"/>
  <c r="F11" i="1"/>
  <c r="F12" i="1"/>
  <c r="F13" i="1"/>
  <c r="F14" i="1"/>
  <c r="E6" i="1"/>
  <c r="E7" i="1"/>
  <c r="E8" i="1"/>
  <c r="E9" i="1"/>
  <c r="E10" i="1"/>
  <c r="E11" i="1"/>
  <c r="E12" i="1"/>
  <c r="E13" i="1"/>
  <c r="E14" i="1"/>
  <c r="D5" i="1"/>
  <c r="D6" i="1"/>
  <c r="D7" i="1"/>
  <c r="D8" i="1"/>
  <c r="D9" i="1"/>
  <c r="D10" i="1"/>
  <c r="D11" i="1"/>
  <c r="D12" i="1"/>
  <c r="D13" i="1"/>
  <c r="D14" i="1"/>
  <c r="C4" i="1"/>
  <c r="C5" i="1"/>
  <c r="C6" i="1"/>
  <c r="C7" i="1"/>
  <c r="C8" i="1"/>
  <c r="C9" i="1"/>
  <c r="C10" i="1"/>
  <c r="C11" i="1"/>
  <c r="C12" i="1"/>
  <c r="C13" i="1"/>
  <c r="C14" i="1"/>
  <c r="N13" i="1"/>
  <c r="N12" i="1"/>
  <c r="M11" i="1"/>
  <c r="N11" i="1"/>
  <c r="K10" i="1"/>
  <c r="L10" i="1"/>
  <c r="M10" i="1"/>
  <c r="N10" i="1"/>
  <c r="J9" i="1"/>
  <c r="K9" i="1"/>
  <c r="L9" i="1"/>
  <c r="M9" i="1"/>
  <c r="N9" i="1"/>
  <c r="I8" i="1"/>
  <c r="J8" i="1"/>
  <c r="K8" i="1"/>
  <c r="L8" i="1"/>
  <c r="M8" i="1"/>
  <c r="N8" i="1"/>
  <c r="H7" i="1"/>
  <c r="I7" i="1"/>
  <c r="J7" i="1"/>
  <c r="K7" i="1"/>
  <c r="L7" i="1"/>
  <c r="M7" i="1"/>
  <c r="N7" i="1"/>
  <c r="G6" i="1"/>
  <c r="H6" i="1"/>
  <c r="I6" i="1"/>
  <c r="J6" i="1"/>
  <c r="K6" i="1"/>
  <c r="L6" i="1"/>
  <c r="M6" i="1"/>
  <c r="N6" i="1"/>
  <c r="F5" i="1"/>
  <c r="G5" i="1"/>
  <c r="H5" i="1"/>
  <c r="I5" i="1"/>
  <c r="K5" i="1"/>
  <c r="L5" i="1"/>
  <c r="M5" i="1"/>
  <c r="N5" i="1"/>
  <c r="E4" i="1"/>
  <c r="F4" i="1"/>
  <c r="G4" i="1"/>
  <c r="H4" i="1"/>
  <c r="I4" i="1"/>
  <c r="J4" i="1"/>
  <c r="K4" i="1"/>
  <c r="L4" i="1"/>
  <c r="M4" i="1"/>
  <c r="N4" i="1"/>
  <c r="D3" i="1"/>
  <c r="E3" i="1"/>
  <c r="F3" i="1"/>
  <c r="G3" i="1"/>
  <c r="H3" i="1"/>
  <c r="I3" i="1"/>
  <c r="J3" i="1"/>
  <c r="K3" i="1"/>
  <c r="L3" i="1"/>
  <c r="N3" i="1"/>
  <c r="D2" i="1"/>
  <c r="E2" i="1"/>
  <c r="F2" i="1"/>
  <c r="G2" i="1"/>
  <c r="H2" i="1"/>
  <c r="K2" i="1"/>
  <c r="L2" i="1"/>
  <c r="M2" i="1"/>
  <c r="N2" i="1"/>
  <c r="N14" i="1"/>
  <c r="M13" i="1"/>
  <c r="K11" i="1"/>
  <c r="J10" i="1"/>
  <c r="I9" i="1"/>
  <c r="H8" i="1"/>
  <c r="G7" i="1"/>
  <c r="F6" i="1"/>
  <c r="E5" i="1"/>
  <c r="D4" i="1"/>
  <c r="C3" i="1"/>
  <c r="AB2" i="1" l="1" a="1"/>
  <c r="AB2" i="1" s="1"/>
  <c r="AB7" i="1" a="1"/>
  <c r="AB7" i="1" s="1"/>
  <c r="AD7" i="1" l="1" a="1"/>
  <c r="AD7" i="1" s="1"/>
  <c r="AB6" i="1" a="1"/>
  <c r="AB6" i="1" s="1"/>
  <c r="AD2" i="1" a="1"/>
  <c r="AD2" i="1" s="1"/>
  <c r="AE2" i="1" a="1"/>
  <c r="AE2" i="1" s="1"/>
  <c r="AB5" i="1" a="1"/>
  <c r="AB5" i="1" s="1"/>
  <c r="AF13" i="1" a="1"/>
  <c r="AF13" i="1" s="1"/>
  <c r="AG13" i="1" s="1"/>
  <c r="AD4" i="1" a="1"/>
  <c r="AD4" i="1" s="1"/>
  <c r="AE7" i="1" a="1"/>
  <c r="AE7" i="1" s="1"/>
  <c r="AC7" i="1" a="1"/>
  <c r="AC7" i="1" s="1"/>
  <c r="AE4" i="1" a="1"/>
  <c r="AE4" i="1" s="1"/>
  <c r="AD6" i="1" a="1"/>
  <c r="AD6" i="1" s="1"/>
  <c r="AB3" i="1" a="1"/>
  <c r="AB3" i="1" s="1"/>
  <c r="AF10" i="1" a="1"/>
  <c r="AF10" i="1" s="1"/>
  <c r="AG10" i="1" s="1"/>
  <c r="AE6" i="1" a="1"/>
  <c r="AE6" i="1" s="1"/>
  <c r="AC3" i="1" a="1"/>
  <c r="AC3" i="1" s="1"/>
  <c r="AC6" i="1" a="1"/>
  <c r="AC6" i="1" s="1"/>
  <c r="AF11" i="1" a="1"/>
  <c r="AF11" i="1" s="1"/>
  <c r="AG11" i="1" s="1"/>
  <c r="AC4" i="1" a="1"/>
  <c r="AC4" i="1" s="1"/>
  <c r="AC2" i="1" a="1"/>
  <c r="AC2" i="1" s="1"/>
  <c r="AD5" i="1" a="1"/>
  <c r="AD5" i="1" s="1"/>
  <c r="AF12" i="1" a="1"/>
  <c r="AF12" i="1" s="1"/>
  <c r="AG12" i="1" s="1"/>
  <c r="AE3" i="1" a="1"/>
  <c r="AE3" i="1" s="1"/>
  <c r="AB4" i="1" a="1"/>
  <c r="AB4" i="1" s="1"/>
  <c r="AC5" i="1" a="1"/>
  <c r="AC5" i="1" s="1"/>
  <c r="AF14" i="1" a="1"/>
  <c r="AF14" i="1" s="1"/>
  <c r="AF9" i="1" a="1"/>
  <c r="AF9" i="1" s="1"/>
  <c r="AE5" i="1" a="1"/>
  <c r="AE5" i="1" s="1"/>
  <c r="AD3" i="1" a="1"/>
  <c r="AD3" i="1" s="1"/>
  <c r="AF2" i="1" l="1"/>
  <c r="AG2" i="1" s="1"/>
  <c r="AF7" i="1"/>
  <c r="AG7" i="1" s="1"/>
  <c r="AF4" i="1"/>
  <c r="AG4" i="1" s="1"/>
  <c r="AF6" i="1"/>
  <c r="AG6" i="1" s="1"/>
  <c r="AF3" i="1"/>
  <c r="AG3" i="1" s="1"/>
  <c r="AG14" i="1"/>
  <c r="V7" i="1"/>
  <c r="W7" i="1" s="1"/>
  <c r="AG9" i="1"/>
  <c r="V6" i="1"/>
  <c r="W6" i="1" s="1"/>
  <c r="AF5" i="1"/>
  <c r="AG5" i="1" s="1"/>
  <c r="V4" i="1" l="1"/>
  <c r="W4" i="1" s="1"/>
  <c r="V5" i="1"/>
  <c r="W5"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<sst xmlns="http://schemas.openxmlformats.org/spreadsheetml/2006/main" count="1531" uniqueCount="1376">
  <si>
    <t>A</t>
  </si>
  <si>
    <t>K</t>
  </si>
  <si>
    <t>Q</t>
  </si>
  <si>
    <t>J</t>
  </si>
  <si>
    <t>T</t>
  </si>
  <si>
    <t>Combinations</t>
  </si>
  <si>
    <t>s</t>
  </si>
  <si>
    <t>d</t>
  </si>
  <si>
    <t>h</t>
  </si>
  <si>
    <t>c</t>
  </si>
  <si>
    <t>AA</t>
  </si>
  <si>
    <t>AKs</t>
  </si>
  <si>
    <t>Suited Combinations</t>
  </si>
  <si>
    <t>Total</t>
  </si>
  <si>
    <t>All Suited</t>
  </si>
  <si>
    <t>Suited Aces</t>
  </si>
  <si>
    <t>Suited Broadway</t>
  </si>
  <si>
    <t>Suited Connectors</t>
  </si>
  <si>
    <t>Pocket Pairs</t>
  </si>
  <si>
    <t>Offsuit Broadway</t>
  </si>
  <si>
    <t>Offsuit Aces</t>
  </si>
  <si>
    <t>Offsuit Connectors</t>
  </si>
  <si>
    <t>S</t>
  </si>
  <si>
    <t>D</t>
  </si>
  <si>
    <t>H</t>
  </si>
  <si>
    <t>C</t>
  </si>
  <si>
    <t>Total Combinations</t>
  </si>
  <si>
    <t>Percentage</t>
  </si>
  <si>
    <t>Suited Gappers</t>
  </si>
  <si>
    <t>Suited Kings</t>
  </si>
  <si>
    <t>Offsuit Gappers</t>
  </si>
  <si>
    <t>Offsuit Combinations</t>
  </si>
  <si>
    <t>All Offsuit (with pairs)</t>
  </si>
  <si>
    <t>Hero 1</t>
  </si>
  <si>
    <t>Hero 2</t>
  </si>
  <si>
    <t>Flop 1</t>
  </si>
  <si>
    <t>Flop 2</t>
  </si>
  <si>
    <t>Flop 3</t>
  </si>
  <si>
    <t>Turn</t>
  </si>
  <si>
    <t>River</t>
  </si>
  <si>
    <t>2s2d</t>
  </si>
  <si>
    <t>2s2c</t>
  </si>
  <si>
    <t>2d2c</t>
  </si>
  <si>
    <t>2s2h</t>
  </si>
  <si>
    <t>2d2h</t>
  </si>
  <si>
    <t>2c2h</t>
  </si>
  <si>
    <t>9s9d</t>
  </si>
  <si>
    <t>9s9c</t>
  </si>
  <si>
    <t>9d9c</t>
  </si>
  <si>
    <t>9s9h</t>
  </si>
  <si>
    <t>9d9h</t>
  </si>
  <si>
    <t>9c9h</t>
  </si>
  <si>
    <t>AsAd</t>
  </si>
  <si>
    <t>AsAc</t>
  </si>
  <si>
    <t>AsAh</t>
  </si>
  <si>
    <t>AsKs</t>
  </si>
  <si>
    <t>AsKd</t>
  </si>
  <si>
    <t>AsKc</t>
  </si>
  <si>
    <t>AsKh</t>
  </si>
  <si>
    <t>AsQs</t>
  </si>
  <si>
    <t>AsQd</t>
  </si>
  <si>
    <t>AsQc</t>
  </si>
  <si>
    <t>AsQh</t>
  </si>
  <si>
    <t>AsJs</t>
  </si>
  <si>
    <t>AsJd</t>
  </si>
  <si>
    <t>AsJc</t>
  </si>
  <si>
    <t>AsJh</t>
  </si>
  <si>
    <t>AsTd</t>
  </si>
  <si>
    <t>AsTc</t>
  </si>
  <si>
    <t>AsTh</t>
  </si>
  <si>
    <t>As9s</t>
  </si>
  <si>
    <t>As9c</t>
  </si>
  <si>
    <t>As9h</t>
  </si>
  <si>
    <t>As8s</t>
  </si>
  <si>
    <t>As8d</t>
  </si>
  <si>
    <t>As8c</t>
  </si>
  <si>
    <t>As8h</t>
  </si>
  <si>
    <t>As7s</t>
  </si>
  <si>
    <t>As7d</t>
  </si>
  <si>
    <t>As7c</t>
  </si>
  <si>
    <t>As7h</t>
  </si>
  <si>
    <t>As6s</t>
  </si>
  <si>
    <t>As6d</t>
  </si>
  <si>
    <t>As6c</t>
  </si>
  <si>
    <t>As6h</t>
  </si>
  <si>
    <t>As5s</t>
  </si>
  <si>
    <t>As5d</t>
  </si>
  <si>
    <t>As5c</t>
  </si>
  <si>
    <t>As5h</t>
  </si>
  <si>
    <t>As4s</t>
  </si>
  <si>
    <t>As4d</t>
  </si>
  <si>
    <t>As4c</t>
  </si>
  <si>
    <t>As4h</t>
  </si>
  <si>
    <t>As3s</t>
  </si>
  <si>
    <t>As3d</t>
  </si>
  <si>
    <t>As3c</t>
  </si>
  <si>
    <t>As3h</t>
  </si>
  <si>
    <t>As2s</t>
  </si>
  <si>
    <t>As2d</t>
  </si>
  <si>
    <t>As2c</t>
  </si>
  <si>
    <t>As2h</t>
  </si>
  <si>
    <t>AdAc</t>
  </si>
  <si>
    <t>AdAh</t>
  </si>
  <si>
    <t>AdKs</t>
  </si>
  <si>
    <t>AdKd</t>
  </si>
  <si>
    <t>AdKc</t>
  </si>
  <si>
    <t>AdKh</t>
  </si>
  <si>
    <t>AdQs</t>
  </si>
  <si>
    <t>AdQd</t>
  </si>
  <si>
    <t>AdQc</t>
  </si>
  <si>
    <t>AdQh</t>
  </si>
  <si>
    <t>AdJs</t>
  </si>
  <si>
    <t>AdJd</t>
  </si>
  <si>
    <t>AdJc</t>
  </si>
  <si>
    <t>AdJh</t>
  </si>
  <si>
    <t>AdTd</t>
  </si>
  <si>
    <t>AdTc</t>
  </si>
  <si>
    <t>AdTh</t>
  </si>
  <si>
    <t>Ad9s</t>
  </si>
  <si>
    <t>Ad9c</t>
  </si>
  <si>
    <t>Ad9h</t>
  </si>
  <si>
    <t>Ad8s</t>
  </si>
  <si>
    <t>Ad8d</t>
  </si>
  <si>
    <t>Ad8c</t>
  </si>
  <si>
    <t>Ad8h</t>
  </si>
  <si>
    <t>Ad7s</t>
  </si>
  <si>
    <t>Ad7d</t>
  </si>
  <si>
    <t>Ad7c</t>
  </si>
  <si>
    <t>Ad7h</t>
  </si>
  <si>
    <t>Ad6s</t>
  </si>
  <si>
    <t>Ad6d</t>
  </si>
  <si>
    <t>Ad6c</t>
  </si>
  <si>
    <t>Ad6h</t>
  </si>
  <si>
    <t>Ad5s</t>
  </si>
  <si>
    <t>Ad5d</t>
  </si>
  <si>
    <t>Ad5c</t>
  </si>
  <si>
    <t>Ad5h</t>
  </si>
  <si>
    <t>Ad4s</t>
  </si>
  <si>
    <t>Ad4d</t>
  </si>
  <si>
    <t>Ad4c</t>
  </si>
  <si>
    <t>Ad4h</t>
  </si>
  <si>
    <t>Ad3s</t>
  </si>
  <si>
    <t>Ad3d</t>
  </si>
  <si>
    <t>Ad3c</t>
  </si>
  <si>
    <t>Ad3h</t>
  </si>
  <si>
    <t>Ad2s</t>
  </si>
  <si>
    <t>Ad2d</t>
  </si>
  <si>
    <t>Ad2c</t>
  </si>
  <si>
    <t>Ad2h</t>
  </si>
  <si>
    <t>AcAh</t>
  </si>
  <si>
    <t>AcKs</t>
  </si>
  <si>
    <t>AcKd</t>
  </si>
  <si>
    <t>AcKc</t>
  </si>
  <si>
    <t>AcKh</t>
  </si>
  <si>
    <t>AcQs</t>
  </si>
  <si>
    <t>AcQd</t>
  </si>
  <si>
    <t>AcQc</t>
  </si>
  <si>
    <t>AcQh</t>
  </si>
  <si>
    <t>AcJs</t>
  </si>
  <si>
    <t>AcJd</t>
  </si>
  <si>
    <t>AcJc</t>
  </si>
  <si>
    <t>AcJh</t>
  </si>
  <si>
    <t>AcTd</t>
  </si>
  <si>
    <t>AcTc</t>
  </si>
  <si>
    <t>AcTh</t>
  </si>
  <si>
    <t>Ac9s</t>
  </si>
  <si>
    <t>Ac9c</t>
  </si>
  <si>
    <t>Ac9h</t>
  </si>
  <si>
    <t>Ac8s</t>
  </si>
  <si>
    <t>Ac8d</t>
  </si>
  <si>
    <t>Ac8c</t>
  </si>
  <si>
    <t>Ac8h</t>
  </si>
  <si>
    <t>Ac7s</t>
  </si>
  <si>
    <t>Ac7d</t>
  </si>
  <si>
    <t>Ac7c</t>
  </si>
  <si>
    <t>Ac7h</t>
  </si>
  <si>
    <t>Ac6s</t>
  </si>
  <si>
    <t>Ac6d</t>
  </si>
  <si>
    <t>Ac6c</t>
  </si>
  <si>
    <t>Ac6h</t>
  </si>
  <si>
    <t>Ac5s</t>
  </si>
  <si>
    <t>Ac5d</t>
  </si>
  <si>
    <t>Ac5c</t>
  </si>
  <si>
    <t>Ac5h</t>
  </si>
  <si>
    <t>Ac4s</t>
  </si>
  <si>
    <t>Ac4d</t>
  </si>
  <si>
    <t>Ac4c</t>
  </si>
  <si>
    <t>Ac4h</t>
  </si>
  <si>
    <t>Ac3s</t>
  </si>
  <si>
    <t>Ac3d</t>
  </si>
  <si>
    <t>Ac3c</t>
  </si>
  <si>
    <t>Ac3h</t>
  </si>
  <si>
    <t>Ac2s</t>
  </si>
  <si>
    <t>Ac2d</t>
  </si>
  <si>
    <t>Ac2c</t>
  </si>
  <si>
    <t>Ac2h</t>
  </si>
  <si>
    <t>AhKs</t>
  </si>
  <si>
    <t>AhKd</t>
  </si>
  <si>
    <t>AhKc</t>
  </si>
  <si>
    <t>AhKh</t>
  </si>
  <si>
    <t>AhQs</t>
  </si>
  <si>
    <t>AhQd</t>
  </si>
  <si>
    <t>AhQc</t>
  </si>
  <si>
    <t>AhQh</t>
  </si>
  <si>
    <t>AhJs</t>
  </si>
  <si>
    <t>AhJd</t>
  </si>
  <si>
    <t>AhJc</t>
  </si>
  <si>
    <t>AhJh</t>
  </si>
  <si>
    <t>AhTd</t>
  </si>
  <si>
    <t>AhTc</t>
  </si>
  <si>
    <t>AhTh</t>
  </si>
  <si>
    <t>Ah9s</t>
  </si>
  <si>
    <t>Ah9c</t>
  </si>
  <si>
    <t>Ah9h</t>
  </si>
  <si>
    <t>Ah8s</t>
  </si>
  <si>
    <t>Ah8d</t>
  </si>
  <si>
    <t>Ah8c</t>
  </si>
  <si>
    <t>Ah8h</t>
  </si>
  <si>
    <t>Ah7s</t>
  </si>
  <si>
    <t>Ah7d</t>
  </si>
  <si>
    <t>Ah7c</t>
  </si>
  <si>
    <t>Ah7h</t>
  </si>
  <si>
    <t>Ah6s</t>
  </si>
  <si>
    <t>Ah6d</t>
  </si>
  <si>
    <t>Ah6c</t>
  </si>
  <si>
    <t>Ah6h</t>
  </si>
  <si>
    <t>Ah5s</t>
  </si>
  <si>
    <t>Ah5d</t>
  </si>
  <si>
    <t>Ah5c</t>
  </si>
  <si>
    <t>Ah5h</t>
  </si>
  <si>
    <t>Ah4s</t>
  </si>
  <si>
    <t>Ah4d</t>
  </si>
  <si>
    <t>Ah4c</t>
  </si>
  <si>
    <t>Ah4h</t>
  </si>
  <si>
    <t>Ah3s</t>
  </si>
  <si>
    <t>Ah3d</t>
  </si>
  <si>
    <t>Ah3c</t>
  </si>
  <si>
    <t>Ah3h</t>
  </si>
  <si>
    <t>Ah2s</t>
  </si>
  <si>
    <t>Ah2d</t>
  </si>
  <si>
    <t>Ah2c</t>
  </si>
  <si>
    <t>Ah2h</t>
  </si>
  <si>
    <t>KsKd</t>
  </si>
  <si>
    <t>KsKc</t>
  </si>
  <si>
    <t>KsKh</t>
  </si>
  <si>
    <t>KsQs</t>
  </si>
  <si>
    <t>KsQd</t>
  </si>
  <si>
    <t>KsQc</t>
  </si>
  <si>
    <t>KsQh</t>
  </si>
  <si>
    <t>KsJs</t>
  </si>
  <si>
    <t>KsJd</t>
  </si>
  <si>
    <t>KsJc</t>
  </si>
  <si>
    <t>KsJh</t>
  </si>
  <si>
    <t>KsTd</t>
  </si>
  <si>
    <t>KsTc</t>
  </si>
  <si>
    <t>KsTh</t>
  </si>
  <si>
    <t>Ks9s</t>
  </si>
  <si>
    <t>Ks9c</t>
  </si>
  <si>
    <t>Ks9h</t>
  </si>
  <si>
    <t>Ks8s</t>
  </si>
  <si>
    <t>Ks8d</t>
  </si>
  <si>
    <t>Ks8c</t>
  </si>
  <si>
    <t>Ks8h</t>
  </si>
  <si>
    <t>Ks7s</t>
  </si>
  <si>
    <t>Ks7d</t>
  </si>
  <si>
    <t>Ks7c</t>
  </si>
  <si>
    <t>Ks7h</t>
  </si>
  <si>
    <t>Ks6s</t>
  </si>
  <si>
    <t>Ks6d</t>
  </si>
  <si>
    <t>Ks6c</t>
  </si>
  <si>
    <t>Ks6h</t>
  </si>
  <si>
    <t>Ks5s</t>
  </si>
  <si>
    <t>Ks5d</t>
  </si>
  <si>
    <t>Ks5c</t>
  </si>
  <si>
    <t>Ks5h</t>
  </si>
  <si>
    <t>Ks4s</t>
  </si>
  <si>
    <t>Ks4d</t>
  </si>
  <si>
    <t>Ks4c</t>
  </si>
  <si>
    <t>Ks4h</t>
  </si>
  <si>
    <t>Ks3s</t>
  </si>
  <si>
    <t>Ks3d</t>
  </si>
  <si>
    <t>Ks3c</t>
  </si>
  <si>
    <t>Ks3h</t>
  </si>
  <si>
    <t>Ks2s</t>
  </si>
  <si>
    <t>Ks2d</t>
  </si>
  <si>
    <t>Ks2c</t>
  </si>
  <si>
    <t>Ks2h</t>
  </si>
  <si>
    <t>KdKc</t>
  </si>
  <si>
    <t>KdKh</t>
  </si>
  <si>
    <t>KdQs</t>
  </si>
  <si>
    <t>KdQd</t>
  </si>
  <si>
    <t>KdQc</t>
  </si>
  <si>
    <t>KdQh</t>
  </si>
  <si>
    <t>KdJs</t>
  </si>
  <si>
    <t>KdJd</t>
  </si>
  <si>
    <t>KdJc</t>
  </si>
  <si>
    <t>KdJh</t>
  </si>
  <si>
    <t>KdTd</t>
  </si>
  <si>
    <t>KdTc</t>
  </si>
  <si>
    <t>KdTh</t>
  </si>
  <si>
    <t>Kd9s</t>
  </si>
  <si>
    <t>Kd9c</t>
  </si>
  <si>
    <t>Kd9h</t>
  </si>
  <si>
    <t>Kd8s</t>
  </si>
  <si>
    <t>Kd8d</t>
  </si>
  <si>
    <t>Kd8c</t>
  </si>
  <si>
    <t>Kd8h</t>
  </si>
  <si>
    <t>Kd7s</t>
  </si>
  <si>
    <t>Kd7d</t>
  </si>
  <si>
    <t>Kd7c</t>
  </si>
  <si>
    <t>Kd7h</t>
  </si>
  <si>
    <t>Kd6s</t>
  </si>
  <si>
    <t>Kd6d</t>
  </si>
  <si>
    <t>Kd6c</t>
  </si>
  <si>
    <t>Kd6h</t>
  </si>
  <si>
    <t>Kd5s</t>
  </si>
  <si>
    <t>Kd5d</t>
  </si>
  <si>
    <t>Kd5c</t>
  </si>
  <si>
    <t>Kd5h</t>
  </si>
  <si>
    <t>Kd4s</t>
  </si>
  <si>
    <t>Kd4d</t>
  </si>
  <si>
    <t>Kd4c</t>
  </si>
  <si>
    <t>Kd4h</t>
  </si>
  <si>
    <t>Kd3s</t>
  </si>
  <si>
    <t>Kd3d</t>
  </si>
  <si>
    <t>Kd3c</t>
  </si>
  <si>
    <t>Kd3h</t>
  </si>
  <si>
    <t>Kd2s</t>
  </si>
  <si>
    <t>Kd2d</t>
  </si>
  <si>
    <t>Kd2c</t>
  </si>
  <si>
    <t>Kd2h</t>
  </si>
  <si>
    <t>KcKh</t>
  </si>
  <si>
    <t>KcQs</t>
  </si>
  <si>
    <t>KcQd</t>
  </si>
  <si>
    <t>KcQc</t>
  </si>
  <si>
    <t>KcQh</t>
  </si>
  <si>
    <t>KcJs</t>
  </si>
  <si>
    <t>KcJd</t>
  </si>
  <si>
    <t>KcJc</t>
  </si>
  <si>
    <t>KcJh</t>
  </si>
  <si>
    <t>KcTd</t>
  </si>
  <si>
    <t>KcTc</t>
  </si>
  <si>
    <t>KcTh</t>
  </si>
  <si>
    <t>Kc9s</t>
  </si>
  <si>
    <t>Kc9c</t>
  </si>
  <si>
    <t>Kc9h</t>
  </si>
  <si>
    <t>Kc8s</t>
  </si>
  <si>
    <t>Kc8d</t>
  </si>
  <si>
    <t>Kc8c</t>
  </si>
  <si>
    <t>Kc8h</t>
  </si>
  <si>
    <t>Kc7s</t>
  </si>
  <si>
    <t>Kc7d</t>
  </si>
  <si>
    <t>Kc7c</t>
  </si>
  <si>
    <t>Kc7h</t>
  </si>
  <si>
    <t>Kc6s</t>
  </si>
  <si>
    <t>Kc6d</t>
  </si>
  <si>
    <t>Kc6c</t>
  </si>
  <si>
    <t>Kc6h</t>
  </si>
  <si>
    <t>Kc5s</t>
  </si>
  <si>
    <t>Kc5d</t>
  </si>
  <si>
    <t>Kc5c</t>
  </si>
  <si>
    <t>Kc5h</t>
  </si>
  <si>
    <t>Kc4s</t>
  </si>
  <si>
    <t>Kc4d</t>
  </si>
  <si>
    <t>Kc4c</t>
  </si>
  <si>
    <t>Kc4h</t>
  </si>
  <si>
    <t>Kc3s</t>
  </si>
  <si>
    <t>Kc3d</t>
  </si>
  <si>
    <t>Kc3c</t>
  </si>
  <si>
    <t>Kc3h</t>
  </si>
  <si>
    <t>Kc2s</t>
  </si>
  <si>
    <t>Kc2d</t>
  </si>
  <si>
    <t>Kc2c</t>
  </si>
  <si>
    <t>Kc2h</t>
  </si>
  <si>
    <t>KhQs</t>
  </si>
  <si>
    <t>KhQd</t>
  </si>
  <si>
    <t>KhQc</t>
  </si>
  <si>
    <t>KhQh</t>
  </si>
  <si>
    <t>KhJs</t>
  </si>
  <si>
    <t>KhJd</t>
  </si>
  <si>
    <t>KhJc</t>
  </si>
  <si>
    <t>KhJh</t>
  </si>
  <si>
    <t>KhTd</t>
  </si>
  <si>
    <t>KhTc</t>
  </si>
  <si>
    <t>KhTh</t>
  </si>
  <si>
    <t>Kh9s</t>
  </si>
  <si>
    <t>Kh9c</t>
  </si>
  <si>
    <t>Kh9h</t>
  </si>
  <si>
    <t>Kh8s</t>
  </si>
  <si>
    <t>Kh8d</t>
  </si>
  <si>
    <t>Kh8c</t>
  </si>
  <si>
    <t>Kh8h</t>
  </si>
  <si>
    <t>Kh7s</t>
  </si>
  <si>
    <t>Kh7d</t>
  </si>
  <si>
    <t>Kh7c</t>
  </si>
  <si>
    <t>Kh7h</t>
  </si>
  <si>
    <t>Kh6s</t>
  </si>
  <si>
    <t>Kh6d</t>
  </si>
  <si>
    <t>Kh6c</t>
  </si>
  <si>
    <t>Kh6h</t>
  </si>
  <si>
    <t>Kh5s</t>
  </si>
  <si>
    <t>Kh5d</t>
  </si>
  <si>
    <t>Kh5c</t>
  </si>
  <si>
    <t>Kh5h</t>
  </si>
  <si>
    <t>Kh4s</t>
  </si>
  <si>
    <t>Kh4d</t>
  </si>
  <si>
    <t>Kh4c</t>
  </si>
  <si>
    <t>Kh4h</t>
  </si>
  <si>
    <t>Kh3s</t>
  </si>
  <si>
    <t>Kh3d</t>
  </si>
  <si>
    <t>Kh3c</t>
  </si>
  <si>
    <t>Kh3h</t>
  </si>
  <si>
    <t>Kh2s</t>
  </si>
  <si>
    <t>Kh2d</t>
  </si>
  <si>
    <t>Kh2c</t>
  </si>
  <si>
    <t>Kh2h</t>
  </si>
  <si>
    <t>QsQd</t>
  </si>
  <si>
    <t>QsQc</t>
  </si>
  <si>
    <t>QsQh</t>
  </si>
  <si>
    <t>QsJs</t>
  </si>
  <si>
    <t>QsJd</t>
  </si>
  <si>
    <t>QsJc</t>
  </si>
  <si>
    <t>QsJh</t>
  </si>
  <si>
    <t>QsTd</t>
  </si>
  <si>
    <t>QsTc</t>
  </si>
  <si>
    <t>QsTh</t>
  </si>
  <si>
    <t>Qs9s</t>
  </si>
  <si>
    <t>Qs9c</t>
  </si>
  <si>
    <t>Qs9h</t>
  </si>
  <si>
    <t>Qs8s</t>
  </si>
  <si>
    <t>Qs8d</t>
  </si>
  <si>
    <t>Qs8c</t>
  </si>
  <si>
    <t>Qs8h</t>
  </si>
  <si>
    <t>Qs7s</t>
  </si>
  <si>
    <t>Qs7d</t>
  </si>
  <si>
    <t>Qs7c</t>
  </si>
  <si>
    <t>Qs7h</t>
  </si>
  <si>
    <t>Qs6s</t>
  </si>
  <si>
    <t>Qs6d</t>
  </si>
  <si>
    <t>Qs6c</t>
  </si>
  <si>
    <t>Qs6h</t>
  </si>
  <si>
    <t>Qs5s</t>
  </si>
  <si>
    <t>Qs5d</t>
  </si>
  <si>
    <t>Qs5c</t>
  </si>
  <si>
    <t>Qs5h</t>
  </si>
  <si>
    <t>Qs4s</t>
  </si>
  <si>
    <t>Qs4d</t>
  </si>
  <si>
    <t>Qs4c</t>
  </si>
  <si>
    <t>Qs4h</t>
  </si>
  <si>
    <t>Qs3s</t>
  </si>
  <si>
    <t>Qs3d</t>
  </si>
  <si>
    <t>Qs3c</t>
  </si>
  <si>
    <t>Qs3h</t>
  </si>
  <si>
    <t>Qs2s</t>
  </si>
  <si>
    <t>Qs2d</t>
  </si>
  <si>
    <t>Qs2c</t>
  </si>
  <si>
    <t>Qs2h</t>
  </si>
  <si>
    <t>QdQc</t>
  </si>
  <si>
    <t>QdQh</t>
  </si>
  <si>
    <t>QdJs</t>
  </si>
  <si>
    <t>QdJd</t>
  </si>
  <si>
    <t>QdJc</t>
  </si>
  <si>
    <t>QdJh</t>
  </si>
  <si>
    <t>QdTd</t>
  </si>
  <si>
    <t>QdTc</t>
  </si>
  <si>
    <t>QdTh</t>
  </si>
  <si>
    <t>Qd9s</t>
  </si>
  <si>
    <t>Qd9c</t>
  </si>
  <si>
    <t>Qd9h</t>
  </si>
  <si>
    <t>Qd8s</t>
  </si>
  <si>
    <t>Qd8d</t>
  </si>
  <si>
    <t>Qd8c</t>
  </si>
  <si>
    <t>Qd8h</t>
  </si>
  <si>
    <t>Qd7s</t>
  </si>
  <si>
    <t>Qd7d</t>
  </si>
  <si>
    <t>Qd7c</t>
  </si>
  <si>
    <t>Qd7h</t>
  </si>
  <si>
    <t>Qd6s</t>
  </si>
  <si>
    <t>Qd6d</t>
  </si>
  <si>
    <t>Qd6c</t>
  </si>
  <si>
    <t>Qd6h</t>
  </si>
  <si>
    <t>Qd5s</t>
  </si>
  <si>
    <t>Qd5d</t>
  </si>
  <si>
    <t>Qd5c</t>
  </si>
  <si>
    <t>Qd5h</t>
  </si>
  <si>
    <t>Qd4s</t>
  </si>
  <si>
    <t>Qd4d</t>
  </si>
  <si>
    <t>Qd4c</t>
  </si>
  <si>
    <t>Qd4h</t>
  </si>
  <si>
    <t>Qd3s</t>
  </si>
  <si>
    <t>Qd3d</t>
  </si>
  <si>
    <t>Qd3c</t>
  </si>
  <si>
    <t>Qd3h</t>
  </si>
  <si>
    <t>Qd2s</t>
  </si>
  <si>
    <t>Qd2d</t>
  </si>
  <si>
    <t>Qd2c</t>
  </si>
  <si>
    <t>Qd2h</t>
  </si>
  <si>
    <t>QcQh</t>
  </si>
  <si>
    <t>QcJs</t>
  </si>
  <si>
    <t>QcJd</t>
  </si>
  <si>
    <t>QcJc</t>
  </si>
  <si>
    <t>QcJh</t>
  </si>
  <si>
    <t>QcTd</t>
  </si>
  <si>
    <t>QcTc</t>
  </si>
  <si>
    <t>QcTh</t>
  </si>
  <si>
    <t>Qc9s</t>
  </si>
  <si>
    <t>Qc9c</t>
  </si>
  <si>
    <t>Qc9h</t>
  </si>
  <si>
    <t>Qc8s</t>
  </si>
  <si>
    <t>Qc8d</t>
  </si>
  <si>
    <t>Qc8c</t>
  </si>
  <si>
    <t>Qc8h</t>
  </si>
  <si>
    <t>Qc7s</t>
  </si>
  <si>
    <t>Qc7d</t>
  </si>
  <si>
    <t>Qc7c</t>
  </si>
  <si>
    <t>Qc7h</t>
  </si>
  <si>
    <t>Qc6s</t>
  </si>
  <si>
    <t>Qc6d</t>
  </si>
  <si>
    <t>Qc6c</t>
  </si>
  <si>
    <t>Qc6h</t>
  </si>
  <si>
    <t>Qc5s</t>
  </si>
  <si>
    <t>Qc5d</t>
  </si>
  <si>
    <t>Qc5c</t>
  </si>
  <si>
    <t>Qc5h</t>
  </si>
  <si>
    <t>Qc4s</t>
  </si>
  <si>
    <t>Qc4d</t>
  </si>
  <si>
    <t>Qc4c</t>
  </si>
  <si>
    <t>Qc4h</t>
  </si>
  <si>
    <t>Qc3s</t>
  </si>
  <si>
    <t>Qc3d</t>
  </si>
  <si>
    <t>Qc3c</t>
  </si>
  <si>
    <t>Qc3h</t>
  </si>
  <si>
    <t>Qc2s</t>
  </si>
  <si>
    <t>Qc2d</t>
  </si>
  <si>
    <t>Qc2c</t>
  </si>
  <si>
    <t>Qc2h</t>
  </si>
  <si>
    <t>QhJs</t>
  </si>
  <si>
    <t>QhJd</t>
  </si>
  <si>
    <t>QhJc</t>
  </si>
  <si>
    <t>QhJh</t>
  </si>
  <si>
    <t>QhTd</t>
  </si>
  <si>
    <t>QhTc</t>
  </si>
  <si>
    <t>QhTh</t>
  </si>
  <si>
    <t>Qh9s</t>
  </si>
  <si>
    <t>Qh9c</t>
  </si>
  <si>
    <t>Qh9h</t>
  </si>
  <si>
    <t>Qh8s</t>
  </si>
  <si>
    <t>Qh8d</t>
  </si>
  <si>
    <t>Qh8c</t>
  </si>
  <si>
    <t>Qh8h</t>
  </si>
  <si>
    <t>Qh7s</t>
  </si>
  <si>
    <t>Qh7d</t>
  </si>
  <si>
    <t>Qh7c</t>
  </si>
  <si>
    <t>Qh7h</t>
  </si>
  <si>
    <t>Qh6s</t>
  </si>
  <si>
    <t>Qh6d</t>
  </si>
  <si>
    <t>Qh6c</t>
  </si>
  <si>
    <t>Qh6h</t>
  </si>
  <si>
    <t>Qh5s</t>
  </si>
  <si>
    <t>Qh5d</t>
  </si>
  <si>
    <t>Qh5c</t>
  </si>
  <si>
    <t>Qh5h</t>
  </si>
  <si>
    <t>Qh4s</t>
  </si>
  <si>
    <t>Qh4d</t>
  </si>
  <si>
    <t>Qh4c</t>
  </si>
  <si>
    <t>Qh4h</t>
  </si>
  <si>
    <t>Qh3s</t>
  </si>
  <si>
    <t>Qh3d</t>
  </si>
  <si>
    <t>Qh3c</t>
  </si>
  <si>
    <t>Qh3h</t>
  </si>
  <si>
    <t>Qh2s</t>
  </si>
  <si>
    <t>Qh2d</t>
  </si>
  <si>
    <t>Qh2c</t>
  </si>
  <si>
    <t>Qh2h</t>
  </si>
  <si>
    <t>JsJd</t>
  </si>
  <si>
    <t>JsJc</t>
  </si>
  <si>
    <t>JsJh</t>
  </si>
  <si>
    <t>JsTd</t>
  </si>
  <si>
    <t>JsTc</t>
  </si>
  <si>
    <t>JsTh</t>
  </si>
  <si>
    <t>Js9s</t>
  </si>
  <si>
    <t>Js9c</t>
  </si>
  <si>
    <t>Js9h</t>
  </si>
  <si>
    <t>Js8s</t>
  </si>
  <si>
    <t>Js8d</t>
  </si>
  <si>
    <t>Js8c</t>
  </si>
  <si>
    <t>Js8h</t>
  </si>
  <si>
    <t>Js7s</t>
  </si>
  <si>
    <t>Js7d</t>
  </si>
  <si>
    <t>Js7c</t>
  </si>
  <si>
    <t>Js7h</t>
  </si>
  <si>
    <t>Js6s</t>
  </si>
  <si>
    <t>Js6d</t>
  </si>
  <si>
    <t>Js6c</t>
  </si>
  <si>
    <t>Js6h</t>
  </si>
  <si>
    <t>Js5s</t>
  </si>
  <si>
    <t>Js5d</t>
  </si>
  <si>
    <t>Js5c</t>
  </si>
  <si>
    <t>Js5h</t>
  </si>
  <si>
    <t>Js4s</t>
  </si>
  <si>
    <t>Js4d</t>
  </si>
  <si>
    <t>Js4c</t>
  </si>
  <si>
    <t>Js4h</t>
  </si>
  <si>
    <t>Js3s</t>
  </si>
  <si>
    <t>Js3d</t>
  </si>
  <si>
    <t>Js3c</t>
  </si>
  <si>
    <t>Js3h</t>
  </si>
  <si>
    <t>Js2s</t>
  </si>
  <si>
    <t>Js2d</t>
  </si>
  <si>
    <t>Js2c</t>
  </si>
  <si>
    <t>Js2h</t>
  </si>
  <si>
    <t>JdJc</t>
  </si>
  <si>
    <t>JdJh</t>
  </si>
  <si>
    <t>JdTd</t>
  </si>
  <si>
    <t>JdTc</t>
  </si>
  <si>
    <t>JdTh</t>
  </si>
  <si>
    <t>Jd9s</t>
  </si>
  <si>
    <t>Jd9c</t>
  </si>
  <si>
    <t>Jd9h</t>
  </si>
  <si>
    <t>Jd8s</t>
  </si>
  <si>
    <t>Jd8d</t>
  </si>
  <si>
    <t>Jd8c</t>
  </si>
  <si>
    <t>Jd8h</t>
  </si>
  <si>
    <t>Jd7s</t>
  </si>
  <si>
    <t>Jd7d</t>
  </si>
  <si>
    <t>Jd7c</t>
  </si>
  <si>
    <t>Jd7h</t>
  </si>
  <si>
    <t>Jd6s</t>
  </si>
  <si>
    <t>Jd6d</t>
  </si>
  <si>
    <t>Jd6c</t>
  </si>
  <si>
    <t>Jd6h</t>
  </si>
  <si>
    <t>Jd5s</t>
  </si>
  <si>
    <t>Jd5d</t>
  </si>
  <si>
    <t>Jd5c</t>
  </si>
  <si>
    <t>Jd5h</t>
  </si>
  <si>
    <t>Jd4s</t>
  </si>
  <si>
    <t>Jd4d</t>
  </si>
  <si>
    <t>Jd4c</t>
  </si>
  <si>
    <t>Jd4h</t>
  </si>
  <si>
    <t>Jd3s</t>
  </si>
  <si>
    <t>Jd3d</t>
  </si>
  <si>
    <t>Jd3c</t>
  </si>
  <si>
    <t>Jd3h</t>
  </si>
  <si>
    <t>Jd2s</t>
  </si>
  <si>
    <t>Jd2d</t>
  </si>
  <si>
    <t>Jd2c</t>
  </si>
  <si>
    <t>Jd2h</t>
  </si>
  <si>
    <t>JcJh</t>
  </si>
  <si>
    <t>JcTd</t>
  </si>
  <si>
    <t>JcTc</t>
  </si>
  <si>
    <t>JcTh</t>
  </si>
  <si>
    <t>Jc9s</t>
  </si>
  <si>
    <t>Jc9c</t>
  </si>
  <si>
    <t>Jc9h</t>
  </si>
  <si>
    <t>Jc8s</t>
  </si>
  <si>
    <t>Jc8d</t>
  </si>
  <si>
    <t>Jc8c</t>
  </si>
  <si>
    <t>Jc8h</t>
  </si>
  <si>
    <t>Jc7s</t>
  </si>
  <si>
    <t>Jc7d</t>
  </si>
  <si>
    <t>Jc7c</t>
  </si>
  <si>
    <t>Jc7h</t>
  </si>
  <si>
    <t>Jc6s</t>
  </si>
  <si>
    <t>Jc6d</t>
  </si>
  <si>
    <t>Jc6c</t>
  </si>
  <si>
    <t>Jc6h</t>
  </si>
  <si>
    <t>Jc5s</t>
  </si>
  <si>
    <t>Jc5d</t>
  </si>
  <si>
    <t>Jc5c</t>
  </si>
  <si>
    <t>Jc5h</t>
  </si>
  <si>
    <t>Jc4s</t>
  </si>
  <si>
    <t>Jc4d</t>
  </si>
  <si>
    <t>Jc4c</t>
  </si>
  <si>
    <t>Jc4h</t>
  </si>
  <si>
    <t>Jc3s</t>
  </si>
  <si>
    <t>Jc3d</t>
  </si>
  <si>
    <t>Jc3c</t>
  </si>
  <si>
    <t>Jc3h</t>
  </si>
  <si>
    <t>Jc2s</t>
  </si>
  <si>
    <t>Jc2d</t>
  </si>
  <si>
    <t>Jc2c</t>
  </si>
  <si>
    <t>Jc2h</t>
  </si>
  <si>
    <t>JhTd</t>
  </si>
  <si>
    <t>JhTc</t>
  </si>
  <si>
    <t>JhTh</t>
  </si>
  <si>
    <t>Jh9s</t>
  </si>
  <si>
    <t>Jh9c</t>
  </si>
  <si>
    <t>Jh9h</t>
  </si>
  <si>
    <t>Jh8s</t>
  </si>
  <si>
    <t>Jh8d</t>
  </si>
  <si>
    <t>Jh8c</t>
  </si>
  <si>
    <t>Jh8h</t>
  </si>
  <si>
    <t>Jh7s</t>
  </si>
  <si>
    <t>Jh7d</t>
  </si>
  <si>
    <t>Jh7c</t>
  </si>
  <si>
    <t>Jh7h</t>
  </si>
  <si>
    <t>Jh6s</t>
  </si>
  <si>
    <t>Jh6d</t>
  </si>
  <si>
    <t>Jh6c</t>
  </si>
  <si>
    <t>Jh6h</t>
  </si>
  <si>
    <t>Jh5s</t>
  </si>
  <si>
    <t>Jh5d</t>
  </si>
  <si>
    <t>Jh5c</t>
  </si>
  <si>
    <t>Jh5h</t>
  </si>
  <si>
    <t>Jh4s</t>
  </si>
  <si>
    <t>Jh4d</t>
  </si>
  <si>
    <t>Jh4c</t>
  </si>
  <si>
    <t>Jh4h</t>
  </si>
  <si>
    <t>Jh3s</t>
  </si>
  <si>
    <t>Jh3d</t>
  </si>
  <si>
    <t>Jh3c</t>
  </si>
  <si>
    <t>Jh3h</t>
  </si>
  <si>
    <t>Jh2s</t>
  </si>
  <si>
    <t>Jh2d</t>
  </si>
  <si>
    <t>Jh2c</t>
  </si>
  <si>
    <t>Jh2h</t>
  </si>
  <si>
    <t>TsTd</t>
  </si>
  <si>
    <t>TsTc</t>
  </si>
  <si>
    <t>TsTh</t>
  </si>
  <si>
    <t>Ts9s</t>
  </si>
  <si>
    <t>Ts9c</t>
  </si>
  <si>
    <t>Ts9h</t>
  </si>
  <si>
    <t>Ts8s</t>
  </si>
  <si>
    <t>Ts8d</t>
  </si>
  <si>
    <t>Ts8c</t>
  </si>
  <si>
    <t>Ts8h</t>
  </si>
  <si>
    <t>Ts7s</t>
  </si>
  <si>
    <t>Ts7d</t>
  </si>
  <si>
    <t>Ts7c</t>
  </si>
  <si>
    <t>Ts7h</t>
  </si>
  <si>
    <t>Ts6s</t>
  </si>
  <si>
    <t>Ts6d</t>
  </si>
  <si>
    <t>Ts6c</t>
  </si>
  <si>
    <t>Ts6h</t>
  </si>
  <si>
    <t>Ts5s</t>
  </si>
  <si>
    <t>Ts5d</t>
  </si>
  <si>
    <t>Ts5c</t>
  </si>
  <si>
    <t>Ts5h</t>
  </si>
  <si>
    <t>Ts4s</t>
  </si>
  <si>
    <t>Ts4d</t>
  </si>
  <si>
    <t>Ts4c</t>
  </si>
  <si>
    <t>Ts4h</t>
  </si>
  <si>
    <t>Ts3s</t>
  </si>
  <si>
    <t>Ts3d</t>
  </si>
  <si>
    <t>Ts3c</t>
  </si>
  <si>
    <t>Ts3h</t>
  </si>
  <si>
    <t>Ts2s</t>
  </si>
  <si>
    <t>Ts2d</t>
  </si>
  <si>
    <t>Ts2c</t>
  </si>
  <si>
    <t>Ts2h</t>
  </si>
  <si>
    <t>TdTc</t>
  </si>
  <si>
    <t>TdTh</t>
  </si>
  <si>
    <t>Td9s</t>
  </si>
  <si>
    <t>Td9c</t>
  </si>
  <si>
    <t>Td9h</t>
  </si>
  <si>
    <t>Td8s</t>
  </si>
  <si>
    <t>Td8d</t>
  </si>
  <si>
    <t>Td8c</t>
  </si>
  <si>
    <t>Td8h</t>
  </si>
  <si>
    <t>Td7s</t>
  </si>
  <si>
    <t>Td7d</t>
  </si>
  <si>
    <t>Td7c</t>
  </si>
  <si>
    <t>Td7h</t>
  </si>
  <si>
    <t>Td6s</t>
  </si>
  <si>
    <t>Td6d</t>
  </si>
  <si>
    <t>Td6c</t>
  </si>
  <si>
    <t>Td6h</t>
  </si>
  <si>
    <t>Td5s</t>
  </si>
  <si>
    <t>Td5d</t>
  </si>
  <si>
    <t>Td5c</t>
  </si>
  <si>
    <t>Td5h</t>
  </si>
  <si>
    <t>Td4s</t>
  </si>
  <si>
    <t>Td4d</t>
  </si>
  <si>
    <t>Td4c</t>
  </si>
  <si>
    <t>Td4h</t>
  </si>
  <si>
    <t>Td3s</t>
  </si>
  <si>
    <t>Td3d</t>
  </si>
  <si>
    <t>Td3c</t>
  </si>
  <si>
    <t>Td3h</t>
  </si>
  <si>
    <t>Td2s</t>
  </si>
  <si>
    <t>Td2d</t>
  </si>
  <si>
    <t>Td2c</t>
  </si>
  <si>
    <t>Td2h</t>
  </si>
  <si>
    <t>TcTh</t>
  </si>
  <si>
    <t>Tc9s</t>
  </si>
  <si>
    <t>Tc9c</t>
  </si>
  <si>
    <t>Tc9h</t>
  </si>
  <si>
    <t>Tc8s</t>
  </si>
  <si>
    <t>Tc8d</t>
  </si>
  <si>
    <t>Tc8c</t>
  </si>
  <si>
    <t>Tc8h</t>
  </si>
  <si>
    <t>Tc7s</t>
  </si>
  <si>
    <t>Tc7d</t>
  </si>
  <si>
    <t>Tc7c</t>
  </si>
  <si>
    <t>Tc7h</t>
  </si>
  <si>
    <t>Tc6s</t>
  </si>
  <si>
    <t>Tc6d</t>
  </si>
  <si>
    <t>Tc6c</t>
  </si>
  <si>
    <t>Tc6h</t>
  </si>
  <si>
    <t>Tc5s</t>
  </si>
  <si>
    <t>Tc5d</t>
  </si>
  <si>
    <t>Tc5c</t>
  </si>
  <si>
    <t>Tc5h</t>
  </si>
  <si>
    <t>Tc4s</t>
  </si>
  <si>
    <t>Tc4d</t>
  </si>
  <si>
    <t>Tc4c</t>
  </si>
  <si>
    <t>Tc4h</t>
  </si>
  <si>
    <t>Tc3s</t>
  </si>
  <si>
    <t>Tc3d</t>
  </si>
  <si>
    <t>Tc3c</t>
  </si>
  <si>
    <t>Tc3h</t>
  </si>
  <si>
    <t>Tc2s</t>
  </si>
  <si>
    <t>Tc2d</t>
  </si>
  <si>
    <t>Tc2c</t>
  </si>
  <si>
    <t>Tc2h</t>
  </si>
  <si>
    <t>Th9s</t>
  </si>
  <si>
    <t>Th9c</t>
  </si>
  <si>
    <t>Th9h</t>
  </si>
  <si>
    <t>Th8s</t>
  </si>
  <si>
    <t>Th8d</t>
  </si>
  <si>
    <t>Th8c</t>
  </si>
  <si>
    <t>Th8h</t>
  </si>
  <si>
    <t>Th7s</t>
  </si>
  <si>
    <t>Th7d</t>
  </si>
  <si>
    <t>Th7c</t>
  </si>
  <si>
    <t>Th7h</t>
  </si>
  <si>
    <t>Th6s</t>
  </si>
  <si>
    <t>Th6d</t>
  </si>
  <si>
    <t>Th6c</t>
  </si>
  <si>
    <t>Th6h</t>
  </si>
  <si>
    <t>Th5s</t>
  </si>
  <si>
    <t>Th5d</t>
  </si>
  <si>
    <t>Th5c</t>
  </si>
  <si>
    <t>Th5h</t>
  </si>
  <si>
    <t>Th4s</t>
  </si>
  <si>
    <t>Th4d</t>
  </si>
  <si>
    <t>Th4c</t>
  </si>
  <si>
    <t>Th4h</t>
  </si>
  <si>
    <t>Th3s</t>
  </si>
  <si>
    <t>Th3d</t>
  </si>
  <si>
    <t>Th3c</t>
  </si>
  <si>
    <t>Th3h</t>
  </si>
  <si>
    <t>Th2s</t>
  </si>
  <si>
    <t>Th2d</t>
  </si>
  <si>
    <t>Th2c</t>
  </si>
  <si>
    <t>Th2h</t>
  </si>
  <si>
    <t>9s8s</t>
  </si>
  <si>
    <t>9s8d</t>
  </si>
  <si>
    <t>9s8c</t>
  </si>
  <si>
    <t>9s8h</t>
  </si>
  <si>
    <t>9s7s</t>
  </si>
  <si>
    <t>9s7d</t>
  </si>
  <si>
    <t>9s7c</t>
  </si>
  <si>
    <t>9s7h</t>
  </si>
  <si>
    <t>9s6s</t>
  </si>
  <si>
    <t>9s6d</t>
  </si>
  <si>
    <t>9s6c</t>
  </si>
  <si>
    <t>9s6h</t>
  </si>
  <si>
    <t>9s5s</t>
  </si>
  <si>
    <t>9s5d</t>
  </si>
  <si>
    <t>9s5c</t>
  </si>
  <si>
    <t>9s5h</t>
  </si>
  <si>
    <t>9s4s</t>
  </si>
  <si>
    <t>9s4d</t>
  </si>
  <si>
    <t>9s4c</t>
  </si>
  <si>
    <t>9s4h</t>
  </si>
  <si>
    <t>9s3s</t>
  </si>
  <si>
    <t>9s3d</t>
  </si>
  <si>
    <t>9s3c</t>
  </si>
  <si>
    <t>9s3h</t>
  </si>
  <si>
    <t>9s2s</t>
  </si>
  <si>
    <t>9s2d</t>
  </si>
  <si>
    <t>9s2c</t>
  </si>
  <si>
    <t>9s2h</t>
  </si>
  <si>
    <t>9d8s</t>
  </si>
  <si>
    <t>9d8d</t>
  </si>
  <si>
    <t>9d8c</t>
  </si>
  <si>
    <t>9d8h</t>
  </si>
  <si>
    <t>9d7s</t>
  </si>
  <si>
    <t>9d7d</t>
  </si>
  <si>
    <t>9d7c</t>
  </si>
  <si>
    <t>9d7h</t>
  </si>
  <si>
    <t>9d6s</t>
  </si>
  <si>
    <t>9d6d</t>
  </si>
  <si>
    <t>9d6c</t>
  </si>
  <si>
    <t>9d6h</t>
  </si>
  <si>
    <t>9d5s</t>
  </si>
  <si>
    <t>9d5d</t>
  </si>
  <si>
    <t>9d5c</t>
  </si>
  <si>
    <t>9d5h</t>
  </si>
  <si>
    <t>9d4s</t>
  </si>
  <si>
    <t>9d4d</t>
  </si>
  <si>
    <t>9d4c</t>
  </si>
  <si>
    <t>9d4h</t>
  </si>
  <si>
    <t>9d3s</t>
  </si>
  <si>
    <t>9d3d</t>
  </si>
  <si>
    <t>9d3c</t>
  </si>
  <si>
    <t>9d3h</t>
  </si>
  <si>
    <t>9d2s</t>
  </si>
  <si>
    <t>9d2d</t>
  </si>
  <si>
    <t>9d2c</t>
  </si>
  <si>
    <t>9d2h</t>
  </si>
  <si>
    <t>9c8s</t>
  </si>
  <si>
    <t>9c8d</t>
  </si>
  <si>
    <t>9c8c</t>
  </si>
  <si>
    <t>9c8h</t>
  </si>
  <si>
    <t>9c7s</t>
  </si>
  <si>
    <t>9c7d</t>
  </si>
  <si>
    <t>9c7c</t>
  </si>
  <si>
    <t>9c7h</t>
  </si>
  <si>
    <t>9c6s</t>
  </si>
  <si>
    <t>9c6d</t>
  </si>
  <si>
    <t>9c6c</t>
  </si>
  <si>
    <t>9c6h</t>
  </si>
  <si>
    <t>9c5s</t>
  </si>
  <si>
    <t>9c5d</t>
  </si>
  <si>
    <t>9c5c</t>
  </si>
  <si>
    <t>9c5h</t>
  </si>
  <si>
    <t>9c4s</t>
  </si>
  <si>
    <t>9c4d</t>
  </si>
  <si>
    <t>9c4c</t>
  </si>
  <si>
    <t>9c4h</t>
  </si>
  <si>
    <t>9c3s</t>
  </si>
  <si>
    <t>9c3d</t>
  </si>
  <si>
    <t>9c3c</t>
  </si>
  <si>
    <t>9c3h</t>
  </si>
  <si>
    <t>9c2s</t>
  </si>
  <si>
    <t>9c2d</t>
  </si>
  <si>
    <t>9c2c</t>
  </si>
  <si>
    <t>9c2h</t>
  </si>
  <si>
    <t>9h8s</t>
  </si>
  <si>
    <t>9h8d</t>
  </si>
  <si>
    <t>9h8c</t>
  </si>
  <si>
    <t>9h8h</t>
  </si>
  <si>
    <t>9h7s</t>
  </si>
  <si>
    <t>9h7d</t>
  </si>
  <si>
    <t>9h7c</t>
  </si>
  <si>
    <t>9h7h</t>
  </si>
  <si>
    <t>9h6s</t>
  </si>
  <si>
    <t>9h6d</t>
  </si>
  <si>
    <t>9h6c</t>
  </si>
  <si>
    <t>9h6h</t>
  </si>
  <si>
    <t>9h5s</t>
  </si>
  <si>
    <t>9h5d</t>
  </si>
  <si>
    <t>9h5c</t>
  </si>
  <si>
    <t>9h5h</t>
  </si>
  <si>
    <t>9h4s</t>
  </si>
  <si>
    <t>9h4d</t>
  </si>
  <si>
    <t>9h4c</t>
  </si>
  <si>
    <t>9h4h</t>
  </si>
  <si>
    <t>9h3s</t>
  </si>
  <si>
    <t>9h3d</t>
  </si>
  <si>
    <t>9h3c</t>
  </si>
  <si>
    <t>9h3h</t>
  </si>
  <si>
    <t>9h2s</t>
  </si>
  <si>
    <t>9h2d</t>
  </si>
  <si>
    <t>9h2c</t>
  </si>
  <si>
    <t>9h2h</t>
  </si>
  <si>
    <t>8s8d</t>
  </si>
  <si>
    <t>8s8c</t>
  </si>
  <si>
    <t>8s8h</t>
  </si>
  <si>
    <t>8s7s</t>
  </si>
  <si>
    <t>8s7d</t>
  </si>
  <si>
    <t>8s7c</t>
  </si>
  <si>
    <t>8s7h</t>
  </si>
  <si>
    <t>8s6s</t>
  </si>
  <si>
    <t>8s6d</t>
  </si>
  <si>
    <t>8s6c</t>
  </si>
  <si>
    <t>8s6h</t>
  </si>
  <si>
    <t>8s5s</t>
  </si>
  <si>
    <t>8s5d</t>
  </si>
  <si>
    <t>8s5c</t>
  </si>
  <si>
    <t>8s5h</t>
  </si>
  <si>
    <t>8s4s</t>
  </si>
  <si>
    <t>8s4d</t>
  </si>
  <si>
    <t>8s4c</t>
  </si>
  <si>
    <t>8s4h</t>
  </si>
  <si>
    <t>8s3s</t>
  </si>
  <si>
    <t>8s3d</t>
  </si>
  <si>
    <t>8s3c</t>
  </si>
  <si>
    <t>8s3h</t>
  </si>
  <si>
    <t>8s2s</t>
  </si>
  <si>
    <t>8s2d</t>
  </si>
  <si>
    <t>8s2c</t>
  </si>
  <si>
    <t>8s2h</t>
  </si>
  <si>
    <t>8d8c</t>
  </si>
  <si>
    <t>8d8h</t>
  </si>
  <si>
    <t>8d7s</t>
  </si>
  <si>
    <t>8d7d</t>
  </si>
  <si>
    <t>8d7c</t>
  </si>
  <si>
    <t>8d7h</t>
  </si>
  <si>
    <t>8d6s</t>
  </si>
  <si>
    <t>8d6d</t>
  </si>
  <si>
    <t>8d6c</t>
  </si>
  <si>
    <t>8d6h</t>
  </si>
  <si>
    <t>8d5s</t>
  </si>
  <si>
    <t>8d5d</t>
  </si>
  <si>
    <t>8d5c</t>
  </si>
  <si>
    <t>8d5h</t>
  </si>
  <si>
    <t>8d4s</t>
  </si>
  <si>
    <t>8d4d</t>
  </si>
  <si>
    <t>8d4c</t>
  </si>
  <si>
    <t>8d4h</t>
  </si>
  <si>
    <t>8d3s</t>
  </si>
  <si>
    <t>8d3d</t>
  </si>
  <si>
    <t>8d3c</t>
  </si>
  <si>
    <t>8d3h</t>
  </si>
  <si>
    <t>8d2s</t>
  </si>
  <si>
    <t>8d2d</t>
  </si>
  <si>
    <t>8d2c</t>
  </si>
  <si>
    <t>8d2h</t>
  </si>
  <si>
    <t>8c8h</t>
  </si>
  <si>
    <t>8c7s</t>
  </si>
  <si>
    <t>8c7d</t>
  </si>
  <si>
    <t>8c7c</t>
  </si>
  <si>
    <t>8c7h</t>
  </si>
  <si>
    <t>8c6s</t>
  </si>
  <si>
    <t>8c6d</t>
  </si>
  <si>
    <t>8c6c</t>
  </si>
  <si>
    <t>8c6h</t>
  </si>
  <si>
    <t>8c5s</t>
  </si>
  <si>
    <t>8c5d</t>
  </si>
  <si>
    <t>8c5c</t>
  </si>
  <si>
    <t>8c5h</t>
  </si>
  <si>
    <t>8c4s</t>
  </si>
  <si>
    <t>8c4d</t>
  </si>
  <si>
    <t>8c4c</t>
  </si>
  <si>
    <t>8c4h</t>
  </si>
  <si>
    <t>8c3s</t>
  </si>
  <si>
    <t>8c3d</t>
  </si>
  <si>
    <t>8c3c</t>
  </si>
  <si>
    <t>8c3h</t>
  </si>
  <si>
    <t>8c2s</t>
  </si>
  <si>
    <t>8c2d</t>
  </si>
  <si>
    <t>8c2c</t>
  </si>
  <si>
    <t>8c2h</t>
  </si>
  <si>
    <t>8h7s</t>
  </si>
  <si>
    <t>8h7d</t>
  </si>
  <si>
    <t>8h7c</t>
  </si>
  <si>
    <t>8h7h</t>
  </si>
  <si>
    <t>8h6s</t>
  </si>
  <si>
    <t>8h6d</t>
  </si>
  <si>
    <t>8h6c</t>
  </si>
  <si>
    <t>8h6h</t>
  </si>
  <si>
    <t>8h5s</t>
  </si>
  <si>
    <t>8h5d</t>
  </si>
  <si>
    <t>8h5c</t>
  </si>
  <si>
    <t>8h5h</t>
  </si>
  <si>
    <t>8h4s</t>
  </si>
  <si>
    <t>8h4d</t>
  </si>
  <si>
    <t>8h4c</t>
  </si>
  <si>
    <t>8h4h</t>
  </si>
  <si>
    <t>8h3s</t>
  </si>
  <si>
    <t>8h3d</t>
  </si>
  <si>
    <t>8h3c</t>
  </si>
  <si>
    <t>8h3h</t>
  </si>
  <si>
    <t>8h2s</t>
  </si>
  <si>
    <t>8h2d</t>
  </si>
  <si>
    <t>8h2c</t>
  </si>
  <si>
    <t>8h2h</t>
  </si>
  <si>
    <t>7s7d</t>
  </si>
  <si>
    <t>7s7c</t>
  </si>
  <si>
    <t>7s7h</t>
  </si>
  <si>
    <t>7s6s</t>
  </si>
  <si>
    <t>7s6d</t>
  </si>
  <si>
    <t>7s6c</t>
  </si>
  <si>
    <t>7s6h</t>
  </si>
  <si>
    <t>7s5s</t>
  </si>
  <si>
    <t>7s5d</t>
  </si>
  <si>
    <t>7s5c</t>
  </si>
  <si>
    <t>7s5h</t>
  </si>
  <si>
    <t>7s4s</t>
  </si>
  <si>
    <t>7s4d</t>
  </si>
  <si>
    <t>7s4c</t>
  </si>
  <si>
    <t>7s4h</t>
  </si>
  <si>
    <t>7s3s</t>
  </si>
  <si>
    <t>7s3d</t>
  </si>
  <si>
    <t>7s3c</t>
  </si>
  <si>
    <t>7s3h</t>
  </si>
  <si>
    <t>7s2s</t>
  </si>
  <si>
    <t>7s2d</t>
  </si>
  <si>
    <t>7s2c</t>
  </si>
  <si>
    <t>7s2h</t>
  </si>
  <si>
    <t>7d7c</t>
  </si>
  <si>
    <t>7d7h</t>
  </si>
  <si>
    <t>7d6s</t>
  </si>
  <si>
    <t>7d6d</t>
  </si>
  <si>
    <t>7d6c</t>
  </si>
  <si>
    <t>7d6h</t>
  </si>
  <si>
    <t>7d5s</t>
  </si>
  <si>
    <t>7d5d</t>
  </si>
  <si>
    <t>7d5c</t>
  </si>
  <si>
    <t>7d5h</t>
  </si>
  <si>
    <t>7d4s</t>
  </si>
  <si>
    <t>7d4d</t>
  </si>
  <si>
    <t>7d4c</t>
  </si>
  <si>
    <t>7d4h</t>
  </si>
  <si>
    <t>7d3s</t>
  </si>
  <si>
    <t>7d3d</t>
  </si>
  <si>
    <t>7d3c</t>
  </si>
  <si>
    <t>7d3h</t>
  </si>
  <si>
    <t>7d2s</t>
  </si>
  <si>
    <t>7d2d</t>
  </si>
  <si>
    <t>7d2c</t>
  </si>
  <si>
    <t>7d2h</t>
  </si>
  <si>
    <t>7c7h</t>
  </si>
  <si>
    <t>7c6s</t>
  </si>
  <si>
    <t>7c6d</t>
  </si>
  <si>
    <t>7c6c</t>
  </si>
  <si>
    <t>7c6h</t>
  </si>
  <si>
    <t>7c5s</t>
  </si>
  <si>
    <t>7c5d</t>
  </si>
  <si>
    <t>7c5c</t>
  </si>
  <si>
    <t>7c5h</t>
  </si>
  <si>
    <t>7c4s</t>
  </si>
  <si>
    <t>7c4d</t>
  </si>
  <si>
    <t>7c4c</t>
  </si>
  <si>
    <t>7c4h</t>
  </si>
  <si>
    <t>7c3s</t>
  </si>
  <si>
    <t>7c3d</t>
  </si>
  <si>
    <t>7c3c</t>
  </si>
  <si>
    <t>7c3h</t>
  </si>
  <si>
    <t>7c2s</t>
  </si>
  <si>
    <t>7c2d</t>
  </si>
  <si>
    <t>7c2c</t>
  </si>
  <si>
    <t>7c2h</t>
  </si>
  <si>
    <t>7h6s</t>
  </si>
  <si>
    <t>7h6d</t>
  </si>
  <si>
    <t>7h6c</t>
  </si>
  <si>
    <t>7h6h</t>
  </si>
  <si>
    <t>7h5s</t>
  </si>
  <si>
    <t>7h5d</t>
  </si>
  <si>
    <t>7h5c</t>
  </si>
  <si>
    <t>7h5h</t>
  </si>
  <si>
    <t>7h4s</t>
  </si>
  <si>
    <t>7h4d</t>
  </si>
  <si>
    <t>7h4c</t>
  </si>
  <si>
    <t>7h4h</t>
  </si>
  <si>
    <t>7h3s</t>
  </si>
  <si>
    <t>7h3d</t>
  </si>
  <si>
    <t>7h3c</t>
  </si>
  <si>
    <t>7h3h</t>
  </si>
  <si>
    <t>7h2s</t>
  </si>
  <si>
    <t>7h2d</t>
  </si>
  <si>
    <t>7h2c</t>
  </si>
  <si>
    <t>7h2h</t>
  </si>
  <si>
    <t>6s6d</t>
  </si>
  <si>
    <t>6s6c</t>
  </si>
  <si>
    <t>6s6h</t>
  </si>
  <si>
    <t>6s5s</t>
  </si>
  <si>
    <t>6s5d</t>
  </si>
  <si>
    <t>6s5c</t>
  </si>
  <si>
    <t>6s5h</t>
  </si>
  <si>
    <t>6s4s</t>
  </si>
  <si>
    <t>6s4d</t>
  </si>
  <si>
    <t>6s4c</t>
  </si>
  <si>
    <t>6s4h</t>
  </si>
  <si>
    <t>6s3s</t>
  </si>
  <si>
    <t>6s3d</t>
  </si>
  <si>
    <t>6s3c</t>
  </si>
  <si>
    <t>6s3h</t>
  </si>
  <si>
    <t>6s2s</t>
  </si>
  <si>
    <t>6s2d</t>
  </si>
  <si>
    <t>6s2c</t>
  </si>
  <si>
    <t>6s2h</t>
  </si>
  <si>
    <t>6d6c</t>
  </si>
  <si>
    <t>6d6h</t>
  </si>
  <si>
    <t>6d5s</t>
  </si>
  <si>
    <t>6d5d</t>
  </si>
  <si>
    <t>6d5c</t>
  </si>
  <si>
    <t>6d5h</t>
  </si>
  <si>
    <t>6d4s</t>
  </si>
  <si>
    <t>6d4d</t>
  </si>
  <si>
    <t>6d4c</t>
  </si>
  <si>
    <t>6d4h</t>
  </si>
  <si>
    <t>6d3s</t>
  </si>
  <si>
    <t>6d3d</t>
  </si>
  <si>
    <t>6d3c</t>
  </si>
  <si>
    <t>6d3h</t>
  </si>
  <si>
    <t>6d2s</t>
  </si>
  <si>
    <t>6d2d</t>
  </si>
  <si>
    <t>6d2c</t>
  </si>
  <si>
    <t>6d2h</t>
  </si>
  <si>
    <t>6c6h</t>
  </si>
  <si>
    <t>6c5s</t>
  </si>
  <si>
    <t>6c5d</t>
  </si>
  <si>
    <t>6c5c</t>
  </si>
  <si>
    <t>6c5h</t>
  </si>
  <si>
    <t>6c4s</t>
  </si>
  <si>
    <t>6c4d</t>
  </si>
  <si>
    <t>6c4c</t>
  </si>
  <si>
    <t>6c4h</t>
  </si>
  <si>
    <t>6c3s</t>
  </si>
  <si>
    <t>6c3d</t>
  </si>
  <si>
    <t>6c3c</t>
  </si>
  <si>
    <t>6c3h</t>
  </si>
  <si>
    <t>6c2s</t>
  </si>
  <si>
    <t>6c2d</t>
  </si>
  <si>
    <t>6c2c</t>
  </si>
  <si>
    <t>6c2h</t>
  </si>
  <si>
    <t>6h5s</t>
  </si>
  <si>
    <t>6h5d</t>
  </si>
  <si>
    <t>6h5c</t>
  </si>
  <si>
    <t>6h5h</t>
  </si>
  <si>
    <t>6h4s</t>
  </si>
  <si>
    <t>6h4d</t>
  </si>
  <si>
    <t>6h4c</t>
  </si>
  <si>
    <t>6h4h</t>
  </si>
  <si>
    <t>6h3s</t>
  </si>
  <si>
    <t>6h3d</t>
  </si>
  <si>
    <t>6h3c</t>
  </si>
  <si>
    <t>6h3h</t>
  </si>
  <si>
    <t>6h2s</t>
  </si>
  <si>
    <t>6h2d</t>
  </si>
  <si>
    <t>6h2c</t>
  </si>
  <si>
    <t>6h2h</t>
  </si>
  <si>
    <t>5s5d</t>
  </si>
  <si>
    <t>5s5c</t>
  </si>
  <si>
    <t>5s5h</t>
  </si>
  <si>
    <t>5s4s</t>
  </si>
  <si>
    <t>5s4d</t>
  </si>
  <si>
    <t>5s4c</t>
  </si>
  <si>
    <t>5s4h</t>
  </si>
  <si>
    <t>5s3s</t>
  </si>
  <si>
    <t>5s3d</t>
  </si>
  <si>
    <t>5s3c</t>
  </si>
  <si>
    <t>5s3h</t>
  </si>
  <si>
    <t>5s2s</t>
  </si>
  <si>
    <t>5s2d</t>
  </si>
  <si>
    <t>5s2c</t>
  </si>
  <si>
    <t>5s2h</t>
  </si>
  <si>
    <t>5d5c</t>
  </si>
  <si>
    <t>5d5h</t>
  </si>
  <si>
    <t>5d4s</t>
  </si>
  <si>
    <t>5d4d</t>
  </si>
  <si>
    <t>5d4c</t>
  </si>
  <si>
    <t>5d4h</t>
  </si>
  <si>
    <t>5d3s</t>
  </si>
  <si>
    <t>5d3d</t>
  </si>
  <si>
    <t>5d3c</t>
  </si>
  <si>
    <t>5d3h</t>
  </si>
  <si>
    <t>5d2s</t>
  </si>
  <si>
    <t>5d2d</t>
  </si>
  <si>
    <t>5d2c</t>
  </si>
  <si>
    <t>5d2h</t>
  </si>
  <si>
    <t>5c5h</t>
  </si>
  <si>
    <t>5c4s</t>
  </si>
  <si>
    <t>5c4d</t>
  </si>
  <si>
    <t>5c4c</t>
  </si>
  <si>
    <t>5c4h</t>
  </si>
  <si>
    <t>5c3s</t>
  </si>
  <si>
    <t>5c3d</t>
  </si>
  <si>
    <t>5c3c</t>
  </si>
  <si>
    <t>5c3h</t>
  </si>
  <si>
    <t>5c2s</t>
  </si>
  <si>
    <t>5c2d</t>
  </si>
  <si>
    <t>5c2c</t>
  </si>
  <si>
    <t>5c2h</t>
  </si>
  <si>
    <t>5h4s</t>
  </si>
  <si>
    <t>5h4d</t>
  </si>
  <si>
    <t>5h4c</t>
  </si>
  <si>
    <t>5h4h</t>
  </si>
  <si>
    <t>5h3s</t>
  </si>
  <si>
    <t>5h3d</t>
  </si>
  <si>
    <t>5h3c</t>
  </si>
  <si>
    <t>5h3h</t>
  </si>
  <si>
    <t>5h2s</t>
  </si>
  <si>
    <t>5h2d</t>
  </si>
  <si>
    <t>5h2c</t>
  </si>
  <si>
    <t>5h2h</t>
  </si>
  <si>
    <t>4s4d</t>
  </si>
  <si>
    <t>4s4c</t>
  </si>
  <si>
    <t>4s4h</t>
  </si>
  <si>
    <t>4s3s</t>
  </si>
  <si>
    <t>4s3d</t>
  </si>
  <si>
    <t>4s3c</t>
  </si>
  <si>
    <t>4s3h</t>
  </si>
  <si>
    <t>4s2s</t>
  </si>
  <si>
    <t>4s2d</t>
  </si>
  <si>
    <t>4s2c</t>
  </si>
  <si>
    <t>4s2h</t>
  </si>
  <si>
    <t>4d4c</t>
  </si>
  <si>
    <t>4d4h</t>
  </si>
  <si>
    <t>4d3s</t>
  </si>
  <si>
    <t>4d3d</t>
  </si>
  <si>
    <t>4d3c</t>
  </si>
  <si>
    <t>4d3h</t>
  </si>
  <si>
    <t>4d2s</t>
  </si>
  <si>
    <t>4d2d</t>
  </si>
  <si>
    <t>4d2c</t>
  </si>
  <si>
    <t>4d2h</t>
  </si>
  <si>
    <t>4c4h</t>
  </si>
  <si>
    <t>4c3s</t>
  </si>
  <si>
    <t>4c3d</t>
  </si>
  <si>
    <t>4c3c</t>
  </si>
  <si>
    <t>4c3h</t>
  </si>
  <si>
    <t>4c2s</t>
  </si>
  <si>
    <t>4c2d</t>
  </si>
  <si>
    <t>4c2c</t>
  </si>
  <si>
    <t>4c2h</t>
  </si>
  <si>
    <t>4h3s</t>
  </si>
  <si>
    <t>4h3d</t>
  </si>
  <si>
    <t>4h3c</t>
  </si>
  <si>
    <t>4h3h</t>
  </si>
  <si>
    <t>4h2s</t>
  </si>
  <si>
    <t>4h2d</t>
  </si>
  <si>
    <t>4h2c</t>
  </si>
  <si>
    <t>4h2h</t>
  </si>
  <si>
    <t>3s3d</t>
  </si>
  <si>
    <t>3s3c</t>
  </si>
  <si>
    <t>3s3h</t>
  </si>
  <si>
    <t>3s2s</t>
  </si>
  <si>
    <t>3s2d</t>
  </si>
  <si>
    <t>3s2c</t>
  </si>
  <si>
    <t>3s2h</t>
  </si>
  <si>
    <t>3d3c</t>
  </si>
  <si>
    <t>3d3h</t>
  </si>
  <si>
    <t>3d2s</t>
  </si>
  <si>
    <t>3d2d</t>
  </si>
  <si>
    <t>3d2c</t>
  </si>
  <si>
    <t>3d2h</t>
  </si>
  <si>
    <t>3c3h</t>
  </si>
  <si>
    <t>3c2s</t>
  </si>
  <si>
    <t>3c2d</t>
  </si>
  <si>
    <t>3c2c</t>
  </si>
  <si>
    <t>3c2h</t>
  </si>
  <si>
    <t>3h2s</t>
  </si>
  <si>
    <t>3h2d</t>
  </si>
  <si>
    <t>3h2c</t>
  </si>
  <si>
    <t>3h2h</t>
  </si>
  <si>
    <t>AsTs</t>
  </si>
  <si>
    <t>As9d</t>
  </si>
  <si>
    <t>Ad9d</t>
  </si>
  <si>
    <t>Ac9d</t>
  </si>
  <si>
    <t>Ah9d</t>
  </si>
  <si>
    <t>Ks9d</t>
  </si>
  <si>
    <t>Kd9d</t>
  </si>
  <si>
    <t>Kc9d</t>
  </si>
  <si>
    <t>Kh9d</t>
  </si>
  <si>
    <t>Qs9d</t>
  </si>
  <si>
    <t>Qd9d</t>
  </si>
  <si>
    <t>Qc9d</t>
  </si>
  <si>
    <t>Qh9d</t>
  </si>
  <si>
    <t>Js9d</t>
  </si>
  <si>
    <t>Jd9d</t>
  </si>
  <si>
    <t>Jc9d</t>
  </si>
  <si>
    <t>Jh9d</t>
  </si>
  <si>
    <t>Ts9d</t>
  </si>
  <si>
    <t>Td9d</t>
  </si>
  <si>
    <t>Tc9d</t>
  </si>
  <si>
    <t>Th9d</t>
  </si>
  <si>
    <t>AdTs</t>
  </si>
  <si>
    <t>AcTs</t>
  </si>
  <si>
    <t>AhTs</t>
  </si>
  <si>
    <t>KsTs</t>
  </si>
  <si>
    <t>KdTs</t>
  </si>
  <si>
    <t>KcTs</t>
  </si>
  <si>
    <t>KhTs</t>
  </si>
  <si>
    <t>QsTs</t>
  </si>
  <si>
    <t>QdTs</t>
  </si>
  <si>
    <t>QcTs</t>
  </si>
  <si>
    <t>QhTs</t>
  </si>
  <si>
    <t>JsTs</t>
  </si>
  <si>
    <t>JdTs</t>
  </si>
  <si>
    <t>JcTs</t>
  </si>
  <si>
    <t>JhTs</t>
  </si>
  <si>
    <t>F1</t>
  </si>
  <si>
    <t>H1</t>
  </si>
  <si>
    <t>H2</t>
  </si>
  <si>
    <t>F2</t>
  </si>
  <si>
    <t>F3</t>
  </si>
  <si>
    <t>R</t>
  </si>
  <si>
    <t>https://intothetank.github.io/</t>
  </si>
  <si>
    <t>Into the Tank - Live Poker Study Sessions</t>
  </si>
  <si>
    <t>https://discord.gg/xMVaC45xJP</t>
  </si>
  <si>
    <t xml:space="preserve">Hi there.
I am Nick, I run a discord called Into the Tank that is designed to help practice playing poker with intention.
I set up poker sessions and then we play hands before pausing to walk through the thinking. The intention it to get better at running through the key information before arriving at a decision in live poker play.
This tool is designed to help you practice setting ranges for opponents. I use it during analysis of hands, or sometimes watching youtube hand breakdowns and checking to see whether the results of the hand match the range I anticipated.
Controls:
Left Click: You can left click on any combination, or drag the mouse across multiple cells to highlight them as being in the range
Right Click: If you right click a cell, the different suit combinations can be selected, so you can get more specific
Buttons: The hole cards, flop, turn, and river allow you to set cards that will then automatically be excluded from the combinations
Note: Clicking and dragging across mutliple partially selected combinations will deselct them in bulk
The worksheet is protected, but has no password. Feel free to unprotect it and play with the VBA formulas if you want to improve it or change it for personal use. Check back sometimes, as I am likely to build onto it or move to better tools for new iterations.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</si>
</sst>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b/>
      <sz val="11"/>
      <color theme="1"/>
      <name val="Aptos Narrow"/>
      <family val="2"/>
      <scheme val="minor"/>
    </font>
    <font>
      <sz val="11"/>
      <color theme="1"/>
      <name val="Aptos Narrow"/>
      <family val="2"/>
      <scheme val="minor"/>
    </font>
    <font>
      <sz val="10"/>
      <color theme="1"/>
      <name val="Aptos Narrow"/>
      <family val="2"/>
      <scheme val="minor"/>
    </font>
    <font>
      <sz val="12"/>
      <color theme="1"/>
      <name val="Aptos Narrow"/>
      <family val="2"/>
      <scheme val="minor"/>
    </font>
    <font>
      <sz val="14"/>
      <color theme="1"/>
      <name val="Aptos Narrow"/>
      <family val="2"/>
      <scheme val="minor"/>
    </font>
    <font>
      <b/>
      <sz val="14"/>
      <color theme="1"/>
      <name val="Aptos Narrow"/>
      <family val="2"/>
      <scheme val="minor"/>
    </font>
    <font>
      <sz val="9"/>
      <color theme="1"/>
      <name val="Aptos Narrow"/>
      <family val="2"/>
      <scheme val="minor"/>
    </font>
    <font>
      <sz val="20"/>
      <color rgb="FF000000"/>
      <name val="Aptos Narrow"/>
      <family val="2"/>
    </font>
    <font>
      <sz val="11"/>
      <color rgb="FF000000"/>
      <name val="Aptos Narrow"/>
      <family val="2"/>
    </font>
    <font>
      <b/>
      <sz val="10"/>
      <color theme="1"/>
      <name val="Aptos Narrow"/>
      <family val="2"/>
      <scheme val="minor"/>
    </font>
    <font>
      <b/>
      <sz val="9"/>
      <color theme="1"/>
      <name val="Aptos Narrow"/>
      <family val="2"/>
      <scheme val="minor"/>
    </font>
  </fonts>
  <fills count="17">
    <fill>
      <patternFill patternType="none"/>
    </fill>
    <fill>
      <patternFill patternType="gray125"/>
    </fill>
    <fill>
      <patternFill patternType="solid">
        <fgColor rgb="FFC8E6C8"/>
        <bgColor indexed="64"/>
      </patternFill>
    </fill>
    <fill>
      <patternFill patternType="solid">
        <fgColor rgb="FFC8D2E6"/>
        <bgColor indexed="64"/>
      </patternFill>
    </fill>
    <fill>
      <patternFill patternType="solid">
        <fgColor rgb="FFE6C8C8"/>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D5D5"/>
        <bgColor indexed="64"/>
      </patternFill>
    </fill>
    <fill>
      <patternFill patternType="solid">
        <fgColor theme="4" tint="0.79998168889431442"/>
        <bgColor indexed="64"/>
      </patternFill>
    </fill>
    <fill>
      <patternFill patternType="solid">
        <fgColor theme="3" tint="0.749992370372631"/>
        <bgColor indexed="64"/>
      </patternFill>
    </fill>
    <fill>
      <patternFill patternType="solid">
        <fgColor rgb="FFDAE6D5"/>
        <bgColor indexed="64"/>
      </patternFill>
    </fill>
    <fill>
      <patternFill patternType="solid">
        <fgColor rgb="FFFFABAB"/>
        <bgColor indexed="64"/>
      </patternFill>
    </fill>
    <fill>
      <patternFill patternType="solid">
        <fgColor rgb="FFB2CCA8"/>
        <bgColor indexed="64"/>
      </patternFill>
    </fill>
    <fill>
      <patternFill patternType="solid">
        <fgColor rgb="FFF1F6F0"/>
        <bgColor indexed="64"/>
      </patternFill>
    </fill>
    <fill>
      <patternFill patternType="solid">
        <fgColor rgb="FFFFEFEF"/>
        <bgColor indexed="64"/>
      </patternFill>
    </fill>
    <fill>
      <patternFill patternType="solid">
        <fgColor theme="0"/>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9" fontId="2" fillId="0" borderId="0" applyFont="0" applyFill="0" applyBorder="0" applyAlignment="0" applyProtection="0"/>
  </cellStyleXfs>
  <cellXfs count="77">
    <xf numFmtId="0" fontId="0" fillId="0" borderId="0" xfId="0"/>
    <xf numFmtId="0" fontId="1" fillId="0" borderId="0" xfId="0" applyFont="1" applyAlignment="1">
      <alignment horizontal="center" vertical="center"/>
    </xf>
    <xf numFmtId="0" fontId="0" fillId="0" borderId="0" xfId="0" applyAlignment="1">
      <alignment horizontal="center"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8" borderId="0" xfId="0" applyFont="1" applyFill="1" applyAlignment="1">
      <alignment horizontal="center" vertical="center"/>
    </xf>
    <xf numFmtId="0" fontId="1" fillId="7" borderId="0" xfId="0" applyFont="1" applyFill="1" applyAlignment="1">
      <alignment horizontal="center" vertical="center"/>
    </xf>
    <xf numFmtId="0" fontId="1" fillId="0" borderId="0" xfId="0" applyFont="1"/>
    <xf numFmtId="10" fontId="4" fillId="12" borderId="1" xfId="1" applyNumberFormat="1" applyFont="1" applyFill="1" applyBorder="1" applyAlignment="1" applyProtection="1">
      <alignment horizontal="center" vertical="center"/>
    </xf>
    <xf numFmtId="10" fontId="3" fillId="10" borderId="1" xfId="1" applyNumberFormat="1" applyFont="1" applyFill="1" applyBorder="1" applyAlignment="1" applyProtection="1">
      <alignment horizontal="center" vertical="center"/>
    </xf>
    <xf numFmtId="10" fontId="10" fillId="15" borderId="1" xfId="1" applyNumberFormat="1" applyFont="1" applyFill="1" applyBorder="1" applyAlignment="1" applyProtection="1">
      <alignment horizontal="center" vertical="center"/>
    </xf>
    <xf numFmtId="10" fontId="3" fillId="13" borderId="1" xfId="1" applyNumberFormat="1" applyFont="1" applyFill="1" applyBorder="1" applyAlignment="1" applyProtection="1">
      <alignment horizontal="center" vertical="center"/>
    </xf>
    <xf numFmtId="10" fontId="7" fillId="10" borderId="1" xfId="1" applyNumberFormat="1" applyFont="1" applyFill="1" applyBorder="1" applyAlignment="1" applyProtection="1">
      <alignment horizontal="center" vertical="center"/>
    </xf>
    <xf numFmtId="10" fontId="7" fillId="7" borderId="1" xfId="1" applyNumberFormat="1" applyFont="1" applyFill="1" applyBorder="1" applyAlignment="1" applyProtection="1">
      <alignment horizontal="center" vertical="center"/>
    </xf>
    <xf numFmtId="10" fontId="7" fillId="9" borderId="1" xfId="1" applyNumberFormat="1" applyFont="1" applyFill="1" applyBorder="1" applyAlignment="1" applyProtection="1">
      <alignment horizontal="center" vertical="center"/>
    </xf>
    <xf numFmtId="10" fontId="4" fillId="11" borderId="4" xfId="1" applyNumberFormat="1" applyFont="1" applyFill="1" applyBorder="1" applyAlignment="1" applyProtection="1">
      <alignment horizontal="center" vertical="center"/>
    </xf>
    <xf numFmtId="10" fontId="3" fillId="7" borderId="4" xfId="1" applyNumberFormat="1" applyFont="1" applyFill="1" applyBorder="1" applyAlignment="1" applyProtection="1">
      <alignment horizontal="center" vertical="center"/>
    </xf>
    <xf numFmtId="10" fontId="3" fillId="14" borderId="4" xfId="1" applyNumberFormat="1" applyFont="1" applyFill="1" applyBorder="1" applyAlignment="1" applyProtection="1">
      <alignment horizontal="center" vertical="center"/>
    </xf>
    <xf numFmtId="10" fontId="3" fillId="9" borderId="4" xfId="1" applyNumberFormat="1" applyFont="1" applyFill="1" applyBorder="1" applyAlignment="1" applyProtection="1">
      <alignment horizontal="center" vertical="center"/>
    </xf>
    <xf numFmtId="0" fontId="0" fillId="5" borderId="0" xfId="0" applyFill="1" applyAlignment="1">
      <alignment horizontal="center" vertical="center"/>
    </xf>
    <xf numFmtId="0" fontId="0" fillId="5" borderId="0" xfId="0" applyFill="1"/>
    <xf numFmtId="0" fontId="11" fillId="5" borderId="0" xfId="0" applyFont="1" applyFill="1" applyAlignment="1">
      <alignment horizontal="center"/>
    </xf>
    <xf numFmtId="0" fontId="3" fillId="5" borderId="0" xfId="0" applyFont="1" applyFill="1"/>
    <xf numFmtId="0" fontId="3" fillId="5" borderId="0" xfId="0" applyFont="1" applyFill="1" applyAlignment="1">
      <alignment horizontal="center"/>
    </xf>
    <xf numFmtId="0" fontId="0" fillId="3" borderId="0" xfId="0" applyFill="1" applyAlignment="1">
      <alignment horizontal="center" vertical="center"/>
    </xf>
    <xf numFmtId="0" fontId="0" fillId="2" borderId="0" xfId="0" applyFill="1" applyAlignment="1">
      <alignment horizontal="center" vertical="center"/>
    </xf>
    <xf numFmtId="0" fontId="4" fillId="12" borderId="1" xfId="0" applyFont="1" applyFill="1" applyBorder="1"/>
    <xf numFmtId="0" fontId="4" fillId="12" borderId="1" xfId="0" applyFont="1" applyFill="1" applyBorder="1" applyAlignment="1">
      <alignment horizontal="center" vertical="center"/>
    </xf>
    <xf numFmtId="0" fontId="0" fillId="4" borderId="0" xfId="0" applyFill="1" applyAlignment="1">
      <alignment horizontal="center" vertical="center"/>
    </xf>
    <xf numFmtId="0" fontId="3" fillId="10" borderId="1" xfId="0" applyFont="1" applyFill="1" applyBorder="1"/>
    <xf numFmtId="0" fontId="3" fillId="10" borderId="1" xfId="0" applyFont="1" applyFill="1" applyBorder="1" applyAlignment="1">
      <alignment horizontal="center" vertical="center"/>
    </xf>
    <xf numFmtId="0" fontId="0" fillId="15" borderId="5" xfId="0" applyFill="1" applyBorder="1"/>
    <xf numFmtId="0" fontId="0" fillId="15" borderId="6" xfId="0" applyFill="1" applyBorder="1"/>
    <xf numFmtId="0" fontId="5" fillId="15" borderId="6" xfId="0" applyFont="1" applyFill="1" applyBorder="1"/>
    <xf numFmtId="0" fontId="6" fillId="15" borderId="4" xfId="0" applyFont="1" applyFill="1" applyBorder="1" applyAlignment="1">
      <alignment horizontal="right" vertical="center"/>
    </xf>
    <xf numFmtId="0" fontId="6" fillId="15" borderId="1" xfId="0" applyFont="1" applyFill="1" applyBorder="1" applyAlignment="1">
      <alignment horizontal="center" vertical="center"/>
    </xf>
    <xf numFmtId="0" fontId="3" fillId="13" borderId="1" xfId="0" applyFont="1" applyFill="1" applyBorder="1"/>
    <xf numFmtId="0" fontId="3" fillId="13" borderId="1" xfId="0" applyFont="1" applyFill="1" applyBorder="1" applyAlignment="1">
      <alignment horizontal="center" vertical="center"/>
    </xf>
    <xf numFmtId="0" fontId="0" fillId="10" borderId="5" xfId="0" applyFill="1" applyBorder="1"/>
    <xf numFmtId="0" fontId="7" fillId="10" borderId="6" xfId="0" applyFont="1" applyFill="1" applyBorder="1"/>
    <xf numFmtId="0" fontId="7" fillId="10" borderId="4" xfId="0" applyFont="1" applyFill="1" applyBorder="1" applyAlignment="1">
      <alignment horizontal="right" vertical="center"/>
    </xf>
    <xf numFmtId="0" fontId="7" fillId="10" borderId="1" xfId="0" applyFont="1" applyFill="1" applyBorder="1" applyAlignment="1">
      <alignment horizontal="center" vertical="center"/>
    </xf>
    <xf numFmtId="0" fontId="0" fillId="7" borderId="5" xfId="0" applyFill="1" applyBorder="1"/>
    <xf numFmtId="0" fontId="7" fillId="7" borderId="6" xfId="0" applyFont="1" applyFill="1" applyBorder="1"/>
    <xf numFmtId="0" fontId="7" fillId="7" borderId="4" xfId="0" applyFont="1" applyFill="1" applyBorder="1" applyAlignment="1">
      <alignment horizontal="right" vertical="center"/>
    </xf>
    <xf numFmtId="0" fontId="7" fillId="7" borderId="1" xfId="0" applyFont="1" applyFill="1" applyBorder="1" applyAlignment="1">
      <alignment horizontal="center" vertical="center"/>
    </xf>
    <xf numFmtId="0" fontId="0" fillId="9" borderId="5" xfId="0" applyFill="1" applyBorder="1"/>
    <xf numFmtId="0" fontId="7" fillId="9" borderId="6" xfId="0" applyFont="1" applyFill="1" applyBorder="1"/>
    <xf numFmtId="0" fontId="7" fillId="9" borderId="4" xfId="0" applyFont="1" applyFill="1" applyBorder="1" applyAlignment="1">
      <alignment horizontal="right" vertical="center"/>
    </xf>
    <xf numFmtId="0" fontId="7" fillId="9" borderId="1" xfId="0" applyFont="1" applyFill="1" applyBorder="1" applyAlignment="1">
      <alignment horizontal="center" vertical="center"/>
    </xf>
    <xf numFmtId="0" fontId="1" fillId="5" borderId="0" xfId="0" applyFont="1" applyFill="1"/>
    <xf numFmtId="10" fontId="3" fillId="5" borderId="0" xfId="0" applyNumberFormat="1" applyFont="1" applyFill="1"/>
    <xf numFmtId="0" fontId="4" fillId="11" borderId="5" xfId="0" applyFont="1" applyFill="1" applyBorder="1"/>
    <xf numFmtId="0" fontId="4" fillId="11" borderId="6" xfId="0" applyFont="1" applyFill="1" applyBorder="1"/>
    <xf numFmtId="0" fontId="4" fillId="11" borderId="4" xfId="0" applyFont="1" applyFill="1" applyBorder="1"/>
    <xf numFmtId="0" fontId="4" fillId="11" borderId="1" xfId="0" applyFont="1" applyFill="1" applyBorder="1" applyAlignment="1">
      <alignment horizontal="center" vertical="center"/>
    </xf>
    <xf numFmtId="0" fontId="3" fillId="7" borderId="5" xfId="0" applyFont="1" applyFill="1" applyBorder="1"/>
    <xf numFmtId="0" fontId="3" fillId="7" borderId="6" xfId="0" applyFont="1" applyFill="1" applyBorder="1"/>
    <xf numFmtId="0" fontId="3" fillId="7" borderId="4" xfId="0" applyFont="1" applyFill="1" applyBorder="1"/>
    <xf numFmtId="0" fontId="3" fillId="7" borderId="1" xfId="0" applyFont="1" applyFill="1" applyBorder="1" applyAlignment="1">
      <alignment horizontal="center" vertical="center"/>
    </xf>
    <xf numFmtId="0" fontId="3" fillId="14" borderId="5" xfId="0" applyFont="1" applyFill="1" applyBorder="1"/>
    <xf numFmtId="0" fontId="3" fillId="14" borderId="6" xfId="0" applyFont="1" applyFill="1" applyBorder="1"/>
    <xf numFmtId="0" fontId="3" fillId="14" borderId="4" xfId="0" applyFont="1" applyFill="1" applyBorder="1"/>
    <xf numFmtId="0" fontId="3" fillId="14" borderId="1" xfId="0" applyFont="1" applyFill="1" applyBorder="1" applyAlignment="1">
      <alignment horizontal="center" vertical="center"/>
    </xf>
    <xf numFmtId="0" fontId="3" fillId="9" borderId="5" xfId="0" applyFont="1" applyFill="1" applyBorder="1"/>
    <xf numFmtId="0" fontId="3" fillId="9" borderId="6" xfId="0" applyFont="1" applyFill="1" applyBorder="1"/>
    <xf numFmtId="0" fontId="3" fillId="9" borderId="4" xfId="0" applyFont="1" applyFill="1" applyBorder="1"/>
    <xf numFmtId="0" fontId="3" fillId="9" borderId="1" xfId="0" applyFont="1" applyFill="1" applyBorder="1" applyAlignment="1">
      <alignment horizontal="center" vertical="center"/>
    </xf>
    <xf numFmtId="0" fontId="0" fillId="16" borderId="7" xfId="0" applyFill="1" applyBorder="1"/>
    <xf numFmtId="0" fontId="0" fillId="16" borderId="9" xfId="0" applyFill="1" applyBorder="1"/>
    <xf numFmtId="0" fontId="0" fillId="16" borderId="10" xfId="0" applyFill="1" applyBorder="1"/>
    <xf numFmtId="0" fontId="0" fillId="16" borderId="0" xfId="0" applyFill="1" applyBorder="1"/>
    <xf numFmtId="0" fontId="0" fillId="16" borderId="3" xfId="0" applyFill="1" applyBorder="1"/>
    <xf numFmtId="0" fontId="0" fillId="16" borderId="11" xfId="0" applyFill="1" applyBorder="1"/>
    <xf numFmtId="0" fontId="0" fillId="16" borderId="2" xfId="0" applyFill="1" applyBorder="1"/>
    <xf numFmtId="0" fontId="0" fillId="16" borderId="12" xfId="0" applyFill="1" applyBorder="1"/>
    <xf numFmtId="0" fontId="0" fillId="16" borderId="8" xfId="0" applyFill="1" applyBorder="1" applyAlignment="1">
      <alignment wrapText="1"/>
    </xf>
  </cellXfs>
  <cellStyles count="2">
    <cellStyle name="Normal" xfId="0" builtinId="0"/>
    <cellStyle name="Percent" xfId="1" builtinId="5"/>
  </cellStyles>
  <dxfs count="28">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tint="-0.499984740745262"/>
      </font>
      <fill>
        <patternFill>
          <bgColor theme="0"/>
        </patternFill>
      </fill>
    </dxf>
    <dxf>
      <fill>
        <patternFill>
          <bgColor theme="0" tint="-0.34998626667073579"/>
        </patternFill>
      </fill>
    </dxf>
    <dxf>
      <fill>
        <patternFill>
          <bgColor theme="4" tint="0.79998168889431442"/>
        </patternFill>
      </fill>
    </dxf>
    <dxf>
      <fill>
        <patternFill>
          <bgColor rgb="FFFFC9C9"/>
        </patternFill>
      </fill>
    </dxf>
    <dxf>
      <fill>
        <patternFill>
          <bgColor theme="9" tint="0.79998168889431442"/>
        </patternFill>
      </fill>
    </dxf>
    <dxf>
      <fill>
        <patternFill patternType="none">
          <bgColor auto="1"/>
        </patternFill>
      </fill>
    </dxf>
  </dxfs>
  <tableStyles count="0" defaultTableStyle="TableStyleMedium2" defaultPivotStyle="PivotStyleLight16"/>
  <colors>
    <mruColors>
      <color rgb="FFFFC9C9"/>
      <color rgb="FFFFEFEF"/>
      <color rgb="FFF1F6F0"/>
      <color rgb="FFEEF4EC"/>
      <color rgb="FFB2CCA8"/>
      <color rgb="FFFFABAB"/>
      <color rgb="FFFFD5D5"/>
      <color rgb="FFDAE6D5"/>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695023727"/>
        <c:axId val="1649878015"/>
      </c:barChart>
      <c:catAx>
        <c:axId val="1695023727"/>
        <c:scaling>
          <c:orientation val="minMax"/>
        </c:scaling>
        <c:delete val="0"/>
        <c:axPos val="b"/>
        <c:numFmt formatCode="General" sourceLinked="1"/>
        <c:majorTickMark val="out"/>
        <c:minorTickMark val="none"/>
        <c:tickLblPos val="nextTo"/>
        <c:crossAx val="1649878015"/>
        <c:crosses val="autoZero"/>
        <c:auto val="1"/>
        <c:lblAlgn val="ctr"/>
        <c:lblOffset val="100"/>
        <c:noMultiLvlLbl val="0"/>
      </c:catAx>
      <c:valAx>
        <c:axId val="1649878015"/>
        <c:scaling>
          <c:orientation val="minMax"/>
        </c:scaling>
        <c:delete val="0"/>
        <c:axPos val="l"/>
        <c:majorGridlines/>
        <c:numFmt formatCode="General" sourceLinked="1"/>
        <c:majorTickMark val="out"/>
        <c:minorTickMark val="none"/>
        <c:tickLblPos val="nextTo"/>
        <c:crossAx val="16950237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3057526</xdr:colOff>
      <xdr:row>1</xdr:row>
      <xdr:rowOff>3543300</xdr:rowOff>
    </xdr:from>
    <xdr:to>
      <xdr:col>2</xdr:col>
      <xdr:colOff>5260746</xdr:colOff>
      <xdr:row>7</xdr:row>
      <xdr:rowOff>133350</xdr:rowOff>
    </xdr:to>
    <xdr:pic>
      <xdr:nvPicPr>
        <xdr:cNvPr id="2" name="Picture 1">
          <a:extLst>
            <a:ext uri="{FF2B5EF4-FFF2-40B4-BE49-F238E27FC236}">
              <a16:creationId xmlns:a16="http://schemas.microsoft.com/office/drawing/2014/main" id="{159CE16F-3C92-BD52-A2CB-3DE2E3A85B46}"/>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437" t="11719" r="24503" b="27213"/>
        <a:stretch>
          <a:fillRect/>
        </a:stretch>
      </xdr:blipFill>
      <xdr:spPr bwMode="auto">
        <a:xfrm>
          <a:off x="3209926" y="3733800"/>
          <a:ext cx="2203220" cy="1409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219075</xdr:colOff>
          <xdr:row>14</xdr:row>
          <xdr:rowOff>142875</xdr:rowOff>
        </xdr:from>
        <xdr:to>
          <xdr:col>11</xdr:col>
          <xdr:colOff>266700</xdr:colOff>
          <xdr:row>16</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14</xdr:row>
          <xdr:rowOff>123825</xdr:rowOff>
        </xdr:from>
        <xdr:to>
          <xdr:col>6</xdr:col>
          <xdr:colOff>57150</xdr:colOff>
          <xdr:row>16</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2</xdr:row>
          <xdr:rowOff>28575</xdr:rowOff>
        </xdr:from>
        <xdr:to>
          <xdr:col>16</xdr:col>
          <xdr:colOff>361950</xdr:colOff>
          <xdr:row>2</xdr:row>
          <xdr:rowOff>219075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Hole Cards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2</xdr:row>
          <xdr:rowOff>28575</xdr:rowOff>
        </xdr:from>
        <xdr:to>
          <xdr:col>20</xdr:col>
          <xdr:colOff>381000</xdr:colOff>
          <xdr:row>2</xdr:row>
          <xdr:rowOff>219075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Flop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xdr:colOff>
          <xdr:row>2</xdr:row>
          <xdr:rowOff>28575</xdr:rowOff>
        </xdr:from>
        <xdr:to>
          <xdr:col>22</xdr:col>
          <xdr:colOff>542925</xdr:colOff>
          <xdr:row>2</xdr:row>
          <xdr:rowOff>238125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47625</xdr:colOff>
          <xdr:row>2</xdr:row>
          <xdr:rowOff>28575</xdr:rowOff>
        </xdr:from>
        <xdr:to>
          <xdr:col>23</xdr:col>
          <xdr:colOff>533400</xdr:colOff>
          <xdr:row>2</xdr:row>
          <xdr:rowOff>238125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River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211130</xdr:colOff>
      <xdr:row>1</xdr:row>
      <xdr:rowOff>20630</xdr:rowOff>
    </xdr:to>
    <xdr:graphicFrame macro="">
      <xdr:nvGraphicFramePr>
        <xdr:cNvPr id="6" name="Chart 5">
          <a:extLst>
            <a:ext uri="{FF2B5EF4-FFF2-40B4-BE49-F238E27FC236}">
              <a16:creationId xmlns:a16="http://schemas.microsoft.com/office/drawing/2014/main" id="{D82E5F41-2BD7-0AAD-DBD5-0069BD8582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2AF96-599A-4209-8D8A-5F8D29F63645}">
  <dimension ref="B1:D9"/>
  <sheetViews>
    <sheetView showGridLines="0" showRowColHeaders="0" tabSelected="1" workbookViewId="0">
      <selection activeCell="C6" sqref="C6"/>
    </sheetView>
  </sheetViews>
  <sheetFormatPr defaultRowHeight="15" x14ac:dyDescent="0.25"/>
  <cols>
    <col min="1" max="2" width="2.28515625" customWidth="1"/>
    <col min="3" max="3" width="124.42578125" customWidth="1"/>
    <col min="4" max="4" width="1.85546875" customWidth="1"/>
  </cols>
  <sheetData>
    <row r="1" spans="2:4" ht="15.75" thickBot="1" x14ac:dyDescent="0.3"/>
    <row r="2" spans="2:4" ht="304.5" customHeight="1" x14ac:dyDescent="0.25">
      <c r="B2" s="68"/>
      <c r="C2" s="76" t="s">
        <v>1375</v>
      </c>
      <c r="D2" s="69"/>
    </row>
    <row r="3" spans="2:4" x14ac:dyDescent="0.25">
      <c r="B3" s="70"/>
      <c r="C3" s="71" t="s">
        <v>1373</v>
      </c>
      <c r="D3" s="72"/>
    </row>
    <row r="4" spans="2:4" x14ac:dyDescent="0.25">
      <c r="B4" s="70"/>
      <c r="C4" s="71" t="s">
        <v>1374</v>
      </c>
      <c r="D4" s="72"/>
    </row>
    <row r="5" spans="2:4" x14ac:dyDescent="0.25">
      <c r="B5" s="70"/>
      <c r="C5" s="71" t="s">
        <v>1372</v>
      </c>
      <c r="D5" s="72"/>
    </row>
    <row r="6" spans="2:4" x14ac:dyDescent="0.25">
      <c r="B6" s="70"/>
      <c r="C6" s="71"/>
      <c r="D6" s="72"/>
    </row>
    <row r="7" spans="2:4" x14ac:dyDescent="0.25">
      <c r="B7" s="70"/>
      <c r="C7" s="71"/>
      <c r="D7" s="72"/>
    </row>
    <row r="8" spans="2:4" x14ac:dyDescent="0.25">
      <c r="B8" s="70"/>
      <c r="C8" s="71"/>
      <c r="D8" s="72"/>
    </row>
    <row r="9" spans="2:4" ht="15.75" thickBot="1" x14ac:dyDescent="0.3">
      <c r="B9" s="73"/>
      <c r="C9" s="74"/>
      <c r="D9" s="75"/>
    </row>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66899-6B3E-4320-BBEA-CD99173F4C83}">
  <sheetPr codeName="Sheet1"/>
  <dimension ref="A1:AG16"/>
  <sheetViews>
    <sheetView showGridLines="0" showRowColHeaders="0" zoomScaleNormal="100" workbookViewId="0">
      <selection activeCell="T12" sqref="T12"/>
    </sheetView>
  </sheetViews>
  <sheetFormatPr defaultColWidth="9.140625" defaultRowHeight="15" x14ac:dyDescent="0.25"/>
  <cols>
    <col min="1" max="1" width="3.5703125" style="20" customWidth="1"/>
    <col min="2" max="14" width="5.7109375" style="20" customWidth="1"/>
    <col min="15" max="15" width="5" style="20" customWidth="1"/>
    <col min="16" max="17" width="5.7109375" style="20" customWidth="1"/>
    <col min="18" max="21" width="6" style="20" customWidth="1"/>
    <col min="22" max="22" width="7" style="20" customWidth="1"/>
    <col min="23" max="24" width="8.42578125" style="20" customWidth="1"/>
    <col min="25" max="25" width="5.7109375" style="20" customWidth="1"/>
    <col min="26" max="26" width="5" style="20" customWidth="1"/>
    <col min="27" max="27" width="16.140625" style="20" customWidth="1"/>
    <col min="28" max="32" width="5" style="20" customWidth="1"/>
    <col min="33" max="33" width="10.28515625" style="20" customWidth="1"/>
    <col min="34" max="16384" width="9.140625" style="20"/>
  </cols>
  <sheetData>
    <row r="1" spans="1:33" x14ac:dyDescent="0.25">
      <c r="A1" s="19"/>
      <c r="B1" s="3" t="s">
        <v>0</v>
      </c>
      <c r="C1" s="3" t="s">
        <v>1</v>
      </c>
      <c r="D1" s="3" t="s">
        <v>2</v>
      </c>
      <c r="E1" s="3" t="s">
        <v>3</v>
      </c>
      <c r="F1" s="3" t="s">
        <v>4</v>
      </c>
      <c r="G1" s="3">
        <v>9</v>
      </c>
      <c r="H1" s="3">
        <v>8</v>
      </c>
      <c r="I1" s="3">
        <v>7</v>
      </c>
      <c r="J1" s="3">
        <v>6</v>
      </c>
      <c r="K1" s="3">
        <v>5</v>
      </c>
      <c r="L1" s="3">
        <v>4</v>
      </c>
      <c r="M1" s="3">
        <v>3</v>
      </c>
      <c r="N1" s="3">
        <v>2</v>
      </c>
      <c r="P1" s="21" t="s">
        <v>33</v>
      </c>
      <c r="Q1" s="21" t="s">
        <v>34</v>
      </c>
      <c r="R1" s="21"/>
      <c r="S1" s="21" t="s">
        <v>35</v>
      </c>
      <c r="T1" s="21" t="s">
        <v>36</v>
      </c>
      <c r="U1" s="21" t="s">
        <v>37</v>
      </c>
      <c r="V1" s="21"/>
      <c r="W1" s="21" t="s">
        <v>38</v>
      </c>
      <c r="X1" s="21" t="s">
        <v>39</v>
      </c>
      <c r="AA1" s="22"/>
      <c r="AB1" s="23" t="s">
        <v>22</v>
      </c>
      <c r="AC1" s="23" t="s">
        <v>23</v>
      </c>
      <c r="AD1" s="23" t="s">
        <v>25</v>
      </c>
      <c r="AE1" s="23" t="s">
        <v>24</v>
      </c>
      <c r="AF1" s="22" t="s">
        <v>13</v>
      </c>
      <c r="AG1" s="23" t="s">
        <v>27</v>
      </c>
    </row>
    <row r="2" spans="1:33" ht="30" customHeight="1" x14ac:dyDescent="0.25">
      <c r="A2" s="3" t="s">
        <v>0</v>
      </c>
      <c r="B2" s="24" t="s">
        <v>10</v>
      </c>
      <c r="C2" s="25" t="s">
        <v>11</v>
      </c>
      <c r="D2" s="25" t="str">
        <f t="shared" ref="D2:N13" si="0">_xlfn.CONCAT($A2, D$1, "s")</f>
        <v>AQs</v>
      </c>
      <c r="E2" s="25" t="str">
        <f t="shared" si="0"/>
        <v>AJs</v>
      </c>
      <c r="F2" s="25" t="str">
        <f t="shared" si="0"/>
        <v>ATs</v>
      </c>
      <c r="G2" s="25" t="str">
        <f t="shared" si="0"/>
        <v>A9s</v>
      </c>
      <c r="H2" s="25" t="str">
        <f t="shared" si="0"/>
        <v>A8s</v>
      </c>
      <c r="I2" s="25" t="str">
        <f t="shared" si="0"/>
        <v>A7s</v>
      </c>
      <c r="J2" s="25" t="str">
        <f t="shared" si="0"/>
        <v>A6s</v>
      </c>
      <c r="K2" s="25" t="str">
        <f t="shared" si="0"/>
        <v>A5s</v>
      </c>
      <c r="L2" s="25" t="str">
        <f t="shared" si="0"/>
        <v>A4s</v>
      </c>
      <c r="M2" s="25" t="str">
        <f t="shared" si="0"/>
        <v>A3s</v>
      </c>
      <c r="N2" s="25" t="str">
        <f t="shared" si="0"/>
        <v>A2s</v>
      </c>
      <c r="P2" s="19" t="str">
        <f>IF('Helper Grid'!I2&lt;&gt;"",'Helper Grid'!I2,"")</f>
        <v/>
      </c>
      <c r="Q2" s="19" t="str">
        <f>IF('Helper Grid'!J2&lt;&gt;"",'Helper Grid'!J2,"")</f>
        <v/>
      </c>
      <c r="R2" s="19"/>
      <c r="S2" s="19" t="str">
        <f>IF('Helper Grid'!K2&lt;&gt;"",'Helper Grid'!K2,"")</f>
        <v/>
      </c>
      <c r="T2" s="19" t="str">
        <f>IF('Helper Grid'!L2&lt;&gt;"",'Helper Grid'!L2,"")</f>
        <v/>
      </c>
      <c r="U2" s="19" t="str">
        <f>IF('Helper Grid'!M2&lt;&gt;"",'Helper Grid'!M2,"")</f>
        <v/>
      </c>
      <c r="V2" s="19"/>
      <c r="W2" s="19" t="str">
        <f>IF('Helper Grid'!N2&lt;&gt;"",'Helper Grid'!N2,"")</f>
        <v/>
      </c>
      <c r="X2" s="19" t="str">
        <f>IF('Helper Grid'!O2&lt;&gt;"",'Helper Grid'!O2,"")</f>
        <v/>
      </c>
      <c r="Y2" s="19"/>
      <c r="AA2" s="26" t="s">
        <v>14</v>
      </c>
      <c r="AB2" s="27" cm="1">
        <f t="array" ref="AB2">SUMPRODUCT(
  --(MID(Combinations!$C$3:$BB$54,2,1)=AB1),
  --(MID(Combinations!$C$3:$BB$54,4,1)=AB1),
  --(ROW(Combinations!$C$3:$BB$54)&lt;COLUMN(Combinations!$C$3:$BB$54)),
  INDEX(Combinations!$C$3:$BB$54,
        COLUMN(Combinations!$C$3:$BB$54)-COLUMN(Combinations!$C$3)+1,
        ROW(Combinations!$C$3:$BB$54)-ROW(Combinations!$C$3)+1)
)</f>
        <v>0</v>
      </c>
      <c r="AC2" s="27" cm="1">
        <f t="array" ref="AC2">SUMPRODUCT(
  --(MID(Combinations!$C$3:$BB$54,2,1)=AC1),
  --(MID(Combinations!$C$3:$BB$54,4,1)=AC1),
  --(ROW(Combinations!$C$3:$BB$54)&lt;COLUMN(Combinations!$C$3:$BB$54)),
  INDEX(Combinations!$C$3:$BB$54,
        COLUMN(Combinations!$C$3:$BB$54)-COLUMN(Combinations!$C$3)+1,
        ROW(Combinations!$C$3:$BB$54)-ROW(Combinations!$C$3)+1)
)</f>
        <v>0</v>
      </c>
      <c r="AD2" s="27" cm="1">
        <f t="array" ref="AD2">SUMPRODUCT(
  --(MID(Combinations!$C$3:$BB$54,2,1)=AD1),
  --(MID(Combinations!$C$3:$BB$54,4,1)=AD1),
  --(ROW(Combinations!$C$3:$BB$54)&lt;COLUMN(Combinations!$C$3:$BB$54)),
  INDEX(Combinations!$C$3:$BB$54,
        COLUMN(Combinations!$C$3:$BB$54)-COLUMN(Combinations!$C$3)+1,
        ROW(Combinations!$C$3:$BB$54)-ROW(Combinations!$C$3)+1)
)</f>
        <v>0</v>
      </c>
      <c r="AE2" s="27" cm="1">
        <f t="array" ref="AE2">SUMPRODUCT(
  --(MID(Combinations!$C$3:$BB$54,2,1)=AE1),
  --(MID(Combinations!$C$3:$BB$54,4,1)=AE1),
  --(ROW(Combinations!$C$3:$BB$54)&lt;COLUMN(Combinations!$C$3:$BB$54)),
  INDEX(Combinations!$C$3:$BB$54,
        COLUMN(Combinations!$C$3:$BB$54)-COLUMN(Combinations!$C$3)+1,
        ROW(Combinations!$C$3:$BB$54)-ROW(Combinations!$C$3)+1)
)</f>
        <v>0</v>
      </c>
      <c r="AF2" s="27">
        <f>SUM(AB2:AE2)</f>
        <v>0</v>
      </c>
      <c r="AG2" s="8">
        <f>AF2/312</f>
        <v>0</v>
      </c>
    </row>
    <row r="3" spans="1:33" ht="30" customHeight="1" x14ac:dyDescent="0.25">
      <c r="A3" s="3" t="s">
        <v>1</v>
      </c>
      <c r="B3" s="28" t="str">
        <f t="shared" ref="B3:M14" si="1">_xlfn.CONCAT(B$1,$A3, "o")</f>
        <v>AKo</v>
      </c>
      <c r="C3" s="24" t="str">
        <f>_xlfn.CONCAT(C$1,$A3)</f>
        <v>KK</v>
      </c>
      <c r="D3" s="25" t="str">
        <f t="shared" si="0"/>
        <v>KQs</v>
      </c>
      <c r="E3" s="25" t="str">
        <f t="shared" si="0"/>
        <v>KJs</v>
      </c>
      <c r="F3" s="25" t="str">
        <f t="shared" si="0"/>
        <v>KTs</v>
      </c>
      <c r="G3" s="25" t="str">
        <f t="shared" si="0"/>
        <v>K9s</v>
      </c>
      <c r="H3" s="25" t="str">
        <f t="shared" si="0"/>
        <v>K8s</v>
      </c>
      <c r="I3" s="25" t="str">
        <f t="shared" si="0"/>
        <v>K7s</v>
      </c>
      <c r="J3" s="25" t="str">
        <f t="shared" si="0"/>
        <v>K6s</v>
      </c>
      <c r="K3" s="25" t="str">
        <f t="shared" si="0"/>
        <v>K5s</v>
      </c>
      <c r="L3" s="25" t="str">
        <f t="shared" si="0"/>
        <v>K4s</v>
      </c>
      <c r="M3" s="25" t="str">
        <f t="shared" si="0"/>
        <v>K3s</v>
      </c>
      <c r="N3" s="25" t="str">
        <f t="shared" si="0"/>
        <v>K2s</v>
      </c>
      <c r="AA3" s="29" t="s">
        <v>16</v>
      </c>
      <c r="AB3" s="30" cm="1">
        <f t="array" ref="AB3">SUMPRODUCT(
  --(MID(Combinations!$C$3:$BB$54,2,1)=AB1),
  --(MID(Combinations!$C$3:$BB$54,4,1)=AB1),
  --ISNUMBER(MATCH(LEFT(Combinations!$C$3:$BB$54,1),{"A","K","Q","J","T"},0)),
  --ISNUMBER(MATCH(MID(Combinations!$C$3:$BB$54,3,1),{"A","K","Q","J","T"},0)),
  --(ROW(Combinations!$C$3:$BB$54)&lt;COLUMN(Combinations!$C$3:$BB$54)),
  INDEX(Combinations!$C$3:$BB$54,
        COLUMN(Combinations!$C$3:$BB$54)-COLUMN(Combinations!$C$3)+1,
        ROW(Combinations!$C$3:$BB$54)-ROW(Combinations!$C$3)+1)
)</f>
        <v>0</v>
      </c>
      <c r="AC3" s="30" cm="1">
        <f t="array" ref="AC3">SUMPRODUCT(
  --(MID(Combinations!$C$3:$BB$54,2,1)=AC1),
  --(MID(Combinations!$C$3:$BB$54,4,1)=AC1),
  --ISNUMBER(MATCH(LEFT(Combinations!$C$3:$BB$54,1),{"A","K","Q","J","T"},0)),
  --ISNUMBER(MATCH(MID(Combinations!$C$3:$BB$54,3,1),{"A","K","Q","J","T"},0)),
  --(ROW(Combinations!$C$3:$BB$54)&lt;COLUMN(Combinations!$C$3:$BB$54)),
  INDEX(Combinations!$C$3:$BB$54,
        COLUMN(Combinations!$C$3:$BB$54)-COLUMN(Combinations!$C$3)+1,
        ROW(Combinations!$C$3:$BB$54)-ROW(Combinations!$C$3)+1)
)</f>
        <v>0</v>
      </c>
      <c r="AD3" s="30" cm="1">
        <f t="array" ref="AD3">SUMPRODUCT(
  --(MID(Combinations!$C$3:$BB$54,2,1)=AD1),
  --(MID(Combinations!$C$3:$BB$54,4,1)=AD1),
  --ISNUMBER(MATCH(LEFT(Combinations!$C$3:$BB$54,1),{"A","K","Q","J","T"},0)),
  --ISNUMBER(MATCH(MID(Combinations!$C$3:$BB$54,3,1),{"A","K","Q","J","T"},0)),
  --(ROW(Combinations!$C$3:$BB$54)&lt;COLUMN(Combinations!$C$3:$BB$54)),
  INDEX(Combinations!$C$3:$BB$54,
        COLUMN(Combinations!$C$3:$BB$54)-COLUMN(Combinations!$C$3)+1,
        ROW(Combinations!$C$3:$BB$54)-ROW(Combinations!$C$3)+1)
)</f>
        <v>0</v>
      </c>
      <c r="AE3" s="30" cm="1">
        <f t="array" ref="AE3">SUMPRODUCT(
  --(MID(Combinations!$C$3:$BB$54,2,1)=AE1),
  --(MID(Combinations!$C$3:$BB$54,4,1)=AE1),
  --ISNUMBER(MATCH(LEFT(Combinations!$C$3:$BB$54,1),{"A","K","Q","J","T"},0)),
  --ISNUMBER(MATCH(MID(Combinations!$C$3:$BB$54,3,1),{"A","K","Q","J","T"},0)),
  --(ROW(Combinations!$C$3:$BB$54)&lt;COLUMN(Combinations!$C$3:$BB$54)),
  INDEX(Combinations!$C$3:$BB$54,
        COLUMN(Combinations!$C$3:$BB$54)-COLUMN(Combinations!$C$3)+1,
        ROW(Combinations!$C$3:$BB$54)-ROW(Combinations!$C$3)+1)
)</f>
        <v>0</v>
      </c>
      <c r="AF3" s="30">
        <f>SUM(AB3:AE3)</f>
        <v>0</v>
      </c>
      <c r="AG3" s="9">
        <f>AF3/40</f>
        <v>0</v>
      </c>
    </row>
    <row r="4" spans="1:33" ht="30" customHeight="1" x14ac:dyDescent="0.3">
      <c r="A4" s="3" t="s">
        <v>2</v>
      </c>
      <c r="B4" s="28" t="str">
        <f t="shared" si="1"/>
        <v>AQo</v>
      </c>
      <c r="C4" s="28" t="str">
        <f t="shared" si="1"/>
        <v>KQo</v>
      </c>
      <c r="D4" s="24" t="str">
        <f>_xlfn.CONCAT(D$1,$A4)</f>
        <v>QQ</v>
      </c>
      <c r="E4" s="25" t="str">
        <f t="shared" si="0"/>
        <v>QJs</v>
      </c>
      <c r="F4" s="25" t="str">
        <f t="shared" si="0"/>
        <v>QTs</v>
      </c>
      <c r="G4" s="25" t="str">
        <f t="shared" si="0"/>
        <v>Q9s</v>
      </c>
      <c r="H4" s="25" t="str">
        <f t="shared" si="0"/>
        <v>Q8s</v>
      </c>
      <c r="I4" s="25" t="str">
        <f t="shared" si="0"/>
        <v>Q7s</v>
      </c>
      <c r="J4" s="25" t="str">
        <f t="shared" si="0"/>
        <v>Q6s</v>
      </c>
      <c r="K4" s="25" t="str">
        <f t="shared" si="0"/>
        <v>Q5s</v>
      </c>
      <c r="L4" s="25" t="str">
        <f t="shared" si="0"/>
        <v>Q4s</v>
      </c>
      <c r="M4" s="25" t="str">
        <f t="shared" si="0"/>
        <v>Q3s</v>
      </c>
      <c r="N4" s="25" t="str">
        <f t="shared" si="0"/>
        <v>Q2s</v>
      </c>
      <c r="R4" s="31"/>
      <c r="S4" s="32"/>
      <c r="T4" s="33"/>
      <c r="U4" s="34" t="s">
        <v>26</v>
      </c>
      <c r="V4" s="35">
        <f>AF2+AF9</f>
        <v>0</v>
      </c>
      <c r="W4" s="10">
        <f>V4/1326</f>
        <v>0</v>
      </c>
      <c r="AA4" s="36" t="s">
        <v>15</v>
      </c>
      <c r="AB4" s="37" cm="1">
        <f t="array" ref="AB4">SUMPRODUCT(
  --(MID(Combinations!$C$3:$BB$54,2,1)=AB1),
  --(MID(Combinations!$C$3:$BB$54,4,1)=AB1),
  --(
      (LEFT(Combinations!$C$3:$BB$54,1)="A")
     +(MID(Combinations!$C$3:$BB$54,3,1)="A")
     =1
    ),
  --(ROW(Combinations!$C$3:$BB$54)&lt;COLUMN(Combinations!$C$3:$BB$54)),
  INDEX(Combinations!$C$3:$BB$54,
        COLUMN(Combinations!$C$3:$BB$54)-COLUMN(Combinations!$C$3)+1,
        ROW(Combinations!$C$3:$BB$54)-ROW(Combinations!$C$3)+1)
)</f>
        <v>0</v>
      </c>
      <c r="AC4" s="37" cm="1">
        <f t="array" ref="AC4">SUMPRODUCT(
  --(MID(Combinations!$C$3:$BB$54,2,1)=AC1),
  --(MID(Combinations!$C$3:$BB$54,4,1)=AC1),
  --(
      (LEFT(Combinations!$C$3:$BB$54,1)="A")
     +(MID(Combinations!$C$3:$BB$54,3,1)="A")
     =1
    ),
  --(ROW(Combinations!$C$3:$BB$54)&lt;COLUMN(Combinations!$C$3:$BB$54)),
  INDEX(Combinations!$C$3:$BB$54,
        COLUMN(Combinations!$C$3:$BB$54)-COLUMN(Combinations!$C$3)+1,
        ROW(Combinations!$C$3:$BB$54)-ROW(Combinations!$C$3)+1)
)</f>
        <v>0</v>
      </c>
      <c r="AD4" s="37" cm="1">
        <f t="array" ref="AD4">SUMPRODUCT(
  --(MID(Combinations!$C$3:$BB$54,2,1)=AD1),
  --(MID(Combinations!$C$3:$BB$54,4,1)=AD1),
  --(
      (LEFT(Combinations!$C$3:$BB$54,1)="A")
     +(MID(Combinations!$C$3:$BB$54,3,1)="A")
     =1
    ),
  --(ROW(Combinations!$C$3:$BB$54)&lt;COLUMN(Combinations!$C$3:$BB$54)),
  INDEX(Combinations!$C$3:$BB$54,
        COLUMN(Combinations!$C$3:$BB$54)-COLUMN(Combinations!$C$3)+1,
        ROW(Combinations!$C$3:$BB$54)-ROW(Combinations!$C$3)+1)
)</f>
        <v>0</v>
      </c>
      <c r="AE4" s="37" cm="1">
        <f t="array" ref="AE4">SUMPRODUCT(
  --(MID(Combinations!$C$3:$BB$54,2,1)=AE1),
  --(MID(Combinations!$C$3:$BB$54,4,1)=AE1),
  --(
      (LEFT(Combinations!$C$3:$BB$54,1)="A")
     +(MID(Combinations!$C$3:$BB$54,3,1)="A")
     =1
    ),
  --(ROW(Combinations!$C$3:$BB$54)&lt;COLUMN(Combinations!$C$3:$BB$54)),
  INDEX(Combinations!$C$3:$BB$54,
        COLUMN(Combinations!$C$3:$BB$54)-COLUMN(Combinations!$C$3)+1,
        ROW(Combinations!$C$3:$BB$54)-ROW(Combinations!$C$3)+1)
)</f>
        <v>0</v>
      </c>
      <c r="AF4" s="37">
        <f t="shared" ref="AF4:AF7" si="2">SUM(AB4:AE4)</f>
        <v>0</v>
      </c>
      <c r="AG4" s="11">
        <f>AF4/48</f>
        <v>0</v>
      </c>
    </row>
    <row r="5" spans="1:33" ht="30" customHeight="1" x14ac:dyDescent="0.25">
      <c r="A5" s="3" t="s">
        <v>3</v>
      </c>
      <c r="B5" s="28" t="str">
        <f t="shared" si="1"/>
        <v>AJo</v>
      </c>
      <c r="C5" s="28" t="str">
        <f t="shared" si="1"/>
        <v>KJo</v>
      </c>
      <c r="D5" s="28" t="str">
        <f t="shared" si="1"/>
        <v>QJo</v>
      </c>
      <c r="E5" s="24" t="str">
        <f>_xlfn.CONCAT(E$1,$A5)</f>
        <v>JJ</v>
      </c>
      <c r="F5" s="25" t="str">
        <f t="shared" si="0"/>
        <v>JTs</v>
      </c>
      <c r="G5" s="25" t="str">
        <f t="shared" si="0"/>
        <v>J9s</v>
      </c>
      <c r="H5" s="25" t="str">
        <f t="shared" si="0"/>
        <v>J8s</v>
      </c>
      <c r="I5" s="25" t="str">
        <f t="shared" si="0"/>
        <v>J7s</v>
      </c>
      <c r="J5" s="25" t="str">
        <f>_xlfn.CONCAT($A5, J$1, "s")</f>
        <v>J6s</v>
      </c>
      <c r="K5" s="25" t="str">
        <f t="shared" si="0"/>
        <v>J5s</v>
      </c>
      <c r="L5" s="25" t="str">
        <f t="shared" si="0"/>
        <v>J4s</v>
      </c>
      <c r="M5" s="25" t="str">
        <f t="shared" si="0"/>
        <v>J3s</v>
      </c>
      <c r="N5" s="25" t="str">
        <f t="shared" si="0"/>
        <v>J2s</v>
      </c>
      <c r="R5" s="38"/>
      <c r="S5" s="39"/>
      <c r="T5" s="39"/>
      <c r="U5" s="40" t="s">
        <v>12</v>
      </c>
      <c r="V5" s="41">
        <f>AF2</f>
        <v>0</v>
      </c>
      <c r="W5" s="12">
        <f>V5/312</f>
        <v>0</v>
      </c>
      <c r="AA5" s="29" t="s">
        <v>29</v>
      </c>
      <c r="AB5" s="30" cm="1">
        <f t="array" ref="AB5">SUMPRODUCT(
  --(MID(Combinations!$C$3:$BB$54,2,1)=AB1),
  --(MID(Combinations!$C$3:$BB$54,4,1)=AB1),
  --(
      (LEFT(Combinations!$C$3:$BB$54,1)="K")
     +(MID(Combinations!$C$3:$BB$54,3,1)="K")
     =1
    ),
  --(ROW(Combinations!$C$3:$BB$54)&lt;COLUMN(Combinations!$C$3:$BB$54)),
  INDEX(Combinations!$C$3:$BB$54,
        COLUMN(Combinations!$C$3:$BB$54)-COLUMN(Combinations!$C$3)+1,
        ROW(Combinations!$C$3:$BB$54)-ROW(Combinations!$C$3)+1)
)</f>
        <v>0</v>
      </c>
      <c r="AC5" s="30" cm="1">
        <f t="array" ref="AC5">SUMPRODUCT(
  --(MID(Combinations!$C$3:$BB$54,2,1)=AC1),
  --(MID(Combinations!$C$3:$BB$54,4,1)=AC1),
  --(
      (LEFT(Combinations!$C$3:$BB$54,1)="K")
     +(MID(Combinations!$C$3:$BB$54,3,1)="K")
     =1
    ),
  --(ROW(Combinations!$C$3:$BB$54)&lt;COLUMN(Combinations!$C$3:$BB$54)),
  INDEX(Combinations!$C$3:$BB$54,
        COLUMN(Combinations!$C$3:$BB$54)-COLUMN(Combinations!$C$3)+1,
        ROW(Combinations!$C$3:$BB$54)-ROW(Combinations!$C$3)+1)
)</f>
        <v>0</v>
      </c>
      <c r="AD5" s="30" cm="1">
        <f t="array" ref="AD5">SUMPRODUCT(
  --(MID(Combinations!$C$3:$BB$54,2,1)=AD1),
  --(MID(Combinations!$C$3:$BB$54,4,1)=AD1),
  --(
      (LEFT(Combinations!$C$3:$BB$54,1)="K")
     +(MID(Combinations!$C$3:$BB$54,3,1)="K")
     =1
    ),
  --(ROW(Combinations!$C$3:$BB$54)&lt;COLUMN(Combinations!$C$3:$BB$54)),
  INDEX(Combinations!$C$3:$BB$54,
        COLUMN(Combinations!$C$3:$BB$54)-COLUMN(Combinations!$C$3)+1,
        ROW(Combinations!$C$3:$BB$54)-ROW(Combinations!$C$3)+1)
)</f>
        <v>0</v>
      </c>
      <c r="AE5" s="30" cm="1">
        <f t="array" ref="AE5">SUMPRODUCT(
  --(MID(Combinations!$C$3:$BB$54,2,1)=AE1),
  --(MID(Combinations!$C$3:$BB$54,4,1)=AE1),
  --(
      (LEFT(Combinations!$C$3:$BB$54,1)="K")
     +(MID(Combinations!$C$3:$BB$54,3,1)="K")
     =1
    ),
  --(ROW(Combinations!$C$3:$BB$54)&lt;COLUMN(Combinations!$C$3:$BB$54)),
  INDEX(Combinations!$C$3:$BB$54,
        COLUMN(Combinations!$C$3:$BB$54)-COLUMN(Combinations!$C$3)+1,
        ROW(Combinations!$C$3:$BB$54)-ROW(Combinations!$C$3)+1)
)</f>
        <v>0</v>
      </c>
      <c r="AF5" s="30">
        <f t="shared" si="2"/>
        <v>0</v>
      </c>
      <c r="AG5" s="9">
        <f>AF5/48</f>
        <v>0</v>
      </c>
    </row>
    <row r="6" spans="1:33" ht="30" customHeight="1" x14ac:dyDescent="0.25">
      <c r="A6" s="3" t="s">
        <v>4</v>
      </c>
      <c r="B6" s="28" t="str">
        <f t="shared" si="1"/>
        <v>ATo</v>
      </c>
      <c r="C6" s="28" t="str">
        <f t="shared" si="1"/>
        <v>KTo</v>
      </c>
      <c r="D6" s="28" t="str">
        <f t="shared" si="1"/>
        <v>QTo</v>
      </c>
      <c r="E6" s="28" t="str">
        <f t="shared" si="1"/>
        <v>JTo</v>
      </c>
      <c r="F6" s="24" t="str">
        <f>_xlfn.CONCAT(F$1,$A6)</f>
        <v>TT</v>
      </c>
      <c r="G6" s="25" t="str">
        <f t="shared" si="0"/>
        <v>T9s</v>
      </c>
      <c r="H6" s="25" t="str">
        <f t="shared" si="0"/>
        <v>T8s</v>
      </c>
      <c r="I6" s="25" t="str">
        <f t="shared" si="0"/>
        <v>T7s</v>
      </c>
      <c r="J6" s="25" t="str">
        <f t="shared" si="0"/>
        <v>T6s</v>
      </c>
      <c r="K6" s="25" t="str">
        <f t="shared" si="0"/>
        <v>T5s</v>
      </c>
      <c r="L6" s="25" t="str">
        <f t="shared" si="0"/>
        <v>T4s</v>
      </c>
      <c r="M6" s="25" t="str">
        <f t="shared" si="0"/>
        <v>T3s</v>
      </c>
      <c r="N6" s="25" t="str">
        <f t="shared" si="0"/>
        <v>T2s</v>
      </c>
      <c r="R6" s="42"/>
      <c r="S6" s="43"/>
      <c r="T6" s="43"/>
      <c r="U6" s="44" t="s">
        <v>31</v>
      </c>
      <c r="V6" s="45">
        <f>AF9-AF14</f>
        <v>0</v>
      </c>
      <c r="W6" s="13">
        <f>V6/936</f>
        <v>0</v>
      </c>
      <c r="AA6" s="36" t="s">
        <v>17</v>
      </c>
      <c r="AB6" s="37" cm="1">
        <f t="array" ref="AB6">SUMPRODUCT(
  --(MID(Combinations!$C$3:$BB$54,2,1)=AB1),
  --(MID(Combinations!$C$3:$BB$54,4,1)=AB1),
  --(ROW(Combinations!$C$3:$BB$54)&lt;COLUMN(Combinations!$C$3:$BB$54)),
  --(
      ABS(
        IF(ROW(Combinations!$C$3:$BB$54)&lt;COLUMN(Combinations!$C$3:$BB$54),
           MATCH(LEFT(Combinations!$C$3:$BB$54,1),{"A","K","Q","J","T","9","8","7","6","5","4","3","2"},0),
           0)
      -
        IF(ROW(Combinations!$C$3:$BB$54)&lt;COLUMN(Combinations!$C$3:$BB$54),
           MATCH(MID(Combinations!$C$3:$BB$54,3,1),{"A","K","Q","J","T","9","8","7","6","5","4","3","2"},0),
           0)
      )=1
    ),
  INDEX(Combinations!$C$3:$BB$54,
        COLUMN(Combinations!$C$3:$BB$54)-COLUMN(Combinations!$C$3)+1,
        ROW(Combinations!$C$3:$BB$54)-ROW(Combinations!$C$3)+1)
)</f>
        <v>0</v>
      </c>
      <c r="AC6" s="37" cm="1">
        <f t="array" ref="AC6">SUMPRODUCT(
  --(MID(Combinations!$C$3:$BB$54,2,1)=AC1),
  --(MID(Combinations!$C$3:$BB$54,4,1)=AC1),
  --(ROW(Combinations!$C$3:$BB$54)&lt;COLUMN(Combinations!$C$3:$BB$54)),
  --(
      ABS(
        IF(ROW(Combinations!$C$3:$BB$54)&lt;COLUMN(Combinations!$C$3:$BB$54),
           MATCH(LEFT(Combinations!$C$3:$BB$54,1),{"A","K","Q","J","T","9","8","7","6","5","4","3","2"},0),
           0)
      -
        IF(ROW(Combinations!$C$3:$BB$54)&lt;COLUMN(Combinations!$C$3:$BB$54),
           MATCH(MID(Combinations!$C$3:$BB$54,3,1),{"A","K","Q","J","T","9","8","7","6","5","4","3","2"},0),
           0)
      )=1
    ),
  INDEX(Combinations!$C$3:$BB$54,
        COLUMN(Combinations!$C$3:$BB$54)-COLUMN(Combinations!$C$3)+1,
        ROW(Combinations!$C$3:$BB$54)-ROW(Combinations!$C$3)+1)
)</f>
        <v>0</v>
      </c>
      <c r="AD6" s="37" cm="1">
        <f t="array" ref="AD6">SUMPRODUCT(
  --(MID(Combinations!$C$3:$BB$54,2,1)=AD1),
  --(MID(Combinations!$C$3:$BB$54,4,1)=AD1),
  --(ROW(Combinations!$C$3:$BB$54)&lt;COLUMN(Combinations!$C$3:$BB$54)),
  --(
      ABS(
        IF(ROW(Combinations!$C$3:$BB$54)&lt;COLUMN(Combinations!$C$3:$BB$54),
           MATCH(LEFT(Combinations!$C$3:$BB$54,1),{"A","K","Q","J","T","9","8","7","6","5","4","3","2"},0),
           0)
      -
        IF(ROW(Combinations!$C$3:$BB$54)&lt;COLUMN(Combinations!$C$3:$BB$54),
           MATCH(MID(Combinations!$C$3:$BB$54,3,1),{"A","K","Q","J","T","9","8","7","6","5","4","3","2"},0),
           0)
      )=1
    ),
  INDEX(Combinations!$C$3:$BB$54,
        COLUMN(Combinations!$C$3:$BB$54)-COLUMN(Combinations!$C$3)+1,
        ROW(Combinations!$C$3:$BB$54)-ROW(Combinations!$C$3)+1)
)</f>
        <v>0</v>
      </c>
      <c r="AE6" s="37" cm="1">
        <f t="array" ref="AE6">SUMPRODUCT(
  --(MID(Combinations!$C$3:$BB$54,2,1)=AE1),
  --(MID(Combinations!$C$3:$BB$54,4,1)=AE1),
  --(ROW(Combinations!$C$3:$BB$54)&lt;COLUMN(Combinations!$C$3:$BB$54)),
  --(
      ABS(
        IF(ROW(Combinations!$C$3:$BB$54)&lt;COLUMN(Combinations!$C$3:$BB$54),
           MATCH(LEFT(Combinations!$C$3:$BB$54,1),{"A","K","Q","J","T","9","8","7","6","5","4","3","2"},0),
           0)
      -
        IF(ROW(Combinations!$C$3:$BB$54)&lt;COLUMN(Combinations!$C$3:$BB$54),
           MATCH(MID(Combinations!$C$3:$BB$54,3,1),{"A","K","Q","J","T","9","8","7","6","5","4","3","2"},0),
           0)
      )=1
    ),
  INDEX(Combinations!$C$3:$BB$54,
        COLUMN(Combinations!$C$3:$BB$54)-COLUMN(Combinations!$C$3)+1,
        ROW(Combinations!$C$3:$BB$54)-ROW(Combinations!$C$3)+1)
)</f>
        <v>0</v>
      </c>
      <c r="AF6" s="37">
        <f t="shared" si="2"/>
        <v>0</v>
      </c>
      <c r="AG6" s="11">
        <f t="shared" ref="AG6" si="3">AF6/48</f>
        <v>0</v>
      </c>
    </row>
    <row r="7" spans="1:33" ht="30" customHeight="1" x14ac:dyDescent="0.25">
      <c r="A7" s="3">
        <v>9</v>
      </c>
      <c r="B7" s="28" t="str">
        <f t="shared" si="1"/>
        <v>A9o</v>
      </c>
      <c r="C7" s="28" t="str">
        <f t="shared" si="1"/>
        <v>K9o</v>
      </c>
      <c r="D7" s="28" t="str">
        <f t="shared" si="1"/>
        <v>Q9o</v>
      </c>
      <c r="E7" s="28" t="str">
        <f t="shared" si="1"/>
        <v>J9o</v>
      </c>
      <c r="F7" s="28" t="str">
        <f t="shared" si="1"/>
        <v>T9o</v>
      </c>
      <c r="G7" s="24" t="str">
        <f>_xlfn.CONCAT(G$1,$A7)</f>
        <v>99</v>
      </c>
      <c r="H7" s="25" t="str">
        <f t="shared" si="0"/>
        <v>98s</v>
      </c>
      <c r="I7" s="25" t="str">
        <f t="shared" si="0"/>
        <v>97s</v>
      </c>
      <c r="J7" s="25" t="str">
        <f t="shared" si="0"/>
        <v>96s</v>
      </c>
      <c r="K7" s="25" t="str">
        <f t="shared" si="0"/>
        <v>95s</v>
      </c>
      <c r="L7" s="25" t="str">
        <f t="shared" si="0"/>
        <v>94s</v>
      </c>
      <c r="M7" s="25" t="str">
        <f t="shared" si="0"/>
        <v>93s</v>
      </c>
      <c r="N7" s="25" t="str">
        <f t="shared" si="0"/>
        <v>92s</v>
      </c>
      <c r="R7" s="46"/>
      <c r="S7" s="47"/>
      <c r="T7" s="47"/>
      <c r="U7" s="48" t="s">
        <v>18</v>
      </c>
      <c r="V7" s="49">
        <f>AF14</f>
        <v>0</v>
      </c>
      <c r="W7" s="14">
        <f>V7/78</f>
        <v>0</v>
      </c>
      <c r="AA7" s="29" t="s">
        <v>28</v>
      </c>
      <c r="AB7" s="30" cm="1">
        <f t="array" ref="AB7">SUMPRODUCT(
  --(MID(Combinations!$C$3:$BB$54,2,1)=AB1),
  --(MID(Combinations!$C$3:$BB$54,4,1)=AB1),
  --(ROW(Combinations!$C$3:$BB$54)&lt;COLUMN(Combinations!$C$3:$BB$54)),
  --(
      ABS(
        IF(ROW(Combinations!$C$3:$BB$54)&lt;COLUMN(Combinations!$C$3:$BB$54),
           MATCH(LEFT(Combinations!$C$3:$BB$54,1),{"A","K","Q","J","T","9","8","7","6","5","4","3","2"},0),
           0)
      -
        IF(ROW(Combinations!$C$3:$BB$54)&lt;COLUMN(Combinations!$C$3:$BB$54),
           MATCH(MID(Combinations!$C$3:$BB$54,3,1),{"A","K","Q","J","T","9","8","7","6","5","4","3","2"},0),
           0)
      )=2
    ),
  INDEX(Combinations!$C$3:$BB$54,
        COLUMN(Combinations!$C$3:$BB$54)-COLUMN(Combinations!$C$3)+1,
        ROW(Combinations!$C$3:$BB$54)-ROW(Combinations!$C$3)+1)
)</f>
        <v>0</v>
      </c>
      <c r="AC7" s="30" cm="1">
        <f t="array" ref="AC7">SUMPRODUCT(
  --(MID(Combinations!$C$3:$BB$54,2,1)=AC1),
  --(MID(Combinations!$C$3:$BB$54,4,1)=AC1),
  --(ROW(Combinations!$C$3:$BB$54)&lt;COLUMN(Combinations!$C$3:$BB$54)),
  --(
      ABS(
        IF(ROW(Combinations!$C$3:$BB$54)&lt;COLUMN(Combinations!$C$3:$BB$54),
           MATCH(LEFT(Combinations!$C$3:$BB$54,1),{"A","K","Q","J","T","9","8","7","6","5","4","3","2"},0),
           0)
      -
        IF(ROW(Combinations!$C$3:$BB$54)&lt;COLUMN(Combinations!$C$3:$BB$54),
           MATCH(MID(Combinations!$C$3:$BB$54,3,1),{"A","K","Q","J","T","9","8","7","6","5","4","3","2"},0),
           0)
      )=2
    ),
  INDEX(Combinations!$C$3:$BB$54,
        COLUMN(Combinations!$C$3:$BB$54)-COLUMN(Combinations!$C$3)+1,
        ROW(Combinations!$C$3:$BB$54)-ROW(Combinations!$C$3)+1)
)</f>
        <v>0</v>
      </c>
      <c r="AD7" s="30" cm="1">
        <f t="array" ref="AD7">SUMPRODUCT(
  --(MID(Combinations!$C$3:$BB$54,2,1)=AD1),
  --(MID(Combinations!$C$3:$BB$54,4,1)=AD1),
  --(ROW(Combinations!$C$3:$BB$54)&lt;COLUMN(Combinations!$C$3:$BB$54)),
  --(
      ABS(
        IF(ROW(Combinations!$C$3:$BB$54)&lt;COLUMN(Combinations!$C$3:$BB$54),
           MATCH(LEFT(Combinations!$C$3:$BB$54,1),{"A","K","Q","J","T","9","8","7","6","5","4","3","2"},0),
           0)
      -
        IF(ROW(Combinations!$C$3:$BB$54)&lt;COLUMN(Combinations!$C$3:$BB$54),
           MATCH(MID(Combinations!$C$3:$BB$54,3,1),{"A","K","Q","J","T","9","8","7","6","5","4","3","2"},0),
           0)
      )=2
    ),
  INDEX(Combinations!$C$3:$BB$54,
        COLUMN(Combinations!$C$3:$BB$54)-COLUMN(Combinations!$C$3)+1,
        ROW(Combinations!$C$3:$BB$54)-ROW(Combinations!$C$3)+1)
)</f>
        <v>0</v>
      </c>
      <c r="AE7" s="30" cm="1">
        <f t="array" ref="AE7">SUMPRODUCT(
  --(MID(Combinations!$C$3:$BB$54,2,1)=AE1),
  --(MID(Combinations!$C$3:$BB$54,4,1)=AE1),
  --(ROW(Combinations!$C$3:$BB$54)&lt;COLUMN(Combinations!$C$3:$BB$54)),
  --(
      ABS(
        IF(ROW(Combinations!$C$3:$BB$54)&lt;COLUMN(Combinations!$C$3:$BB$54),
           MATCH(LEFT(Combinations!$C$3:$BB$54,1),{"A","K","Q","J","T","9","8","7","6","5","4","3","2"},0),
           0)
      -
        IF(ROW(Combinations!$C$3:$BB$54)&lt;COLUMN(Combinations!$C$3:$BB$54),
           MATCH(MID(Combinations!$C$3:$BB$54,3,1),{"A","K","Q","J","T","9","8","7","6","5","4","3","2"},0),
           0)
      )=2
    ),
  INDEX(Combinations!$C$3:$BB$54,
        COLUMN(Combinations!$C$3:$BB$54)-COLUMN(Combinations!$C$3)+1,
        ROW(Combinations!$C$3:$BB$54)-ROW(Combinations!$C$3)+1)
)</f>
        <v>0</v>
      </c>
      <c r="AF7" s="30">
        <f t="shared" si="2"/>
        <v>0</v>
      </c>
      <c r="AG7" s="9">
        <f>AF7/44</f>
        <v>0</v>
      </c>
    </row>
    <row r="8" spans="1:33" ht="30" customHeight="1" x14ac:dyDescent="0.25">
      <c r="A8" s="3">
        <v>8</v>
      </c>
      <c r="B8" s="28" t="str">
        <f t="shared" si="1"/>
        <v>A8o</v>
      </c>
      <c r="C8" s="28" t="str">
        <f t="shared" si="1"/>
        <v>K8o</v>
      </c>
      <c r="D8" s="28" t="str">
        <f t="shared" si="1"/>
        <v>Q8o</v>
      </c>
      <c r="E8" s="28" t="str">
        <f t="shared" si="1"/>
        <v>J8o</v>
      </c>
      <c r="F8" s="28" t="str">
        <f t="shared" si="1"/>
        <v>T8o</v>
      </c>
      <c r="G8" s="28" t="str">
        <f t="shared" si="1"/>
        <v>98o</v>
      </c>
      <c r="H8" s="24" t="str">
        <f>_xlfn.CONCAT(H$1,$A8)</f>
        <v>88</v>
      </c>
      <c r="I8" s="25" t="str">
        <f t="shared" si="0"/>
        <v>87s</v>
      </c>
      <c r="J8" s="25" t="str">
        <f t="shared" si="0"/>
        <v>86s</v>
      </c>
      <c r="K8" s="25" t="str">
        <f t="shared" si="0"/>
        <v>85s</v>
      </c>
      <c r="L8" s="25" t="str">
        <f t="shared" si="0"/>
        <v>84s</v>
      </c>
      <c r="M8" s="25" t="str">
        <f t="shared" si="0"/>
        <v>83s</v>
      </c>
      <c r="N8" s="25" t="str">
        <f t="shared" si="0"/>
        <v>82s</v>
      </c>
      <c r="S8" s="50"/>
      <c r="T8" s="50"/>
      <c r="AA8" s="22"/>
      <c r="AB8" s="22"/>
      <c r="AC8" s="22"/>
      <c r="AD8" s="22"/>
      <c r="AE8" s="22"/>
      <c r="AF8" s="22"/>
      <c r="AG8" s="51"/>
    </row>
    <row r="9" spans="1:33" ht="30" customHeight="1" x14ac:dyDescent="0.25">
      <c r="A9" s="3">
        <v>7</v>
      </c>
      <c r="B9" s="28" t="str">
        <f t="shared" si="1"/>
        <v>A7o</v>
      </c>
      <c r="C9" s="28" t="str">
        <f t="shared" si="1"/>
        <v>K7o</v>
      </c>
      <c r="D9" s="28" t="str">
        <f t="shared" si="1"/>
        <v>Q7o</v>
      </c>
      <c r="E9" s="28" t="str">
        <f t="shared" si="1"/>
        <v>J7o</v>
      </c>
      <c r="F9" s="28" t="str">
        <f t="shared" si="1"/>
        <v>T7o</v>
      </c>
      <c r="G9" s="28" t="str">
        <f t="shared" si="1"/>
        <v>97o</v>
      </c>
      <c r="H9" s="28" t="str">
        <f t="shared" si="1"/>
        <v>87o</v>
      </c>
      <c r="I9" s="24" t="str">
        <f>_xlfn.CONCAT(I$1,$A9)</f>
        <v>77</v>
      </c>
      <c r="J9" s="25" t="str">
        <f t="shared" si="0"/>
        <v>76s</v>
      </c>
      <c r="K9" s="25" t="str">
        <f t="shared" si="0"/>
        <v>75s</v>
      </c>
      <c r="L9" s="25" t="str">
        <f t="shared" si="0"/>
        <v>74s</v>
      </c>
      <c r="M9" s="25" t="str">
        <f t="shared" si="0"/>
        <v>73s</v>
      </c>
      <c r="N9" s="25" t="str">
        <f t="shared" si="0"/>
        <v>72s</v>
      </c>
      <c r="Q9" s="19"/>
      <c r="R9" s="19"/>
      <c r="S9" s="19"/>
      <c r="T9" s="19"/>
      <c r="U9" s="19"/>
      <c r="V9" s="19"/>
      <c r="W9" s="19"/>
      <c r="AA9" s="52" t="s">
        <v>32</v>
      </c>
      <c r="AB9" s="53"/>
      <c r="AC9" s="53"/>
      <c r="AD9" s="53"/>
      <c r="AE9" s="54"/>
      <c r="AF9" s="55" cm="1">
        <f t="array" ref="AF9">SUMPRODUCT(
  --(MID(Combinations!$C$3:$BB$54,2,1)&lt;&gt;MID(Combinations!$C$3:$BB$54,4,1)),
  --(ROW(Combinations!$C$3:$BB$54)&lt;COLUMN(Combinations!$C$3:$BB$54)),
  INDEX(Combinations!$C$3:$BB$54,
        COLUMN(Combinations!$C$3:$BB$54)-COLUMN(Combinations!$C$3)+1,
        ROW(Combinations!$C$3:$BB$54)-ROW(Combinations!$C$3)+1)
)</f>
        <v>0</v>
      </c>
      <c r="AG9" s="15">
        <f>AF9/1014</f>
        <v>0</v>
      </c>
    </row>
    <row r="10" spans="1:33" ht="30" customHeight="1" x14ac:dyDescent="0.25">
      <c r="A10" s="3">
        <v>6</v>
      </c>
      <c r="B10" s="28" t="str">
        <f t="shared" si="1"/>
        <v>A6o</v>
      </c>
      <c r="C10" s="28" t="str">
        <f t="shared" si="1"/>
        <v>K6o</v>
      </c>
      <c r="D10" s="28" t="str">
        <f t="shared" si="1"/>
        <v>Q6o</v>
      </c>
      <c r="E10" s="28" t="str">
        <f t="shared" si="1"/>
        <v>J6o</v>
      </c>
      <c r="F10" s="28" t="str">
        <f t="shared" si="1"/>
        <v>T6o</v>
      </c>
      <c r="G10" s="28" t="str">
        <f t="shared" si="1"/>
        <v>96o</v>
      </c>
      <c r="H10" s="28" t="str">
        <f t="shared" si="1"/>
        <v>86o</v>
      </c>
      <c r="I10" s="28" t="str">
        <f t="shared" si="1"/>
        <v>76o</v>
      </c>
      <c r="J10" s="24" t="str">
        <f>_xlfn.CONCAT(J$1,$A10)</f>
        <v>66</v>
      </c>
      <c r="K10" s="25" t="str">
        <f t="shared" si="0"/>
        <v>65s</v>
      </c>
      <c r="L10" s="25" t="str">
        <f t="shared" si="0"/>
        <v>64s</v>
      </c>
      <c r="M10" s="25" t="str">
        <f t="shared" si="0"/>
        <v>63s</v>
      </c>
      <c r="N10" s="25" t="str">
        <f t="shared" si="0"/>
        <v>62s</v>
      </c>
      <c r="Q10" s="19"/>
      <c r="R10" s="19"/>
      <c r="S10" s="19"/>
      <c r="T10" s="19"/>
      <c r="U10" s="19"/>
      <c r="V10" s="19"/>
      <c r="W10" s="19"/>
      <c r="AA10" s="56" t="s">
        <v>19</v>
      </c>
      <c r="AB10" s="57"/>
      <c r="AC10" s="57"/>
      <c r="AD10" s="57"/>
      <c r="AE10" s="58"/>
      <c r="AF10" s="59" cm="1">
        <f t="array" ref="AF10">SUMPRODUCT(
  --(MID(Combinations!$C$3:$BB$54,2,1)&lt;&gt;MID(Combinations!$C$3:$BB$54,4,1)),
  --ISNUMBER(MATCH(LEFT(Combinations!$C$3:$BB$54,1),{"A","K","Q","J","T"},0)),
  --ISNUMBER(MATCH(MID(Combinations!$C$3:$BB$54,3,1),{"A","K","Q","J","T"},0)),
  --(LEFT(Combinations!$C$3:$BB$54,1)&lt;&gt;MID(Combinations!$C$3:$BB$54,3,1)),
  --(ROW(Combinations!$C$3:$BB$54)&lt;COLUMN(Combinations!$C$3:$BB$54)),
  INDEX(Combinations!$C$3:$BB$54,
        COLUMN(Combinations!$C$3:$BB$54)-COLUMN(Combinations!$C$3)+1,
        ROW(Combinations!$C$3:$BB$54)-ROW(Combinations!$C$3)+1)
)</f>
        <v>0</v>
      </c>
      <c r="AG10" s="16">
        <f>AF10/120</f>
        <v>0</v>
      </c>
    </row>
    <row r="11" spans="1:33" ht="30" customHeight="1" x14ac:dyDescent="0.25">
      <c r="A11" s="3">
        <v>5</v>
      </c>
      <c r="B11" s="28" t="str">
        <f t="shared" si="1"/>
        <v>A5o</v>
      </c>
      <c r="C11" s="28" t="str">
        <f t="shared" si="1"/>
        <v>K5o</v>
      </c>
      <c r="D11" s="28" t="str">
        <f t="shared" si="1"/>
        <v>Q5o</v>
      </c>
      <c r="E11" s="28" t="str">
        <f t="shared" si="1"/>
        <v>J5o</v>
      </c>
      <c r="F11" s="28" t="str">
        <f t="shared" si="1"/>
        <v>T5o</v>
      </c>
      <c r="G11" s="28" t="str">
        <f t="shared" si="1"/>
        <v>95o</v>
      </c>
      <c r="H11" s="28" t="str">
        <f t="shared" si="1"/>
        <v>85o</v>
      </c>
      <c r="I11" s="28" t="str">
        <f t="shared" si="1"/>
        <v>75o</v>
      </c>
      <c r="J11" s="28" t="str">
        <f t="shared" si="1"/>
        <v>65o</v>
      </c>
      <c r="K11" s="24" t="str">
        <f>_xlfn.CONCAT(K$1,$A11)</f>
        <v>55</v>
      </c>
      <c r="L11" s="25" t="str">
        <f t="shared" si="0"/>
        <v>54s</v>
      </c>
      <c r="M11" s="25" t="str">
        <f t="shared" si="0"/>
        <v>53s</v>
      </c>
      <c r="N11" s="25" t="str">
        <f t="shared" si="0"/>
        <v>52s</v>
      </c>
      <c r="Q11" s="19"/>
      <c r="R11" s="19"/>
      <c r="S11" s="19"/>
      <c r="T11" s="19"/>
      <c r="U11" s="19"/>
      <c r="V11" s="19"/>
      <c r="W11" s="19"/>
      <c r="AA11" s="60" t="s">
        <v>20</v>
      </c>
      <c r="AB11" s="61"/>
      <c r="AC11" s="61"/>
      <c r="AD11" s="61"/>
      <c r="AE11" s="62"/>
      <c r="AF11" s="63" cm="1">
        <f t="array" ref="AF11">SUMPRODUCT(
  --(MID(Combinations!$C$3:$BB$54,2,1)&lt;&gt;MID(Combinations!$C$3:$BB$54,4,1)),
  --(LEFT(Combinations!$C$3:$BB$54,1)="A"),
  --(MID(Combinations!$C$3:$BB$54,3,1)&lt;&gt;"A"),
  --(ROW(Combinations!$C$3:$BB$54)&lt;COLUMN(Combinations!$C$3:$BB$54)),
  INDEX(Combinations!$C$3:$BB$54,
        COLUMN(Combinations!$C$3:$BB$54)-COLUMN(Combinations!$C$3)+1,
        ROW(Combinations!$C$3:$BB$54)-ROW(Combinations!$C$3)+1)
)</f>
        <v>0</v>
      </c>
      <c r="AG11" s="17">
        <f>AF11/144</f>
        <v>0</v>
      </c>
    </row>
    <row r="12" spans="1:33" ht="30" customHeight="1" x14ac:dyDescent="0.25">
      <c r="A12" s="3">
        <v>4</v>
      </c>
      <c r="B12" s="28" t="str">
        <f t="shared" si="1"/>
        <v>A4o</v>
      </c>
      <c r="C12" s="28" t="str">
        <f t="shared" si="1"/>
        <v>K4o</v>
      </c>
      <c r="D12" s="28" t="str">
        <f t="shared" si="1"/>
        <v>Q4o</v>
      </c>
      <c r="E12" s="28" t="str">
        <f t="shared" si="1"/>
        <v>J4o</v>
      </c>
      <c r="F12" s="28" t="str">
        <f t="shared" si="1"/>
        <v>T4o</v>
      </c>
      <c r="G12" s="28" t="str">
        <f t="shared" si="1"/>
        <v>94o</v>
      </c>
      <c r="H12" s="28" t="str">
        <f t="shared" si="1"/>
        <v>84o</v>
      </c>
      <c r="I12" s="28" t="str">
        <f t="shared" si="1"/>
        <v>74o</v>
      </c>
      <c r="J12" s="28" t="str">
        <f t="shared" si="1"/>
        <v>64o</v>
      </c>
      <c r="K12" s="28" t="str">
        <f t="shared" si="1"/>
        <v>54o</v>
      </c>
      <c r="L12" s="24" t="str">
        <f>_xlfn.CONCAT(L$1,$A12)</f>
        <v>44</v>
      </c>
      <c r="M12" s="25" t="str">
        <f>_xlfn.CONCAT($A12,M$1, "s")</f>
        <v>43s</v>
      </c>
      <c r="N12" s="25" t="str">
        <f t="shared" si="0"/>
        <v>42s</v>
      </c>
      <c r="Q12" s="3"/>
      <c r="R12" s="19"/>
      <c r="S12" s="19"/>
      <c r="T12" s="19"/>
      <c r="U12" s="19"/>
      <c r="V12" s="19"/>
      <c r="W12" s="19"/>
      <c r="AA12" s="56" t="s">
        <v>21</v>
      </c>
      <c r="AB12" s="57"/>
      <c r="AC12" s="57"/>
      <c r="AD12" s="57"/>
      <c r="AE12" s="58"/>
      <c r="AF12" s="59" cm="1">
        <f t="array" ref="AF12">SUMPRODUCT(
  --(MID(Combinations!$C$3:$BB$54,2,1)&lt;&gt;MID(Combinations!$C$3:$BB$54,4,1)),
--(ROW(Combinations!$C$3:$BB$54)&lt;COLUMN(Combinations!$C$3:$BB$54)),
  --(
      ABS(
        IF(ROW(Combinations!$C$3:$BB$54)&lt;COLUMN(Combinations!$C$3:$BB$54),
           MATCH(LEFT(Combinations!$C$3:$BB$54,1),{"A","K","Q","J","T","9","8","7","6","5","4","3","2"},0),
           0)
      -
        IF(ROW(Combinations!$C$3:$BB$54)&lt;COLUMN(Combinations!$C$3:$BB$54),
           MATCH(MID(Combinations!$C$3:$BB$54,3,1),{"A","K","Q","J","T","9","8","7","6","5","4","3","2"},0),
           0)
      )=1
    ),
  INDEX(Combinations!$C$3:$BB$54,
        COLUMN(Combinations!$C$3:$BB$54)-COLUMN(Combinations!$C$3)+1,
        ROW(Combinations!$C$3:$BB$54)-ROW(Combinations!$C$3)+1)
)</f>
        <v>0</v>
      </c>
      <c r="AG12" s="16">
        <f>AF12/144</f>
        <v>0</v>
      </c>
    </row>
    <row r="13" spans="1:33" ht="30" customHeight="1" x14ac:dyDescent="0.25">
      <c r="A13" s="3">
        <v>3</v>
      </c>
      <c r="B13" s="28" t="str">
        <f t="shared" si="1"/>
        <v>A3o</v>
      </c>
      <c r="C13" s="28" t="str">
        <f t="shared" si="1"/>
        <v>K3o</v>
      </c>
      <c r="D13" s="28" t="str">
        <f t="shared" si="1"/>
        <v>Q3o</v>
      </c>
      <c r="E13" s="28" t="str">
        <f t="shared" si="1"/>
        <v>J3o</v>
      </c>
      <c r="F13" s="28" t="str">
        <f t="shared" si="1"/>
        <v>T3o</v>
      </c>
      <c r="G13" s="28" t="str">
        <f t="shared" si="1"/>
        <v>93o</v>
      </c>
      <c r="H13" s="28" t="str">
        <f t="shared" si="1"/>
        <v>83o</v>
      </c>
      <c r="I13" s="28" t="str">
        <f t="shared" si="1"/>
        <v>73o</v>
      </c>
      <c r="J13" s="28" t="str">
        <f t="shared" si="1"/>
        <v>63o</v>
      </c>
      <c r="K13" s="28" t="str">
        <f t="shared" si="1"/>
        <v>53o</v>
      </c>
      <c r="L13" s="28" t="str">
        <f t="shared" si="1"/>
        <v>43o</v>
      </c>
      <c r="M13" s="24" t="str">
        <f>_xlfn.CONCAT(M$1,$A13)</f>
        <v>33</v>
      </c>
      <c r="N13" s="25" t="str">
        <f t="shared" si="0"/>
        <v>32s</v>
      </c>
      <c r="Q13" s="19"/>
      <c r="R13" s="19"/>
      <c r="S13" s="19"/>
      <c r="T13" s="19"/>
      <c r="U13" s="19"/>
      <c r="V13" s="19"/>
      <c r="W13" s="19"/>
      <c r="AA13" s="60" t="s">
        <v>30</v>
      </c>
      <c r="AB13" s="61"/>
      <c r="AC13" s="61"/>
      <c r="AD13" s="61"/>
      <c r="AE13" s="62"/>
      <c r="AF13" s="63" cm="1">
        <f t="array" ref="AF13">SUMPRODUCT(
  --(MID(Combinations!$C$3:$BB$54,2,1)&lt;&gt;MID(Combinations!$C$3:$BB$54,4,1)),
  --(ROW(Combinations!$C$3:$BB$54)&lt;COLUMN(Combinations!$C$3:$BB$54)),
  --(
      ABS(
        IF(ROW(Combinations!$C$3:$BB$54)&lt;COLUMN(Combinations!$C$3:$BB$54),
           MATCH(LEFT(Combinations!$C$3:$BB$54,1),{"A","K","Q","J","T","9","8","7","6","5","4","3","2"},0),
           0)
      -
        IF(ROW(Combinations!$C$3:$BB$54)&lt;COLUMN(Combinations!$C$3:$BB$54),
           MATCH(MID(Combinations!$C$3:$BB$54,3,1),{"A","K","Q","J","T","9","8","7","6","5","4","3","2"},0),
           0)
      )=2
    ),
  INDEX(Combinations!$C$3:$BB$54,
        COLUMN(Combinations!$C$3:$BB$54)-COLUMN(Combinations!$C$3)+1,
        ROW(Combinations!$C$3:$BB$54)-ROW(Combinations!$C$3)+1)
)</f>
        <v>0</v>
      </c>
      <c r="AG13" s="17">
        <f>AF13/132</f>
        <v>0</v>
      </c>
    </row>
    <row r="14" spans="1:33" ht="30" customHeight="1" x14ac:dyDescent="0.25">
      <c r="A14" s="3">
        <v>2</v>
      </c>
      <c r="B14" s="28" t="str">
        <f t="shared" si="1"/>
        <v>A2o</v>
      </c>
      <c r="C14" s="28" t="str">
        <f t="shared" si="1"/>
        <v>K2o</v>
      </c>
      <c r="D14" s="28" t="str">
        <f t="shared" si="1"/>
        <v>Q2o</v>
      </c>
      <c r="E14" s="28" t="str">
        <f t="shared" si="1"/>
        <v>J2o</v>
      </c>
      <c r="F14" s="28" t="str">
        <f t="shared" si="1"/>
        <v>T2o</v>
      </c>
      <c r="G14" s="28" t="str">
        <f t="shared" si="1"/>
        <v>92o</v>
      </c>
      <c r="H14" s="28" t="str">
        <f t="shared" si="1"/>
        <v>82o</v>
      </c>
      <c r="I14" s="28" t="str">
        <f t="shared" si="1"/>
        <v>72o</v>
      </c>
      <c r="J14" s="28" t="str">
        <f t="shared" si="1"/>
        <v>62o</v>
      </c>
      <c r="K14" s="28" t="str">
        <f t="shared" si="1"/>
        <v>52o</v>
      </c>
      <c r="L14" s="28" t="str">
        <f t="shared" si="1"/>
        <v>42o</v>
      </c>
      <c r="M14" s="28" t="str">
        <f t="shared" si="1"/>
        <v>32o</v>
      </c>
      <c r="N14" s="24" t="str">
        <f>_xlfn.CONCAT(N$1,$A14)</f>
        <v>22</v>
      </c>
      <c r="Q14" s="19"/>
      <c r="R14" s="19"/>
      <c r="S14" s="19"/>
      <c r="T14" s="19"/>
      <c r="U14" s="19"/>
      <c r="V14" s="19"/>
      <c r="W14" s="19"/>
      <c r="AA14" s="64" t="s">
        <v>18</v>
      </c>
      <c r="AB14" s="65"/>
      <c r="AC14" s="65"/>
      <c r="AD14" s="65"/>
      <c r="AE14" s="66"/>
      <c r="AF14" s="67" cm="1">
        <f t="array" ref="AF14">SUMPRODUCT(
  --(MID(Combinations!$C$3:$BB$54,2,1)&lt;&gt;MID(Combinations!$C$3:$BB$54,4,1)),
  --(LEFT(Combinations!$C$3:$BB$54,1)=MID(Combinations!$C$3:$BB$54,3,1)),
  --(ROW(Combinations!$C$3:$BB$54)&lt;COLUMN(Combinations!$C$3:$BB$54)),
  INDEX(Combinations!$C$3:$BB$54,
        COLUMN(Combinations!$C$3:$BB$54)-COLUMN(Combinations!$C$3)+1,
        ROW(Combinations!$C$3:$BB$54)-ROW(Combinations!$C$3)+1)
)</f>
        <v>0</v>
      </c>
      <c r="AG14" s="18">
        <f>AF14/78</f>
        <v>0</v>
      </c>
    </row>
    <row r="15" spans="1:33" ht="30" customHeight="1" x14ac:dyDescent="0.25">
      <c r="R15" s="19"/>
      <c r="S15" s="19"/>
      <c r="T15" s="19"/>
      <c r="U15" s="19"/>
      <c r="V15" s="19"/>
      <c r="W15" s="19"/>
    </row>
    <row r="16" spans="1:33" x14ac:dyDescent="0.25">
      <c r="R16" s="19"/>
      <c r="S16" s="19"/>
      <c r="T16" s="19"/>
      <c r="U16" s="19"/>
      <c r="V16" s="19"/>
      <c r="W16" s="19"/>
    </row>
  </sheetData>
  <sheetProtection sheet="1" objects="1" scenarios="1"/>
  <conditionalFormatting sqref="P2:Q2 S2:X2">
    <cfRule type="containsText" dxfId="26" priority="1" operator="containsText" text="d">
      <formula>NOT(ISERROR(SEARCH("d",P2)))</formula>
    </cfRule>
    <cfRule type="containsText" dxfId="25" priority="2" operator="containsText" text="h">
      <formula>NOT(ISERROR(SEARCH("h",P2)))</formula>
    </cfRule>
    <cfRule type="containsText" dxfId="24" priority="3" operator="containsText" text="c">
      <formula>NOT(ISERROR(SEARCH("c",P2)))</formula>
    </cfRule>
    <cfRule type="containsText" dxfId="23" priority="4" operator="containsText" text="s">
      <formula>NOT(ISERROR(SEARCH("s",P2)))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AllRanges">
                <anchor moveWithCells="1" sizeWithCells="1">
                  <from>
                    <xdr:col>8</xdr:col>
                    <xdr:colOff>219075</xdr:colOff>
                    <xdr:row>14</xdr:row>
                    <xdr:rowOff>142875</xdr:rowOff>
                  </from>
                  <to>
                    <xdr:col>11</xdr:col>
                    <xdr:colOff>266700</xdr:colOff>
                    <xdr:row>16</xdr:row>
                    <xdr:rowOff>123825</xdr:rowOff>
                  </to>
                </anchor>
              </controlPr>
            </control>
          </mc:Choice>
        </mc:AlternateContent>
        <mc:AlternateContent xmlns:mc="http://schemas.openxmlformats.org/markup-compatibility/2006">
          <mc:Choice Requires="x14">
            <control shapeId="2050" r:id="rId5" name="Button 2">
              <controlPr defaultSize="0" print="0" autoFill="0" autoPict="0" macro="[0]!SelectAllRanges">
                <anchor moveWithCells="1" sizeWithCells="1">
                  <from>
                    <xdr:col>3</xdr:col>
                    <xdr:colOff>9525</xdr:colOff>
                    <xdr:row>14</xdr:row>
                    <xdr:rowOff>123825</xdr:rowOff>
                  </from>
                  <to>
                    <xdr:col>6</xdr:col>
                    <xdr:colOff>57150</xdr:colOff>
                    <xdr:row>16</xdr:row>
                    <xdr:rowOff>104775</xdr:rowOff>
                  </to>
                </anchor>
              </controlPr>
            </control>
          </mc:Choice>
        </mc:AlternateContent>
        <mc:AlternateContent xmlns:mc="http://schemas.openxmlformats.org/markup-compatibility/2006">
          <mc:Choice Requires="x14">
            <control shapeId="2051" r:id="rId6" name="Button 3">
              <controlPr defaultSize="0" print="0" autoFill="0" autoPict="0" macro="[0]!SelectHoleCards">
                <anchor moveWithCells="1" sizeWithCells="1">
                  <from>
                    <xdr:col>15</xdr:col>
                    <xdr:colOff>28575</xdr:colOff>
                    <xdr:row>2</xdr:row>
                    <xdr:rowOff>28575</xdr:rowOff>
                  </from>
                  <to>
                    <xdr:col>16</xdr:col>
                    <xdr:colOff>361950</xdr:colOff>
                    <xdr:row>2</xdr:row>
                    <xdr:rowOff>219075</xdr:rowOff>
                  </to>
                </anchor>
              </controlPr>
            </control>
          </mc:Choice>
        </mc:AlternateContent>
        <mc:AlternateContent xmlns:mc="http://schemas.openxmlformats.org/markup-compatibility/2006">
          <mc:Choice Requires="x14">
            <control shapeId="2052" r:id="rId7" name="Button 4">
              <controlPr defaultSize="0" print="0" autoFill="0" autoPict="0" macro="[0]!SelectFlop">
                <anchor moveWithCells="1" sizeWithCells="1">
                  <from>
                    <xdr:col>18</xdr:col>
                    <xdr:colOff>19050</xdr:colOff>
                    <xdr:row>2</xdr:row>
                    <xdr:rowOff>28575</xdr:rowOff>
                  </from>
                  <to>
                    <xdr:col>20</xdr:col>
                    <xdr:colOff>381000</xdr:colOff>
                    <xdr:row>2</xdr:row>
                    <xdr:rowOff>219075</xdr:rowOff>
                  </to>
                </anchor>
              </controlPr>
            </control>
          </mc:Choice>
        </mc:AlternateContent>
        <mc:AlternateContent xmlns:mc="http://schemas.openxmlformats.org/markup-compatibility/2006">
          <mc:Choice Requires="x14">
            <control shapeId="2053" r:id="rId8" name="Button 5">
              <controlPr defaultSize="0" print="0" autoFill="0" autoPict="0" macro="[0]!SelectTurn">
                <anchor moveWithCells="1" sizeWithCells="1">
                  <from>
                    <xdr:col>22</xdr:col>
                    <xdr:colOff>38100</xdr:colOff>
                    <xdr:row>2</xdr:row>
                    <xdr:rowOff>28575</xdr:rowOff>
                  </from>
                  <to>
                    <xdr:col>22</xdr:col>
                    <xdr:colOff>542925</xdr:colOff>
                    <xdr:row>2</xdr:row>
                    <xdr:rowOff>238125</xdr:rowOff>
                  </to>
                </anchor>
              </controlPr>
            </control>
          </mc:Choice>
        </mc:AlternateContent>
        <mc:AlternateContent xmlns:mc="http://schemas.openxmlformats.org/markup-compatibility/2006">
          <mc:Choice Requires="x14">
            <control shapeId="2054" r:id="rId9" name="Button 6">
              <controlPr defaultSize="0" print="0" autoFill="0" autoPict="0" macro="[0]!SelectRiver">
                <anchor moveWithCells="1" sizeWithCells="1">
                  <from>
                    <xdr:col>23</xdr:col>
                    <xdr:colOff>47625</xdr:colOff>
                    <xdr:row>2</xdr:row>
                    <xdr:rowOff>28575</xdr:rowOff>
                  </from>
                  <to>
                    <xdr:col>23</xdr:col>
                    <xdr:colOff>533400</xdr:colOff>
                    <xdr:row>2</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61636-09BA-4A4C-A835-C9856D45AE00}">
  <sheetPr codeName="Sheet2"/>
  <dimension ref="A1:BB54"/>
  <sheetViews>
    <sheetView zoomScaleNormal="100" workbookViewId="0">
      <pane xSplit="2" ySplit="2" topLeftCell="C3" activePane="bottomRight" state="frozen"/>
      <selection pane="topRight" activeCell="C1" sqref="C1"/>
      <selection pane="bottomLeft" activeCell="A3" sqref="A3"/>
      <selection pane="bottomRight" activeCell="V18" sqref="V18"/>
    </sheetView>
  </sheetViews>
  <sheetFormatPr defaultRowHeight="15" x14ac:dyDescent="0.25"/>
  <cols>
    <col min="1" max="2" width="12.5703125" customWidth="1"/>
  </cols>
  <sheetData>
    <row r="1" spans="1:54" x14ac:dyDescent="0.25">
      <c r="C1" t="s">
        <v>0</v>
      </c>
      <c r="D1" t="s">
        <v>0</v>
      </c>
      <c r="E1" t="s">
        <v>0</v>
      </c>
      <c r="F1" t="s">
        <v>0</v>
      </c>
      <c r="G1" t="s">
        <v>1</v>
      </c>
      <c r="H1" t="s">
        <v>1</v>
      </c>
      <c r="I1" t="s">
        <v>1</v>
      </c>
      <c r="J1" t="s">
        <v>1</v>
      </c>
      <c r="K1" t="s">
        <v>2</v>
      </c>
      <c r="L1" t="s">
        <v>2</v>
      </c>
      <c r="M1" t="s">
        <v>2</v>
      </c>
      <c r="N1" t="s">
        <v>2</v>
      </c>
      <c r="O1" t="s">
        <v>3</v>
      </c>
      <c r="P1" t="s">
        <v>3</v>
      </c>
      <c r="Q1" t="s">
        <v>3</v>
      </c>
      <c r="R1" t="s">
        <v>3</v>
      </c>
      <c r="S1" t="s">
        <v>4</v>
      </c>
      <c r="T1" t="s">
        <v>4</v>
      </c>
      <c r="U1" t="s">
        <v>4</v>
      </c>
      <c r="V1" t="s">
        <v>4</v>
      </c>
      <c r="W1">
        <v>9</v>
      </c>
      <c r="X1">
        <v>9</v>
      </c>
      <c r="Y1">
        <v>9</v>
      </c>
      <c r="Z1">
        <v>9</v>
      </c>
      <c r="AA1">
        <v>8</v>
      </c>
      <c r="AB1">
        <v>8</v>
      </c>
      <c r="AC1">
        <v>8</v>
      </c>
      <c r="AD1">
        <v>8</v>
      </c>
      <c r="AE1">
        <v>7</v>
      </c>
      <c r="AF1">
        <v>7</v>
      </c>
      <c r="AG1">
        <v>7</v>
      </c>
      <c r="AH1">
        <v>7</v>
      </c>
      <c r="AI1">
        <v>6</v>
      </c>
      <c r="AJ1">
        <v>6</v>
      </c>
      <c r="AK1">
        <v>6</v>
      </c>
      <c r="AL1">
        <v>6</v>
      </c>
      <c r="AM1">
        <v>5</v>
      </c>
      <c r="AN1">
        <v>5</v>
      </c>
      <c r="AO1">
        <v>5</v>
      </c>
      <c r="AP1">
        <v>5</v>
      </c>
      <c r="AQ1">
        <v>4</v>
      </c>
      <c r="AR1">
        <v>4</v>
      </c>
      <c r="AS1">
        <v>4</v>
      </c>
      <c r="AT1">
        <v>4</v>
      </c>
      <c r="AU1">
        <v>3</v>
      </c>
      <c r="AV1">
        <v>3</v>
      </c>
      <c r="AW1">
        <v>3</v>
      </c>
      <c r="AX1">
        <v>3</v>
      </c>
      <c r="AY1">
        <v>2</v>
      </c>
      <c r="AZ1">
        <v>2</v>
      </c>
      <c r="BA1">
        <v>2</v>
      </c>
      <c r="BB1">
        <v>2</v>
      </c>
    </row>
    <row r="2" spans="1:54" x14ac:dyDescent="0.25">
      <c r="C2" t="s">
        <v>6</v>
      </c>
      <c r="D2" t="s">
        <v>7</v>
      </c>
      <c r="E2" t="s">
        <v>9</v>
      </c>
      <c r="F2" t="s">
        <v>8</v>
      </c>
      <c r="G2" t="s">
        <v>6</v>
      </c>
      <c r="H2" t="s">
        <v>7</v>
      </c>
      <c r="I2" t="s">
        <v>9</v>
      </c>
      <c r="J2" t="s">
        <v>8</v>
      </c>
      <c r="K2" t="s">
        <v>6</v>
      </c>
      <c r="L2" t="s">
        <v>7</v>
      </c>
      <c r="M2" t="s">
        <v>9</v>
      </c>
      <c r="N2" t="s">
        <v>8</v>
      </c>
      <c r="O2" t="s">
        <v>6</v>
      </c>
      <c r="P2" t="s">
        <v>7</v>
      </c>
      <c r="Q2" t="s">
        <v>9</v>
      </c>
      <c r="R2" t="s">
        <v>8</v>
      </c>
      <c r="S2" t="s">
        <v>6</v>
      </c>
      <c r="T2" t="s">
        <v>7</v>
      </c>
      <c r="U2" t="s">
        <v>9</v>
      </c>
      <c r="V2" t="s">
        <v>8</v>
      </c>
      <c r="W2" t="s">
        <v>6</v>
      </c>
      <c r="X2" t="s">
        <v>7</v>
      </c>
      <c r="Y2" t="s">
        <v>9</v>
      </c>
      <c r="Z2" t="s">
        <v>8</v>
      </c>
      <c r="AA2" t="s">
        <v>6</v>
      </c>
      <c r="AB2" t="s">
        <v>7</v>
      </c>
      <c r="AC2" t="s">
        <v>9</v>
      </c>
      <c r="AD2" t="s">
        <v>8</v>
      </c>
      <c r="AE2" t="s">
        <v>6</v>
      </c>
      <c r="AF2" t="s">
        <v>7</v>
      </c>
      <c r="AG2" t="s">
        <v>9</v>
      </c>
      <c r="AH2" t="s">
        <v>8</v>
      </c>
      <c r="AI2" t="s">
        <v>6</v>
      </c>
      <c r="AJ2" t="s">
        <v>7</v>
      </c>
      <c r="AK2" t="s">
        <v>9</v>
      </c>
      <c r="AL2" t="s">
        <v>8</v>
      </c>
      <c r="AM2" t="s">
        <v>6</v>
      </c>
      <c r="AN2" t="s">
        <v>7</v>
      </c>
      <c r="AO2" t="s">
        <v>9</v>
      </c>
      <c r="AP2" t="s">
        <v>8</v>
      </c>
      <c r="AQ2" t="s">
        <v>6</v>
      </c>
      <c r="AR2" t="s">
        <v>7</v>
      </c>
      <c r="AS2" t="s">
        <v>9</v>
      </c>
      <c r="AT2" t="s">
        <v>8</v>
      </c>
      <c r="AU2" t="s">
        <v>6</v>
      </c>
      <c r="AV2" t="s">
        <v>7</v>
      </c>
      <c r="AW2" t="s">
        <v>9</v>
      </c>
      <c r="AX2" t="s">
        <v>8</v>
      </c>
      <c r="AY2" t="s">
        <v>6</v>
      </c>
      <c r="AZ2" t="s">
        <v>7</v>
      </c>
      <c r="BA2" t="s">
        <v>9</v>
      </c>
      <c r="BB2" t="s">
        <v>8</v>
      </c>
    </row>
    <row r="3" spans="1:54" x14ac:dyDescent="0.25">
      <c r="A3" t="s">
        <v>0</v>
      </c>
      <c r="B3" t="s">
        <v>6</v>
      </c>
      <c r="D3" t="s">
        <v>52</v>
      </c>
      <c r="E3" t="s">
        <v>53</v>
      </c>
      <c r="F3" t="s">
        <v>54</v>
      </c>
      <c r="G3" t="s">
        <v>55</v>
      </c>
      <c r="H3" t="s">
        <v>56</v>
      </c>
      <c r="I3" t="s">
        <v>57</v>
      </c>
      <c r="J3" t="s">
        <v>58</v>
      </c>
      <c r="K3" t="s">
        <v>59</v>
      </c>
      <c r="L3" t="s">
        <v>60</v>
      </c>
      <c r="M3" t="s">
        <v>61</v>
      </c>
      <c r="N3" t="s">
        <v>62</v>
      </c>
      <c r="O3" t="s">
        <v>63</v>
      </c>
      <c r="P3" t="s">
        <v>64</v>
      </c>
      <c r="Q3" t="s">
        <v>65</v>
      </c>
      <c r="R3" t="s">
        <v>66</v>
      </c>
      <c r="S3" t="s">
        <v>1330</v>
      </c>
      <c r="T3" t="s">
        <v>67</v>
      </c>
      <c r="U3" t="s">
        <v>68</v>
      </c>
      <c r="V3" t="s">
        <v>69</v>
      </c>
      <c r="W3" t="s">
        <v>70</v>
      </c>
      <c r="X3" t="s">
        <v>1331</v>
      </c>
      <c r="Y3" t="s">
        <v>71</v>
      </c>
      <c r="Z3" t="s">
        <v>72</v>
      </c>
      <c r="AA3" t="s">
        <v>73</v>
      </c>
      <c r="AB3" t="s">
        <v>74</v>
      </c>
      <c r="AC3" t="s">
        <v>75</v>
      </c>
      <c r="AD3" t="s">
        <v>76</v>
      </c>
      <c r="AE3" t="s">
        <v>77</v>
      </c>
      <c r="AF3" t="s">
        <v>78</v>
      </c>
      <c r="AG3" t="s">
        <v>79</v>
      </c>
      <c r="AH3" t="s">
        <v>80</v>
      </c>
      <c r="AI3" t="s">
        <v>81</v>
      </c>
      <c r="AJ3" t="s">
        <v>82</v>
      </c>
      <c r="AK3" t="s">
        <v>83</v>
      </c>
      <c r="AL3" t="s">
        <v>84</v>
      </c>
      <c r="AM3" t="s">
        <v>85</v>
      </c>
      <c r="AN3" t="s">
        <v>86</v>
      </c>
      <c r="AO3" t="s">
        <v>87</v>
      </c>
      <c r="AP3" t="s">
        <v>88</v>
      </c>
      <c r="AQ3" t="s">
        <v>89</v>
      </c>
      <c r="AR3" t="s">
        <v>90</v>
      </c>
      <c r="AS3" t="s">
        <v>91</v>
      </c>
      <c r="AT3" t="s">
        <v>92</v>
      </c>
      <c r="AU3" t="s">
        <v>93</v>
      </c>
      <c r="AV3" t="s">
        <v>94</v>
      </c>
      <c r="AW3" t="s">
        <v>95</v>
      </c>
      <c r="AX3" t="s">
        <v>96</v>
      </c>
      <c r="AY3" t="s">
        <v>97</v>
      </c>
      <c r="AZ3" t="s">
        <v>98</v>
      </c>
      <c r="BA3" t="s">
        <v>99</v>
      </c>
      <c r="BB3" t="s">
        <v>100</v>
      </c>
    </row>
    <row r="4" spans="1:54" x14ac:dyDescent="0.25">
      <c r="A4" t="s">
        <v>0</v>
      </c>
      <c r="B4" t="s">
        <v>7</v>
      </c>
      <c r="C4">
        <v>0</v>
      </c>
      <c r="E4" t="s">
        <v>101</v>
      </c>
      <c r="F4" t="s">
        <v>102</v>
      </c>
      <c r="G4" t="s">
        <v>103</v>
      </c>
      <c r="H4" t="s">
        <v>104</v>
      </c>
      <c r="I4" t="s">
        <v>105</v>
      </c>
      <c r="J4" t="s">
        <v>106</v>
      </c>
      <c r="K4" t="s">
        <v>107</v>
      </c>
      <c r="L4" t="s">
        <v>108</v>
      </c>
      <c r="M4" t="s">
        <v>109</v>
      </c>
      <c r="N4" t="s">
        <v>110</v>
      </c>
      <c r="O4" t="s">
        <v>111</v>
      </c>
      <c r="P4" t="s">
        <v>112</v>
      </c>
      <c r="Q4" t="s">
        <v>113</v>
      </c>
      <c r="R4" t="s">
        <v>114</v>
      </c>
      <c r="S4" t="s">
        <v>1351</v>
      </c>
      <c r="T4" t="s">
        <v>115</v>
      </c>
      <c r="U4" t="s">
        <v>116</v>
      </c>
      <c r="V4" t="s">
        <v>117</v>
      </c>
      <c r="W4" t="s">
        <v>118</v>
      </c>
      <c r="X4" t="s">
        <v>1332</v>
      </c>
      <c r="Y4" t="s">
        <v>119</v>
      </c>
      <c r="Z4" t="s">
        <v>120</v>
      </c>
      <c r="AA4" t="s">
        <v>121</v>
      </c>
      <c r="AB4" t="s">
        <v>122</v>
      </c>
      <c r="AC4" t="s">
        <v>123</v>
      </c>
      <c r="AD4" t="s">
        <v>124</v>
      </c>
      <c r="AE4" t="s">
        <v>125</v>
      </c>
      <c r="AF4" t="s">
        <v>126</v>
      </c>
      <c r="AG4" t="s">
        <v>127</v>
      </c>
      <c r="AH4" t="s">
        <v>128</v>
      </c>
      <c r="AI4" t="s">
        <v>129</v>
      </c>
      <c r="AJ4" t="s">
        <v>130</v>
      </c>
      <c r="AK4" t="s">
        <v>131</v>
      </c>
      <c r="AL4" t="s">
        <v>132</v>
      </c>
      <c r="AM4" t="s">
        <v>133</v>
      </c>
      <c r="AN4" t="s">
        <v>134</v>
      </c>
      <c r="AO4" t="s">
        <v>135</v>
      </c>
      <c r="AP4" t="s">
        <v>136</v>
      </c>
      <c r="AQ4" t="s">
        <v>137</v>
      </c>
      <c r="AR4" t="s">
        <v>138</v>
      </c>
      <c r="AS4" t="s">
        <v>139</v>
      </c>
      <c r="AT4" t="s">
        <v>140</v>
      </c>
      <c r="AU4" t="s">
        <v>141</v>
      </c>
      <c r="AV4" t="s">
        <v>142</v>
      </c>
      <c r="AW4" t="s">
        <v>143</v>
      </c>
      <c r="AX4" t="s">
        <v>144</v>
      </c>
      <c r="AY4" t="s">
        <v>145</v>
      </c>
      <c r="AZ4" t="s">
        <v>146</v>
      </c>
      <c r="BA4" t="s">
        <v>147</v>
      </c>
      <c r="BB4" t="s">
        <v>148</v>
      </c>
    </row>
    <row r="5" spans="1:54" x14ac:dyDescent="0.25">
      <c r="A5" t="s">
        <v>0</v>
      </c>
      <c r="B5" t="s">
        <v>9</v>
      </c>
      <c r="C5">
        <v>0</v>
      </c>
      <c r="D5">
        <v>0</v>
      </c>
      <c r="F5" t="s">
        <v>149</v>
      </c>
      <c r="G5" t="s">
        <v>150</v>
      </c>
      <c r="H5" t="s">
        <v>151</v>
      </c>
      <c r="I5" t="s">
        <v>152</v>
      </c>
      <c r="J5" t="s">
        <v>153</v>
      </c>
      <c r="K5" t="s">
        <v>154</v>
      </c>
      <c r="L5" t="s">
        <v>155</v>
      </c>
      <c r="M5" t="s">
        <v>156</v>
      </c>
      <c r="N5" t="s">
        <v>157</v>
      </c>
      <c r="O5" t="s">
        <v>158</v>
      </c>
      <c r="P5" t="s">
        <v>159</v>
      </c>
      <c r="Q5" t="s">
        <v>160</v>
      </c>
      <c r="R5" t="s">
        <v>161</v>
      </c>
      <c r="S5" t="s">
        <v>1352</v>
      </c>
      <c r="T5" t="s">
        <v>162</v>
      </c>
      <c r="U5" t="s">
        <v>163</v>
      </c>
      <c r="V5" t="s">
        <v>164</v>
      </c>
      <c r="W5" t="s">
        <v>165</v>
      </c>
      <c r="X5" t="s">
        <v>1333</v>
      </c>
      <c r="Y5" t="s">
        <v>166</v>
      </c>
      <c r="Z5" t="s">
        <v>167</v>
      </c>
      <c r="AA5" t="s">
        <v>168</v>
      </c>
      <c r="AB5" t="s">
        <v>169</v>
      </c>
      <c r="AC5" t="s">
        <v>170</v>
      </c>
      <c r="AD5" t="s">
        <v>171</v>
      </c>
      <c r="AE5" t="s">
        <v>172</v>
      </c>
      <c r="AF5" t="s">
        <v>173</v>
      </c>
      <c r="AG5" t="s">
        <v>174</v>
      </c>
      <c r="AH5" t="s">
        <v>175</v>
      </c>
      <c r="AI5" t="s">
        <v>176</v>
      </c>
      <c r="AJ5" t="s">
        <v>177</v>
      </c>
      <c r="AK5" t="s">
        <v>178</v>
      </c>
      <c r="AL5" t="s">
        <v>179</v>
      </c>
      <c r="AM5" t="s">
        <v>180</v>
      </c>
      <c r="AN5" t="s">
        <v>181</v>
      </c>
      <c r="AO5" t="s">
        <v>182</v>
      </c>
      <c r="AP5" t="s">
        <v>183</v>
      </c>
      <c r="AQ5" t="s">
        <v>184</v>
      </c>
      <c r="AR5" t="s">
        <v>185</v>
      </c>
      <c r="AS5" t="s">
        <v>186</v>
      </c>
      <c r="AT5" t="s">
        <v>187</v>
      </c>
      <c r="AU5" t="s">
        <v>188</v>
      </c>
      <c r="AV5" t="s">
        <v>189</v>
      </c>
      <c r="AW5" t="s">
        <v>190</v>
      </c>
      <c r="AX5" t="s">
        <v>191</v>
      </c>
      <c r="AY5" t="s">
        <v>192</v>
      </c>
      <c r="AZ5" t="s">
        <v>193</v>
      </c>
      <c r="BA5" t="s">
        <v>194</v>
      </c>
      <c r="BB5" t="s">
        <v>195</v>
      </c>
    </row>
    <row r="6" spans="1:54" x14ac:dyDescent="0.25">
      <c r="A6" t="s">
        <v>0</v>
      </c>
      <c r="B6" t="s">
        <v>8</v>
      </c>
      <c r="C6">
        <v>0</v>
      </c>
      <c r="D6">
        <v>0</v>
      </c>
      <c r="E6">
        <v>0</v>
      </c>
      <c r="G6" t="s">
        <v>196</v>
      </c>
      <c r="H6" t="s">
        <v>197</v>
      </c>
      <c r="I6" t="s">
        <v>198</v>
      </c>
      <c r="J6" t="s">
        <v>199</v>
      </c>
      <c r="K6" t="s">
        <v>200</v>
      </c>
      <c r="L6" t="s">
        <v>201</v>
      </c>
      <c r="M6" t="s">
        <v>202</v>
      </c>
      <c r="N6" t="s">
        <v>203</v>
      </c>
      <c r="O6" t="s">
        <v>204</v>
      </c>
      <c r="P6" t="s">
        <v>205</v>
      </c>
      <c r="Q6" t="s">
        <v>206</v>
      </c>
      <c r="R6" t="s">
        <v>207</v>
      </c>
      <c r="S6" t="s">
        <v>1353</v>
      </c>
      <c r="T6" t="s">
        <v>208</v>
      </c>
      <c r="U6" t="s">
        <v>209</v>
      </c>
      <c r="V6" t="s">
        <v>210</v>
      </c>
      <c r="W6" t="s">
        <v>211</v>
      </c>
      <c r="X6" t="s">
        <v>1334</v>
      </c>
      <c r="Y6" t="s">
        <v>212</v>
      </c>
      <c r="Z6" t="s">
        <v>213</v>
      </c>
      <c r="AA6" t="s">
        <v>214</v>
      </c>
      <c r="AB6" t="s">
        <v>215</v>
      </c>
      <c r="AC6" t="s">
        <v>216</v>
      </c>
      <c r="AD6" t="s">
        <v>217</v>
      </c>
      <c r="AE6" t="s">
        <v>218</v>
      </c>
      <c r="AF6" t="s">
        <v>219</v>
      </c>
      <c r="AG6" t="s">
        <v>220</v>
      </c>
      <c r="AH6" t="s">
        <v>221</v>
      </c>
      <c r="AI6" t="s">
        <v>222</v>
      </c>
      <c r="AJ6" t="s">
        <v>223</v>
      </c>
      <c r="AK6" t="s">
        <v>224</v>
      </c>
      <c r="AL6" t="s">
        <v>225</v>
      </c>
      <c r="AM6" t="s">
        <v>226</v>
      </c>
      <c r="AN6" t="s">
        <v>227</v>
      </c>
      <c r="AO6" t="s">
        <v>228</v>
      </c>
      <c r="AP6" t="s">
        <v>229</v>
      </c>
      <c r="AQ6" t="s">
        <v>230</v>
      </c>
      <c r="AR6" t="s">
        <v>231</v>
      </c>
      <c r="AS6" t="s">
        <v>232</v>
      </c>
      <c r="AT6" t="s">
        <v>233</v>
      </c>
      <c r="AU6" t="s">
        <v>234</v>
      </c>
      <c r="AV6" t="s">
        <v>235</v>
      </c>
      <c r="AW6" t="s">
        <v>236</v>
      </c>
      <c r="AX6" t="s">
        <v>237</v>
      </c>
      <c r="AY6" t="s">
        <v>238</v>
      </c>
      <c r="AZ6" t="s">
        <v>239</v>
      </c>
      <c r="BA6" t="s">
        <v>240</v>
      </c>
      <c r="BB6" t="s">
        <v>241</v>
      </c>
    </row>
    <row r="7" spans="1:54" x14ac:dyDescent="0.25">
      <c r="A7" t="s">
        <v>1</v>
      </c>
      <c r="B7" t="s">
        <v>6</v>
      </c>
      <c r="C7">
        <v>0</v>
      </c>
      <c r="D7">
        <v>0</v>
      </c>
      <c r="E7">
        <v>0</v>
      </c>
      <c r="F7">
        <v>0</v>
      </c>
      <c r="H7" t="s">
        <v>242</v>
      </c>
      <c r="I7" t="s">
        <v>243</v>
      </c>
      <c r="J7" t="s">
        <v>244</v>
      </c>
      <c r="K7" t="s">
        <v>245</v>
      </c>
      <c r="L7" t="s">
        <v>246</v>
      </c>
      <c r="M7" t="s">
        <v>247</v>
      </c>
      <c r="N7" t="s">
        <v>248</v>
      </c>
      <c r="O7" t="s">
        <v>249</v>
      </c>
      <c r="P7" t="s">
        <v>250</v>
      </c>
      <c r="Q7" t="s">
        <v>251</v>
      </c>
      <c r="R7" t="s">
        <v>252</v>
      </c>
      <c r="S7" t="s">
        <v>1354</v>
      </c>
      <c r="T7" t="s">
        <v>253</v>
      </c>
      <c r="U7" t="s">
        <v>254</v>
      </c>
      <c r="V7" t="s">
        <v>255</v>
      </c>
      <c r="W7" t="s">
        <v>256</v>
      </c>
      <c r="X7" t="s">
        <v>1335</v>
      </c>
      <c r="Y7" t="s">
        <v>257</v>
      </c>
      <c r="Z7" t="s">
        <v>258</v>
      </c>
      <c r="AA7" t="s">
        <v>259</v>
      </c>
      <c r="AB7" t="s">
        <v>260</v>
      </c>
      <c r="AC7" t="s">
        <v>261</v>
      </c>
      <c r="AD7" t="s">
        <v>262</v>
      </c>
      <c r="AE7" t="s">
        <v>263</v>
      </c>
      <c r="AF7" t="s">
        <v>264</v>
      </c>
      <c r="AG7" t="s">
        <v>265</v>
      </c>
      <c r="AH7" t="s">
        <v>266</v>
      </c>
      <c r="AI7" t="s">
        <v>267</v>
      </c>
      <c r="AJ7" t="s">
        <v>268</v>
      </c>
      <c r="AK7" t="s">
        <v>269</v>
      </c>
      <c r="AL7" t="s">
        <v>270</v>
      </c>
      <c r="AM7" t="s">
        <v>271</v>
      </c>
      <c r="AN7" t="s">
        <v>272</v>
      </c>
      <c r="AO7" t="s">
        <v>273</v>
      </c>
      <c r="AP7" t="s">
        <v>274</v>
      </c>
      <c r="AQ7" t="s">
        <v>275</v>
      </c>
      <c r="AR7" t="s">
        <v>276</v>
      </c>
      <c r="AS7" t="s">
        <v>277</v>
      </c>
      <c r="AT7" t="s">
        <v>278</v>
      </c>
      <c r="AU7" t="s">
        <v>279</v>
      </c>
      <c r="AV7" t="s">
        <v>280</v>
      </c>
      <c r="AW7" t="s">
        <v>281</v>
      </c>
      <c r="AX7" t="s">
        <v>282</v>
      </c>
      <c r="AY7" t="s">
        <v>283</v>
      </c>
      <c r="AZ7" t="s">
        <v>284</v>
      </c>
      <c r="BA7" t="s">
        <v>285</v>
      </c>
      <c r="BB7" t="s">
        <v>286</v>
      </c>
    </row>
    <row r="8" spans="1:54" x14ac:dyDescent="0.25">
      <c r="A8" t="s">
        <v>1</v>
      </c>
      <c r="B8" t="s">
        <v>7</v>
      </c>
      <c r="C8">
        <v>0</v>
      </c>
      <c r="D8">
        <v>0</v>
      </c>
      <c r="E8">
        <v>0</v>
      </c>
      <c r="F8">
        <v>0</v>
      </c>
      <c r="G8">
        <v>0</v>
      </c>
      <c r="I8" t="s">
        <v>287</v>
      </c>
      <c r="J8" t="s">
        <v>288</v>
      </c>
      <c r="K8" t="s">
        <v>289</v>
      </c>
      <c r="L8" t="s">
        <v>290</v>
      </c>
      <c r="M8" t="s">
        <v>291</v>
      </c>
      <c r="N8" t="s">
        <v>292</v>
      </c>
      <c r="O8" t="s">
        <v>293</v>
      </c>
      <c r="P8" t="s">
        <v>294</v>
      </c>
      <c r="Q8" t="s">
        <v>295</v>
      </c>
      <c r="R8" t="s">
        <v>296</v>
      </c>
      <c r="S8" t="s">
        <v>1355</v>
      </c>
      <c r="T8" t="s">
        <v>297</v>
      </c>
      <c r="U8" t="s">
        <v>298</v>
      </c>
      <c r="V8" t="s">
        <v>299</v>
      </c>
      <c r="W8" t="s">
        <v>300</v>
      </c>
      <c r="X8" t="s">
        <v>1336</v>
      </c>
      <c r="Y8" t="s">
        <v>301</v>
      </c>
      <c r="Z8" t="s">
        <v>302</v>
      </c>
      <c r="AA8" t="s">
        <v>303</v>
      </c>
      <c r="AB8" t="s">
        <v>304</v>
      </c>
      <c r="AC8" t="s">
        <v>305</v>
      </c>
      <c r="AD8" t="s">
        <v>306</v>
      </c>
      <c r="AE8" t="s">
        <v>307</v>
      </c>
      <c r="AF8" t="s">
        <v>308</v>
      </c>
      <c r="AG8" t="s">
        <v>309</v>
      </c>
      <c r="AH8" t="s">
        <v>310</v>
      </c>
      <c r="AI8" t="s">
        <v>311</v>
      </c>
      <c r="AJ8" t="s">
        <v>312</v>
      </c>
      <c r="AK8" t="s">
        <v>313</v>
      </c>
      <c r="AL8" t="s">
        <v>314</v>
      </c>
      <c r="AM8" t="s">
        <v>315</v>
      </c>
      <c r="AN8" t="s">
        <v>316</v>
      </c>
      <c r="AO8" t="s">
        <v>317</v>
      </c>
      <c r="AP8" t="s">
        <v>318</v>
      </c>
      <c r="AQ8" t="s">
        <v>319</v>
      </c>
      <c r="AR8" t="s">
        <v>320</v>
      </c>
      <c r="AS8" t="s">
        <v>321</v>
      </c>
      <c r="AT8" t="s">
        <v>322</v>
      </c>
      <c r="AU8" t="s">
        <v>323</v>
      </c>
      <c r="AV8" t="s">
        <v>324</v>
      </c>
      <c r="AW8" t="s">
        <v>325</v>
      </c>
      <c r="AX8" t="s">
        <v>326</v>
      </c>
      <c r="AY8" t="s">
        <v>327</v>
      </c>
      <c r="AZ8" t="s">
        <v>328</v>
      </c>
      <c r="BA8" t="s">
        <v>329</v>
      </c>
      <c r="BB8" t="s">
        <v>330</v>
      </c>
    </row>
    <row r="9" spans="1:54" x14ac:dyDescent="0.25">
      <c r="A9" t="s">
        <v>1</v>
      </c>
      <c r="B9" t="s">
        <v>9</v>
      </c>
      <c r="C9">
        <v>0</v>
      </c>
      <c r="D9">
        <v>0</v>
      </c>
      <c r="E9">
        <v>0</v>
      </c>
      <c r="F9">
        <v>0</v>
      </c>
      <c r="G9">
        <v>0</v>
      </c>
      <c r="H9">
        <v>0</v>
      </c>
      <c r="J9" t="s">
        <v>331</v>
      </c>
      <c r="K9" t="s">
        <v>332</v>
      </c>
      <c r="L9" t="s">
        <v>333</v>
      </c>
      <c r="M9" t="s">
        <v>334</v>
      </c>
      <c r="N9" t="s">
        <v>335</v>
      </c>
      <c r="O9" t="s">
        <v>336</v>
      </c>
      <c r="P9" t="s">
        <v>337</v>
      </c>
      <c r="Q9" t="s">
        <v>338</v>
      </c>
      <c r="R9" t="s">
        <v>339</v>
      </c>
      <c r="S9" t="s">
        <v>1356</v>
      </c>
      <c r="T9" t="s">
        <v>340</v>
      </c>
      <c r="U9" t="s">
        <v>341</v>
      </c>
      <c r="V9" t="s">
        <v>342</v>
      </c>
      <c r="W9" t="s">
        <v>343</v>
      </c>
      <c r="X9" t="s">
        <v>1337</v>
      </c>
      <c r="Y9" t="s">
        <v>344</v>
      </c>
      <c r="Z9" t="s">
        <v>345</v>
      </c>
      <c r="AA9" t="s">
        <v>346</v>
      </c>
      <c r="AB9" t="s">
        <v>347</v>
      </c>
      <c r="AC9" t="s">
        <v>348</v>
      </c>
      <c r="AD9" t="s">
        <v>349</v>
      </c>
      <c r="AE9" t="s">
        <v>350</v>
      </c>
      <c r="AF9" t="s">
        <v>351</v>
      </c>
      <c r="AG9" t="s">
        <v>352</v>
      </c>
      <c r="AH9" t="s">
        <v>353</v>
      </c>
      <c r="AI9" t="s">
        <v>354</v>
      </c>
      <c r="AJ9" t="s">
        <v>355</v>
      </c>
      <c r="AK9" t="s">
        <v>356</v>
      </c>
      <c r="AL9" t="s">
        <v>357</v>
      </c>
      <c r="AM9" t="s">
        <v>358</v>
      </c>
      <c r="AN9" t="s">
        <v>359</v>
      </c>
      <c r="AO9" t="s">
        <v>360</v>
      </c>
      <c r="AP9" t="s">
        <v>361</v>
      </c>
      <c r="AQ9" t="s">
        <v>362</v>
      </c>
      <c r="AR9" t="s">
        <v>363</v>
      </c>
      <c r="AS9" t="s">
        <v>364</v>
      </c>
      <c r="AT9" t="s">
        <v>365</v>
      </c>
      <c r="AU9" t="s">
        <v>366</v>
      </c>
      <c r="AV9" t="s">
        <v>367</v>
      </c>
      <c r="AW9" t="s">
        <v>368</v>
      </c>
      <c r="AX9" t="s">
        <v>369</v>
      </c>
      <c r="AY9" t="s">
        <v>370</v>
      </c>
      <c r="AZ9" t="s">
        <v>371</v>
      </c>
      <c r="BA9" t="s">
        <v>372</v>
      </c>
      <c r="BB9" t="s">
        <v>373</v>
      </c>
    </row>
    <row r="10" spans="1:54" x14ac:dyDescent="0.25">
      <c r="A10" t="s">
        <v>1</v>
      </c>
      <c r="B10" t="s">
        <v>8</v>
      </c>
      <c r="C10">
        <v>0</v>
      </c>
      <c r="D10">
        <v>0</v>
      </c>
      <c r="E10">
        <v>0</v>
      </c>
      <c r="F10">
        <v>0</v>
      </c>
      <c r="G10">
        <v>0</v>
      </c>
      <c r="H10">
        <v>0</v>
      </c>
      <c r="I10">
        <v>0</v>
      </c>
      <c r="K10" t="s">
        <v>374</v>
      </c>
      <c r="L10" t="s">
        <v>375</v>
      </c>
      <c r="M10" t="s">
        <v>376</v>
      </c>
      <c r="N10" t="s">
        <v>377</v>
      </c>
      <c r="O10" t="s">
        <v>378</v>
      </c>
      <c r="P10" t="s">
        <v>379</v>
      </c>
      <c r="Q10" t="s">
        <v>380</v>
      </c>
      <c r="R10" t="s">
        <v>381</v>
      </c>
      <c r="S10" t="s">
        <v>1357</v>
      </c>
      <c r="T10" t="s">
        <v>382</v>
      </c>
      <c r="U10" t="s">
        <v>383</v>
      </c>
      <c r="V10" t="s">
        <v>384</v>
      </c>
      <c r="W10" t="s">
        <v>385</v>
      </c>
      <c r="X10" t="s">
        <v>1338</v>
      </c>
      <c r="Y10" t="s">
        <v>386</v>
      </c>
      <c r="Z10" t="s">
        <v>387</v>
      </c>
      <c r="AA10" t="s">
        <v>388</v>
      </c>
      <c r="AB10" t="s">
        <v>389</v>
      </c>
      <c r="AC10" t="s">
        <v>390</v>
      </c>
      <c r="AD10" t="s">
        <v>391</v>
      </c>
      <c r="AE10" t="s">
        <v>392</v>
      </c>
      <c r="AF10" t="s">
        <v>393</v>
      </c>
      <c r="AG10" t="s">
        <v>394</v>
      </c>
      <c r="AH10" t="s">
        <v>395</v>
      </c>
      <c r="AI10" t="s">
        <v>396</v>
      </c>
      <c r="AJ10" t="s">
        <v>397</v>
      </c>
      <c r="AK10" t="s">
        <v>398</v>
      </c>
      <c r="AL10" t="s">
        <v>399</v>
      </c>
      <c r="AM10" t="s">
        <v>400</v>
      </c>
      <c r="AN10" t="s">
        <v>401</v>
      </c>
      <c r="AO10" t="s">
        <v>402</v>
      </c>
      <c r="AP10" t="s">
        <v>403</v>
      </c>
      <c r="AQ10" t="s">
        <v>404</v>
      </c>
      <c r="AR10" t="s">
        <v>405</v>
      </c>
      <c r="AS10" t="s">
        <v>406</v>
      </c>
      <c r="AT10" t="s">
        <v>407</v>
      </c>
      <c r="AU10" t="s">
        <v>408</v>
      </c>
      <c r="AV10" t="s">
        <v>409</v>
      </c>
      <c r="AW10" t="s">
        <v>410</v>
      </c>
      <c r="AX10" t="s">
        <v>411</v>
      </c>
      <c r="AY10" t="s">
        <v>412</v>
      </c>
      <c r="AZ10" t="s">
        <v>413</v>
      </c>
      <c r="BA10" t="s">
        <v>414</v>
      </c>
      <c r="BB10" t="s">
        <v>415</v>
      </c>
    </row>
    <row r="11" spans="1:54" x14ac:dyDescent="0.25">
      <c r="A11" t="s">
        <v>2</v>
      </c>
      <c r="B11" t="s">
        <v>6</v>
      </c>
      <c r="C11">
        <v>0</v>
      </c>
      <c r="D11">
        <v>0</v>
      </c>
      <c r="E11">
        <v>0</v>
      </c>
      <c r="F11">
        <v>0</v>
      </c>
      <c r="G11">
        <v>0</v>
      </c>
      <c r="H11">
        <v>0</v>
      </c>
      <c r="I11">
        <v>0</v>
      </c>
      <c r="J11">
        <v>0</v>
      </c>
      <c r="L11" t="s">
        <v>416</v>
      </c>
      <c r="M11" t="s">
        <v>417</v>
      </c>
      <c r="N11" t="s">
        <v>418</v>
      </c>
      <c r="O11" t="s">
        <v>419</v>
      </c>
      <c r="P11" t="s">
        <v>420</v>
      </c>
      <c r="Q11" t="s">
        <v>421</v>
      </c>
      <c r="R11" t="s">
        <v>422</v>
      </c>
      <c r="S11" t="s">
        <v>1358</v>
      </c>
      <c r="T11" t="s">
        <v>423</v>
      </c>
      <c r="U11" t="s">
        <v>424</v>
      </c>
      <c r="V11" t="s">
        <v>425</v>
      </c>
      <c r="W11" t="s">
        <v>426</v>
      </c>
      <c r="X11" t="s">
        <v>1339</v>
      </c>
      <c r="Y11" t="s">
        <v>427</v>
      </c>
      <c r="Z11" t="s">
        <v>428</v>
      </c>
      <c r="AA11" t="s">
        <v>429</v>
      </c>
      <c r="AB11" t="s">
        <v>430</v>
      </c>
      <c r="AC11" t="s">
        <v>431</v>
      </c>
      <c r="AD11" t="s">
        <v>432</v>
      </c>
      <c r="AE11" t="s">
        <v>433</v>
      </c>
      <c r="AF11" t="s">
        <v>434</v>
      </c>
      <c r="AG11" t="s">
        <v>435</v>
      </c>
      <c r="AH11" t="s">
        <v>436</v>
      </c>
      <c r="AI11" t="s">
        <v>437</v>
      </c>
      <c r="AJ11" t="s">
        <v>438</v>
      </c>
      <c r="AK11" t="s">
        <v>439</v>
      </c>
      <c r="AL11" t="s">
        <v>440</v>
      </c>
      <c r="AM11" t="s">
        <v>441</v>
      </c>
      <c r="AN11" t="s">
        <v>442</v>
      </c>
      <c r="AO11" t="s">
        <v>443</v>
      </c>
      <c r="AP11" t="s">
        <v>444</v>
      </c>
      <c r="AQ11" t="s">
        <v>445</v>
      </c>
      <c r="AR11" t="s">
        <v>446</v>
      </c>
      <c r="AS11" t="s">
        <v>447</v>
      </c>
      <c r="AT11" t="s">
        <v>448</v>
      </c>
      <c r="AU11" t="s">
        <v>449</v>
      </c>
      <c r="AV11" t="s">
        <v>450</v>
      </c>
      <c r="AW11" t="s">
        <v>451</v>
      </c>
      <c r="AX11" t="s">
        <v>452</v>
      </c>
      <c r="AY11" t="s">
        <v>453</v>
      </c>
      <c r="AZ11" t="s">
        <v>454</v>
      </c>
      <c r="BA11" t="s">
        <v>455</v>
      </c>
      <c r="BB11" t="s">
        <v>456</v>
      </c>
    </row>
    <row r="12" spans="1:54" x14ac:dyDescent="0.25">
      <c r="A12" t="s">
        <v>2</v>
      </c>
      <c r="B12" t="s">
        <v>7</v>
      </c>
      <c r="C12">
        <v>0</v>
      </c>
      <c r="D12">
        <v>0</v>
      </c>
      <c r="E12">
        <v>0</v>
      </c>
      <c r="F12">
        <v>0</v>
      </c>
      <c r="G12">
        <v>0</v>
      </c>
      <c r="H12">
        <v>0</v>
      </c>
      <c r="I12">
        <v>0</v>
      </c>
      <c r="J12">
        <v>0</v>
      </c>
      <c r="K12">
        <v>0</v>
      </c>
      <c r="M12" t="s">
        <v>457</v>
      </c>
      <c r="N12" t="s">
        <v>458</v>
      </c>
      <c r="O12" t="s">
        <v>459</v>
      </c>
      <c r="P12" t="s">
        <v>460</v>
      </c>
      <c r="Q12" t="s">
        <v>461</v>
      </c>
      <c r="R12" t="s">
        <v>462</v>
      </c>
      <c r="S12" t="s">
        <v>1359</v>
      </c>
      <c r="T12" t="s">
        <v>463</v>
      </c>
      <c r="U12" t="s">
        <v>464</v>
      </c>
      <c r="V12" t="s">
        <v>465</v>
      </c>
      <c r="W12" t="s">
        <v>466</v>
      </c>
      <c r="X12" t="s">
        <v>1340</v>
      </c>
      <c r="Y12" t="s">
        <v>467</v>
      </c>
      <c r="Z12" t="s">
        <v>468</v>
      </c>
      <c r="AA12" t="s">
        <v>469</v>
      </c>
      <c r="AB12" t="s">
        <v>470</v>
      </c>
      <c r="AC12" t="s">
        <v>471</v>
      </c>
      <c r="AD12" t="s">
        <v>472</v>
      </c>
      <c r="AE12" t="s">
        <v>473</v>
      </c>
      <c r="AF12" t="s">
        <v>474</v>
      </c>
      <c r="AG12" t="s">
        <v>475</v>
      </c>
      <c r="AH12" t="s">
        <v>476</v>
      </c>
      <c r="AI12" t="s">
        <v>477</v>
      </c>
      <c r="AJ12" t="s">
        <v>478</v>
      </c>
      <c r="AK12" t="s">
        <v>479</v>
      </c>
      <c r="AL12" t="s">
        <v>480</v>
      </c>
      <c r="AM12" t="s">
        <v>481</v>
      </c>
      <c r="AN12" t="s">
        <v>482</v>
      </c>
      <c r="AO12" t="s">
        <v>483</v>
      </c>
      <c r="AP12" t="s">
        <v>484</v>
      </c>
      <c r="AQ12" t="s">
        <v>485</v>
      </c>
      <c r="AR12" t="s">
        <v>486</v>
      </c>
      <c r="AS12" t="s">
        <v>487</v>
      </c>
      <c r="AT12" t="s">
        <v>488</v>
      </c>
      <c r="AU12" t="s">
        <v>489</v>
      </c>
      <c r="AV12" t="s">
        <v>490</v>
      </c>
      <c r="AW12" t="s">
        <v>491</v>
      </c>
      <c r="AX12" t="s">
        <v>492</v>
      </c>
      <c r="AY12" t="s">
        <v>493</v>
      </c>
      <c r="AZ12" t="s">
        <v>494</v>
      </c>
      <c r="BA12" t="s">
        <v>495</v>
      </c>
      <c r="BB12" t="s">
        <v>496</v>
      </c>
    </row>
    <row r="13" spans="1:54" x14ac:dyDescent="0.25">
      <c r="A13" t="s">
        <v>2</v>
      </c>
      <c r="B13" t="s">
        <v>9</v>
      </c>
      <c r="C13">
        <v>0</v>
      </c>
      <c r="D13">
        <v>0</v>
      </c>
      <c r="E13">
        <v>0</v>
      </c>
      <c r="F13">
        <v>0</v>
      </c>
      <c r="G13">
        <v>0</v>
      </c>
      <c r="H13">
        <v>0</v>
      </c>
      <c r="I13">
        <v>0</v>
      </c>
      <c r="J13">
        <v>0</v>
      </c>
      <c r="K13">
        <v>0</v>
      </c>
      <c r="L13">
        <v>0</v>
      </c>
      <c r="N13" t="s">
        <v>497</v>
      </c>
      <c r="O13" t="s">
        <v>498</v>
      </c>
      <c r="P13" t="s">
        <v>499</v>
      </c>
      <c r="Q13" t="s">
        <v>500</v>
      </c>
      <c r="R13" t="s">
        <v>501</v>
      </c>
      <c r="S13" t="s">
        <v>1360</v>
      </c>
      <c r="T13" t="s">
        <v>502</v>
      </c>
      <c r="U13" t="s">
        <v>503</v>
      </c>
      <c r="V13" t="s">
        <v>504</v>
      </c>
      <c r="W13" t="s">
        <v>505</v>
      </c>
      <c r="X13" t="s">
        <v>1341</v>
      </c>
      <c r="Y13" t="s">
        <v>506</v>
      </c>
      <c r="Z13" t="s">
        <v>507</v>
      </c>
      <c r="AA13" t="s">
        <v>508</v>
      </c>
      <c r="AB13" t="s">
        <v>509</v>
      </c>
      <c r="AC13" t="s">
        <v>510</v>
      </c>
      <c r="AD13" t="s">
        <v>511</v>
      </c>
      <c r="AE13" t="s">
        <v>512</v>
      </c>
      <c r="AF13" t="s">
        <v>513</v>
      </c>
      <c r="AG13" t="s">
        <v>514</v>
      </c>
      <c r="AH13" t="s">
        <v>515</v>
      </c>
      <c r="AI13" t="s">
        <v>516</v>
      </c>
      <c r="AJ13" t="s">
        <v>517</v>
      </c>
      <c r="AK13" t="s">
        <v>518</v>
      </c>
      <c r="AL13" t="s">
        <v>519</v>
      </c>
      <c r="AM13" t="s">
        <v>520</v>
      </c>
      <c r="AN13" t="s">
        <v>521</v>
      </c>
      <c r="AO13" t="s">
        <v>522</v>
      </c>
      <c r="AP13" t="s">
        <v>523</v>
      </c>
      <c r="AQ13" t="s">
        <v>524</v>
      </c>
      <c r="AR13" t="s">
        <v>525</v>
      </c>
      <c r="AS13" t="s">
        <v>526</v>
      </c>
      <c r="AT13" t="s">
        <v>527</v>
      </c>
      <c r="AU13" t="s">
        <v>528</v>
      </c>
      <c r="AV13" t="s">
        <v>529</v>
      </c>
      <c r="AW13" t="s">
        <v>530</v>
      </c>
      <c r="AX13" t="s">
        <v>531</v>
      </c>
      <c r="AY13" t="s">
        <v>532</v>
      </c>
      <c r="AZ13" t="s">
        <v>533</v>
      </c>
      <c r="BA13" t="s">
        <v>534</v>
      </c>
      <c r="BB13" t="s">
        <v>535</v>
      </c>
    </row>
    <row r="14" spans="1:54" x14ac:dyDescent="0.25">
      <c r="A14" t="s">
        <v>2</v>
      </c>
      <c r="B14" t="s">
        <v>8</v>
      </c>
      <c r="C14">
        <v>0</v>
      </c>
      <c r="D14">
        <v>0</v>
      </c>
      <c r="E14">
        <v>0</v>
      </c>
      <c r="F14">
        <v>0</v>
      </c>
      <c r="G14">
        <v>0</v>
      </c>
      <c r="H14">
        <v>0</v>
      </c>
      <c r="I14">
        <v>0</v>
      </c>
      <c r="J14">
        <v>0</v>
      </c>
      <c r="K14">
        <v>0</v>
      </c>
      <c r="L14">
        <v>0</v>
      </c>
      <c r="M14">
        <v>0</v>
      </c>
      <c r="O14" t="s">
        <v>536</v>
      </c>
      <c r="P14" t="s">
        <v>537</v>
      </c>
      <c r="Q14" t="s">
        <v>538</v>
      </c>
      <c r="R14" t="s">
        <v>539</v>
      </c>
      <c r="S14" t="s">
        <v>1361</v>
      </c>
      <c r="T14" t="s">
        <v>540</v>
      </c>
      <c r="U14" t="s">
        <v>541</v>
      </c>
      <c r="V14" t="s">
        <v>542</v>
      </c>
      <c r="W14" t="s">
        <v>543</v>
      </c>
      <c r="X14" t="s">
        <v>1342</v>
      </c>
      <c r="Y14" t="s">
        <v>544</v>
      </c>
      <c r="Z14" t="s">
        <v>545</v>
      </c>
      <c r="AA14" t="s">
        <v>546</v>
      </c>
      <c r="AB14" t="s">
        <v>547</v>
      </c>
      <c r="AC14" t="s">
        <v>548</v>
      </c>
      <c r="AD14" t="s">
        <v>549</v>
      </c>
      <c r="AE14" t="s">
        <v>550</v>
      </c>
      <c r="AF14" t="s">
        <v>551</v>
      </c>
      <c r="AG14" t="s">
        <v>552</v>
      </c>
      <c r="AH14" t="s">
        <v>553</v>
      </c>
      <c r="AI14" t="s">
        <v>554</v>
      </c>
      <c r="AJ14" t="s">
        <v>555</v>
      </c>
      <c r="AK14" t="s">
        <v>556</v>
      </c>
      <c r="AL14" t="s">
        <v>557</v>
      </c>
      <c r="AM14" t="s">
        <v>558</v>
      </c>
      <c r="AN14" t="s">
        <v>559</v>
      </c>
      <c r="AO14" t="s">
        <v>560</v>
      </c>
      <c r="AP14" t="s">
        <v>561</v>
      </c>
      <c r="AQ14" t="s">
        <v>562</v>
      </c>
      <c r="AR14" t="s">
        <v>563</v>
      </c>
      <c r="AS14" t="s">
        <v>564</v>
      </c>
      <c r="AT14" t="s">
        <v>565</v>
      </c>
      <c r="AU14" t="s">
        <v>566</v>
      </c>
      <c r="AV14" t="s">
        <v>567</v>
      </c>
      <c r="AW14" t="s">
        <v>568</v>
      </c>
      <c r="AX14" t="s">
        <v>569</v>
      </c>
      <c r="AY14" t="s">
        <v>570</v>
      </c>
      <c r="AZ14" t="s">
        <v>571</v>
      </c>
      <c r="BA14" t="s">
        <v>572</v>
      </c>
      <c r="BB14" t="s">
        <v>573</v>
      </c>
    </row>
    <row r="15" spans="1:54" x14ac:dyDescent="0.25">
      <c r="A15" t="s">
        <v>3</v>
      </c>
      <c r="B15" t="s">
        <v>6</v>
      </c>
      <c r="C15">
        <v>0</v>
      </c>
      <c r="D15">
        <v>0</v>
      </c>
      <c r="E15">
        <v>0</v>
      </c>
      <c r="F15">
        <v>0</v>
      </c>
      <c r="G15">
        <v>0</v>
      </c>
      <c r="H15">
        <v>0</v>
      </c>
      <c r="I15">
        <v>0</v>
      </c>
      <c r="J15">
        <v>0</v>
      </c>
      <c r="K15">
        <v>0</v>
      </c>
      <c r="L15">
        <v>0</v>
      </c>
      <c r="M15">
        <v>0</v>
      </c>
      <c r="N15">
        <v>0</v>
      </c>
      <c r="P15" t="s">
        <v>574</v>
      </c>
      <c r="Q15" t="s">
        <v>575</v>
      </c>
      <c r="R15" t="s">
        <v>576</v>
      </c>
      <c r="S15" t="s">
        <v>1362</v>
      </c>
      <c r="T15" t="s">
        <v>577</v>
      </c>
      <c r="U15" t="s">
        <v>578</v>
      </c>
      <c r="V15" t="s">
        <v>579</v>
      </c>
      <c r="W15" t="s">
        <v>580</v>
      </c>
      <c r="X15" t="s">
        <v>1343</v>
      </c>
      <c r="Y15" t="s">
        <v>581</v>
      </c>
      <c r="Z15" t="s">
        <v>582</v>
      </c>
      <c r="AA15" t="s">
        <v>583</v>
      </c>
      <c r="AB15" t="s">
        <v>584</v>
      </c>
      <c r="AC15" t="s">
        <v>585</v>
      </c>
      <c r="AD15" t="s">
        <v>586</v>
      </c>
      <c r="AE15" t="s">
        <v>587</v>
      </c>
      <c r="AF15" t="s">
        <v>588</v>
      </c>
      <c r="AG15" t="s">
        <v>589</v>
      </c>
      <c r="AH15" t="s">
        <v>590</v>
      </c>
      <c r="AI15" t="s">
        <v>591</v>
      </c>
      <c r="AJ15" t="s">
        <v>592</v>
      </c>
      <c r="AK15" t="s">
        <v>593</v>
      </c>
      <c r="AL15" t="s">
        <v>594</v>
      </c>
      <c r="AM15" t="s">
        <v>595</v>
      </c>
      <c r="AN15" t="s">
        <v>596</v>
      </c>
      <c r="AO15" t="s">
        <v>597</v>
      </c>
      <c r="AP15" t="s">
        <v>598</v>
      </c>
      <c r="AQ15" t="s">
        <v>599</v>
      </c>
      <c r="AR15" t="s">
        <v>600</v>
      </c>
      <c r="AS15" t="s">
        <v>601</v>
      </c>
      <c r="AT15" t="s">
        <v>602</v>
      </c>
      <c r="AU15" t="s">
        <v>603</v>
      </c>
      <c r="AV15" t="s">
        <v>604</v>
      </c>
      <c r="AW15" t="s">
        <v>605</v>
      </c>
      <c r="AX15" t="s">
        <v>606</v>
      </c>
      <c r="AY15" t="s">
        <v>607</v>
      </c>
      <c r="AZ15" t="s">
        <v>608</v>
      </c>
      <c r="BA15" t="s">
        <v>609</v>
      </c>
      <c r="BB15" t="s">
        <v>610</v>
      </c>
    </row>
    <row r="16" spans="1:54" x14ac:dyDescent="0.25">
      <c r="A16" t="s">
        <v>3</v>
      </c>
      <c r="B16" t="s">
        <v>7</v>
      </c>
      <c r="C16">
        <v>0</v>
      </c>
      <c r="D16">
        <v>0</v>
      </c>
      <c r="E16">
        <v>0</v>
      </c>
      <c r="F16">
        <v>0</v>
      </c>
      <c r="G16">
        <v>0</v>
      </c>
      <c r="H16">
        <v>0</v>
      </c>
      <c r="I16">
        <v>0</v>
      </c>
      <c r="J16">
        <v>0</v>
      </c>
      <c r="K16">
        <v>0</v>
      </c>
      <c r="L16">
        <v>0</v>
      </c>
      <c r="M16">
        <v>0</v>
      </c>
      <c r="N16">
        <v>0</v>
      </c>
      <c r="O16">
        <v>0</v>
      </c>
      <c r="Q16" t="s">
        <v>611</v>
      </c>
      <c r="R16" t="s">
        <v>612</v>
      </c>
      <c r="S16" t="s">
        <v>1363</v>
      </c>
      <c r="T16" t="s">
        <v>613</v>
      </c>
      <c r="U16" t="s">
        <v>614</v>
      </c>
      <c r="V16" t="s">
        <v>615</v>
      </c>
      <c r="W16" t="s">
        <v>616</v>
      </c>
      <c r="X16" t="s">
        <v>1344</v>
      </c>
      <c r="Y16" t="s">
        <v>617</v>
      </c>
      <c r="Z16" t="s">
        <v>618</v>
      </c>
      <c r="AA16" t="s">
        <v>619</v>
      </c>
      <c r="AB16" t="s">
        <v>620</v>
      </c>
      <c r="AC16" t="s">
        <v>621</v>
      </c>
      <c r="AD16" t="s">
        <v>622</v>
      </c>
      <c r="AE16" t="s">
        <v>623</v>
      </c>
      <c r="AF16" t="s">
        <v>624</v>
      </c>
      <c r="AG16" t="s">
        <v>625</v>
      </c>
      <c r="AH16" t="s">
        <v>626</v>
      </c>
      <c r="AI16" t="s">
        <v>627</v>
      </c>
      <c r="AJ16" t="s">
        <v>628</v>
      </c>
      <c r="AK16" t="s">
        <v>629</v>
      </c>
      <c r="AL16" t="s">
        <v>630</v>
      </c>
      <c r="AM16" t="s">
        <v>631</v>
      </c>
      <c r="AN16" t="s">
        <v>632</v>
      </c>
      <c r="AO16" t="s">
        <v>633</v>
      </c>
      <c r="AP16" t="s">
        <v>634</v>
      </c>
      <c r="AQ16" t="s">
        <v>635</v>
      </c>
      <c r="AR16" t="s">
        <v>636</v>
      </c>
      <c r="AS16" t="s">
        <v>637</v>
      </c>
      <c r="AT16" t="s">
        <v>638</v>
      </c>
      <c r="AU16" t="s">
        <v>639</v>
      </c>
      <c r="AV16" t="s">
        <v>640</v>
      </c>
      <c r="AW16" t="s">
        <v>641</v>
      </c>
      <c r="AX16" t="s">
        <v>642</v>
      </c>
      <c r="AY16" t="s">
        <v>643</v>
      </c>
      <c r="AZ16" t="s">
        <v>644</v>
      </c>
      <c r="BA16" t="s">
        <v>645</v>
      </c>
      <c r="BB16" t="s">
        <v>646</v>
      </c>
    </row>
    <row r="17" spans="1:54" x14ac:dyDescent="0.25">
      <c r="A17" t="s">
        <v>3</v>
      </c>
      <c r="B17" t="s">
        <v>9</v>
      </c>
      <c r="C17">
        <v>0</v>
      </c>
      <c r="D17">
        <v>0</v>
      </c>
      <c r="E17">
        <v>0</v>
      </c>
      <c r="F17">
        <v>0</v>
      </c>
      <c r="G17">
        <v>0</v>
      </c>
      <c r="H17">
        <v>0</v>
      </c>
      <c r="I17">
        <v>0</v>
      </c>
      <c r="J17">
        <v>0</v>
      </c>
      <c r="K17">
        <v>0</v>
      </c>
      <c r="L17">
        <v>0</v>
      </c>
      <c r="M17">
        <v>0</v>
      </c>
      <c r="N17">
        <v>0</v>
      </c>
      <c r="O17">
        <v>0</v>
      </c>
      <c r="P17">
        <v>0</v>
      </c>
      <c r="R17" t="s">
        <v>647</v>
      </c>
      <c r="S17" t="s">
        <v>1364</v>
      </c>
      <c r="T17" t="s">
        <v>648</v>
      </c>
      <c r="U17" t="s">
        <v>649</v>
      </c>
      <c r="V17" t="s">
        <v>650</v>
      </c>
      <c r="W17" t="s">
        <v>651</v>
      </c>
      <c r="X17" t="s">
        <v>1345</v>
      </c>
      <c r="Y17" t="s">
        <v>652</v>
      </c>
      <c r="Z17" t="s">
        <v>653</v>
      </c>
      <c r="AA17" t="s">
        <v>654</v>
      </c>
      <c r="AB17" t="s">
        <v>655</v>
      </c>
      <c r="AC17" t="s">
        <v>656</v>
      </c>
      <c r="AD17" t="s">
        <v>657</v>
      </c>
      <c r="AE17" t="s">
        <v>658</v>
      </c>
      <c r="AF17" t="s">
        <v>659</v>
      </c>
      <c r="AG17" t="s">
        <v>660</v>
      </c>
      <c r="AH17" t="s">
        <v>661</v>
      </c>
      <c r="AI17" t="s">
        <v>662</v>
      </c>
      <c r="AJ17" t="s">
        <v>663</v>
      </c>
      <c r="AK17" t="s">
        <v>664</v>
      </c>
      <c r="AL17" t="s">
        <v>665</v>
      </c>
      <c r="AM17" t="s">
        <v>666</v>
      </c>
      <c r="AN17" t="s">
        <v>667</v>
      </c>
      <c r="AO17" t="s">
        <v>668</v>
      </c>
      <c r="AP17" t="s">
        <v>669</v>
      </c>
      <c r="AQ17" t="s">
        <v>670</v>
      </c>
      <c r="AR17" t="s">
        <v>671</v>
      </c>
      <c r="AS17" t="s">
        <v>672</v>
      </c>
      <c r="AT17" t="s">
        <v>673</v>
      </c>
      <c r="AU17" t="s">
        <v>674</v>
      </c>
      <c r="AV17" t="s">
        <v>675</v>
      </c>
      <c r="AW17" t="s">
        <v>676</v>
      </c>
      <c r="AX17" t="s">
        <v>677</v>
      </c>
      <c r="AY17" t="s">
        <v>678</v>
      </c>
      <c r="AZ17" t="s">
        <v>679</v>
      </c>
      <c r="BA17" t="s">
        <v>680</v>
      </c>
      <c r="BB17" t="s">
        <v>681</v>
      </c>
    </row>
    <row r="18" spans="1:54" x14ac:dyDescent="0.25">
      <c r="A18" t="s">
        <v>3</v>
      </c>
      <c r="B18" t="s">
        <v>8</v>
      </c>
      <c r="C18">
        <v>0</v>
      </c>
      <c r="D18">
        <v>0</v>
      </c>
      <c r="E18">
        <v>0</v>
      </c>
      <c r="F18">
        <v>0</v>
      </c>
      <c r="G18">
        <v>0</v>
      </c>
      <c r="H18">
        <v>0</v>
      </c>
      <c r="I18">
        <v>0</v>
      </c>
      <c r="J18">
        <v>0</v>
      </c>
      <c r="K18">
        <v>0</v>
      </c>
      <c r="L18">
        <v>0</v>
      </c>
      <c r="M18">
        <v>0</v>
      </c>
      <c r="N18">
        <v>0</v>
      </c>
      <c r="O18">
        <v>0</v>
      </c>
      <c r="P18">
        <v>0</v>
      </c>
      <c r="Q18">
        <v>0</v>
      </c>
      <c r="S18" t="s">
        <v>1365</v>
      </c>
      <c r="T18" t="s">
        <v>682</v>
      </c>
      <c r="U18" t="s">
        <v>683</v>
      </c>
      <c r="V18" t="s">
        <v>684</v>
      </c>
      <c r="W18" t="s">
        <v>685</v>
      </c>
      <c r="X18" t="s">
        <v>1346</v>
      </c>
      <c r="Y18" t="s">
        <v>686</v>
      </c>
      <c r="Z18" t="s">
        <v>687</v>
      </c>
      <c r="AA18" t="s">
        <v>688</v>
      </c>
      <c r="AB18" t="s">
        <v>689</v>
      </c>
      <c r="AC18" t="s">
        <v>690</v>
      </c>
      <c r="AD18" t="s">
        <v>691</v>
      </c>
      <c r="AE18" t="s">
        <v>692</v>
      </c>
      <c r="AF18" t="s">
        <v>693</v>
      </c>
      <c r="AG18" t="s">
        <v>694</v>
      </c>
      <c r="AH18" t="s">
        <v>695</v>
      </c>
      <c r="AI18" t="s">
        <v>696</v>
      </c>
      <c r="AJ18" t="s">
        <v>697</v>
      </c>
      <c r="AK18" t="s">
        <v>698</v>
      </c>
      <c r="AL18" t="s">
        <v>699</v>
      </c>
      <c r="AM18" t="s">
        <v>700</v>
      </c>
      <c r="AN18" t="s">
        <v>701</v>
      </c>
      <c r="AO18" t="s">
        <v>702</v>
      </c>
      <c r="AP18" t="s">
        <v>703</v>
      </c>
      <c r="AQ18" t="s">
        <v>704</v>
      </c>
      <c r="AR18" t="s">
        <v>705</v>
      </c>
      <c r="AS18" t="s">
        <v>706</v>
      </c>
      <c r="AT18" t="s">
        <v>707</v>
      </c>
      <c r="AU18" t="s">
        <v>708</v>
      </c>
      <c r="AV18" t="s">
        <v>709</v>
      </c>
      <c r="AW18" t="s">
        <v>710</v>
      </c>
      <c r="AX18" t="s">
        <v>711</v>
      </c>
      <c r="AY18" t="s">
        <v>712</v>
      </c>
      <c r="AZ18" t="s">
        <v>713</v>
      </c>
      <c r="BA18" t="s">
        <v>714</v>
      </c>
      <c r="BB18" t="s">
        <v>715</v>
      </c>
    </row>
    <row r="19" spans="1:54" x14ac:dyDescent="0.25">
      <c r="A19" t="s">
        <v>4</v>
      </c>
      <c r="B19" t="s">
        <v>6</v>
      </c>
      <c r="C19">
        <v>0</v>
      </c>
      <c r="D19">
        <v>0</v>
      </c>
      <c r="E19">
        <v>0</v>
      </c>
      <c r="F19">
        <v>0</v>
      </c>
      <c r="G19">
        <v>0</v>
      </c>
      <c r="H19">
        <v>0</v>
      </c>
      <c r="I19">
        <v>0</v>
      </c>
      <c r="J19">
        <v>0</v>
      </c>
      <c r="K19">
        <v>0</v>
      </c>
      <c r="L19">
        <v>0</v>
      </c>
      <c r="M19">
        <v>0</v>
      </c>
      <c r="N19">
        <v>0</v>
      </c>
      <c r="O19">
        <v>0</v>
      </c>
      <c r="P19">
        <v>0</v>
      </c>
      <c r="Q19">
        <v>0</v>
      </c>
      <c r="R19">
        <v>0</v>
      </c>
      <c r="T19" t="s">
        <v>716</v>
      </c>
      <c r="U19" t="s">
        <v>717</v>
      </c>
      <c r="V19" t="s">
        <v>718</v>
      </c>
      <c r="W19" t="s">
        <v>719</v>
      </c>
      <c r="X19" t="s">
        <v>1347</v>
      </c>
      <c r="Y19" t="s">
        <v>720</v>
      </c>
      <c r="Z19" t="s">
        <v>721</v>
      </c>
      <c r="AA19" t="s">
        <v>722</v>
      </c>
      <c r="AB19" t="s">
        <v>723</v>
      </c>
      <c r="AC19" t="s">
        <v>724</v>
      </c>
      <c r="AD19" t="s">
        <v>725</v>
      </c>
      <c r="AE19" t="s">
        <v>726</v>
      </c>
      <c r="AF19" t="s">
        <v>727</v>
      </c>
      <c r="AG19" t="s">
        <v>728</v>
      </c>
      <c r="AH19" t="s">
        <v>729</v>
      </c>
      <c r="AI19" t="s">
        <v>730</v>
      </c>
      <c r="AJ19" t="s">
        <v>731</v>
      </c>
      <c r="AK19" t="s">
        <v>732</v>
      </c>
      <c r="AL19" t="s">
        <v>733</v>
      </c>
      <c r="AM19" t="s">
        <v>734</v>
      </c>
      <c r="AN19" t="s">
        <v>735</v>
      </c>
      <c r="AO19" t="s">
        <v>736</v>
      </c>
      <c r="AP19" t="s">
        <v>737</v>
      </c>
      <c r="AQ19" t="s">
        <v>738</v>
      </c>
      <c r="AR19" t="s">
        <v>739</v>
      </c>
      <c r="AS19" t="s">
        <v>740</v>
      </c>
      <c r="AT19" t="s">
        <v>741</v>
      </c>
      <c r="AU19" t="s">
        <v>742</v>
      </c>
      <c r="AV19" t="s">
        <v>743</v>
      </c>
      <c r="AW19" t="s">
        <v>744</v>
      </c>
      <c r="AX19" t="s">
        <v>745</v>
      </c>
      <c r="AY19" t="s">
        <v>746</v>
      </c>
      <c r="AZ19" t="s">
        <v>747</v>
      </c>
      <c r="BA19" t="s">
        <v>748</v>
      </c>
      <c r="BB19" t="s">
        <v>749</v>
      </c>
    </row>
    <row r="20" spans="1:54" x14ac:dyDescent="0.25">
      <c r="A20" t="s">
        <v>4</v>
      </c>
      <c r="B20" t="s">
        <v>7</v>
      </c>
      <c r="C20">
        <v>0</v>
      </c>
      <c r="D20">
        <v>0</v>
      </c>
      <c r="E20">
        <v>0</v>
      </c>
      <c r="F20">
        <v>0</v>
      </c>
      <c r="G20">
        <v>0</v>
      </c>
      <c r="H20">
        <v>0</v>
      </c>
      <c r="I20">
        <v>0</v>
      </c>
      <c r="J20">
        <v>0</v>
      </c>
      <c r="K20">
        <v>0</v>
      </c>
      <c r="L20">
        <v>0</v>
      </c>
      <c r="M20">
        <v>0</v>
      </c>
      <c r="N20">
        <v>0</v>
      </c>
      <c r="O20">
        <v>0</v>
      </c>
      <c r="P20">
        <v>0</v>
      </c>
      <c r="Q20">
        <v>0</v>
      </c>
      <c r="R20">
        <v>0</v>
      </c>
      <c r="S20">
        <v>0</v>
      </c>
      <c r="U20" t="s">
        <v>750</v>
      </c>
      <c r="V20" t="s">
        <v>751</v>
      </c>
      <c r="W20" t="s">
        <v>752</v>
      </c>
      <c r="X20" t="s">
        <v>1348</v>
      </c>
      <c r="Y20" t="s">
        <v>753</v>
      </c>
      <c r="Z20" t="s">
        <v>754</v>
      </c>
      <c r="AA20" t="s">
        <v>755</v>
      </c>
      <c r="AB20" t="s">
        <v>756</v>
      </c>
      <c r="AC20" t="s">
        <v>757</v>
      </c>
      <c r="AD20" t="s">
        <v>758</v>
      </c>
      <c r="AE20" t="s">
        <v>759</v>
      </c>
      <c r="AF20" t="s">
        <v>760</v>
      </c>
      <c r="AG20" t="s">
        <v>761</v>
      </c>
      <c r="AH20" t="s">
        <v>762</v>
      </c>
      <c r="AI20" t="s">
        <v>763</v>
      </c>
      <c r="AJ20" t="s">
        <v>764</v>
      </c>
      <c r="AK20" t="s">
        <v>765</v>
      </c>
      <c r="AL20" t="s">
        <v>766</v>
      </c>
      <c r="AM20" t="s">
        <v>767</v>
      </c>
      <c r="AN20" t="s">
        <v>768</v>
      </c>
      <c r="AO20" t="s">
        <v>769</v>
      </c>
      <c r="AP20" t="s">
        <v>770</v>
      </c>
      <c r="AQ20" t="s">
        <v>771</v>
      </c>
      <c r="AR20" t="s">
        <v>772</v>
      </c>
      <c r="AS20" t="s">
        <v>773</v>
      </c>
      <c r="AT20" t="s">
        <v>774</v>
      </c>
      <c r="AU20" t="s">
        <v>775</v>
      </c>
      <c r="AV20" t="s">
        <v>776</v>
      </c>
      <c r="AW20" t="s">
        <v>777</v>
      </c>
      <c r="AX20" t="s">
        <v>778</v>
      </c>
      <c r="AY20" t="s">
        <v>779</v>
      </c>
      <c r="AZ20" t="s">
        <v>780</v>
      </c>
      <c r="BA20" t="s">
        <v>781</v>
      </c>
      <c r="BB20" t="s">
        <v>782</v>
      </c>
    </row>
    <row r="21" spans="1:54" x14ac:dyDescent="0.25">
      <c r="A21" t="s">
        <v>4</v>
      </c>
      <c r="B21" t="s">
        <v>9</v>
      </c>
      <c r="C21">
        <v>0</v>
      </c>
      <c r="D21">
        <v>0</v>
      </c>
      <c r="E21">
        <v>0</v>
      </c>
      <c r="F21">
        <v>0</v>
      </c>
      <c r="G21">
        <v>0</v>
      </c>
      <c r="H21">
        <v>0</v>
      </c>
      <c r="I21">
        <v>0</v>
      </c>
      <c r="J21">
        <v>0</v>
      </c>
      <c r="K21">
        <v>0</v>
      </c>
      <c r="L21">
        <v>0</v>
      </c>
      <c r="M21">
        <v>0</v>
      </c>
      <c r="N21">
        <v>0</v>
      </c>
      <c r="O21">
        <v>0</v>
      </c>
      <c r="P21">
        <v>0</v>
      </c>
      <c r="Q21">
        <v>0</v>
      </c>
      <c r="R21">
        <v>0</v>
      </c>
      <c r="S21">
        <v>0</v>
      </c>
      <c r="T21">
        <v>0</v>
      </c>
      <c r="V21" t="s">
        <v>783</v>
      </c>
      <c r="W21" t="s">
        <v>784</v>
      </c>
      <c r="X21" t="s">
        <v>1349</v>
      </c>
      <c r="Y21" t="s">
        <v>785</v>
      </c>
      <c r="Z21" t="s">
        <v>786</v>
      </c>
      <c r="AA21" t="s">
        <v>787</v>
      </c>
      <c r="AB21" t="s">
        <v>788</v>
      </c>
      <c r="AC21" t="s">
        <v>789</v>
      </c>
      <c r="AD21" t="s">
        <v>790</v>
      </c>
      <c r="AE21" t="s">
        <v>791</v>
      </c>
      <c r="AF21" t="s">
        <v>792</v>
      </c>
      <c r="AG21" t="s">
        <v>793</v>
      </c>
      <c r="AH21" t="s">
        <v>794</v>
      </c>
      <c r="AI21" t="s">
        <v>795</v>
      </c>
      <c r="AJ21" t="s">
        <v>796</v>
      </c>
      <c r="AK21" t="s">
        <v>797</v>
      </c>
      <c r="AL21" t="s">
        <v>798</v>
      </c>
      <c r="AM21" t="s">
        <v>799</v>
      </c>
      <c r="AN21" t="s">
        <v>800</v>
      </c>
      <c r="AO21" t="s">
        <v>801</v>
      </c>
      <c r="AP21" t="s">
        <v>802</v>
      </c>
      <c r="AQ21" t="s">
        <v>803</v>
      </c>
      <c r="AR21" t="s">
        <v>804</v>
      </c>
      <c r="AS21" t="s">
        <v>805</v>
      </c>
      <c r="AT21" t="s">
        <v>806</v>
      </c>
      <c r="AU21" t="s">
        <v>807</v>
      </c>
      <c r="AV21" t="s">
        <v>808</v>
      </c>
      <c r="AW21" t="s">
        <v>809</v>
      </c>
      <c r="AX21" t="s">
        <v>810</v>
      </c>
      <c r="AY21" t="s">
        <v>811</v>
      </c>
      <c r="AZ21" t="s">
        <v>812</v>
      </c>
      <c r="BA21" t="s">
        <v>813</v>
      </c>
      <c r="BB21" t="s">
        <v>814</v>
      </c>
    </row>
    <row r="22" spans="1:54" x14ac:dyDescent="0.25">
      <c r="A22" t="s">
        <v>4</v>
      </c>
      <c r="B22" t="s">
        <v>8</v>
      </c>
      <c r="C22">
        <v>0</v>
      </c>
      <c r="D22">
        <v>0</v>
      </c>
      <c r="E22">
        <v>0</v>
      </c>
      <c r="F22">
        <v>0</v>
      </c>
      <c r="G22">
        <v>0</v>
      </c>
      <c r="H22">
        <v>0</v>
      </c>
      <c r="I22">
        <v>0</v>
      </c>
      <c r="J22">
        <v>0</v>
      </c>
      <c r="K22">
        <v>0</v>
      </c>
      <c r="L22">
        <v>0</v>
      </c>
      <c r="M22">
        <v>0</v>
      </c>
      <c r="N22">
        <v>0</v>
      </c>
      <c r="O22">
        <v>0</v>
      </c>
      <c r="P22">
        <v>0</v>
      </c>
      <c r="Q22">
        <v>0</v>
      </c>
      <c r="R22">
        <v>0</v>
      </c>
      <c r="S22">
        <v>0</v>
      </c>
      <c r="T22">
        <v>0</v>
      </c>
      <c r="U22">
        <v>0</v>
      </c>
      <c r="W22" t="s">
        <v>815</v>
      </c>
      <c r="X22" t="s">
        <v>1350</v>
      </c>
      <c r="Y22" t="s">
        <v>816</v>
      </c>
      <c r="Z22" t="s">
        <v>817</v>
      </c>
      <c r="AA22" t="s">
        <v>818</v>
      </c>
      <c r="AB22" t="s">
        <v>819</v>
      </c>
      <c r="AC22" t="s">
        <v>820</v>
      </c>
      <c r="AD22" t="s">
        <v>821</v>
      </c>
      <c r="AE22" t="s">
        <v>822</v>
      </c>
      <c r="AF22" t="s">
        <v>823</v>
      </c>
      <c r="AG22" t="s">
        <v>824</v>
      </c>
      <c r="AH22" t="s">
        <v>825</v>
      </c>
      <c r="AI22" t="s">
        <v>826</v>
      </c>
      <c r="AJ22" t="s">
        <v>827</v>
      </c>
      <c r="AK22" t="s">
        <v>828</v>
      </c>
      <c r="AL22" t="s">
        <v>829</v>
      </c>
      <c r="AM22" t="s">
        <v>830</v>
      </c>
      <c r="AN22" t="s">
        <v>831</v>
      </c>
      <c r="AO22" t="s">
        <v>832</v>
      </c>
      <c r="AP22" t="s">
        <v>833</v>
      </c>
      <c r="AQ22" t="s">
        <v>834</v>
      </c>
      <c r="AR22" t="s">
        <v>835</v>
      </c>
      <c r="AS22" t="s">
        <v>836</v>
      </c>
      <c r="AT22" t="s">
        <v>837</v>
      </c>
      <c r="AU22" t="s">
        <v>838</v>
      </c>
      <c r="AV22" t="s">
        <v>839</v>
      </c>
      <c r="AW22" t="s">
        <v>840</v>
      </c>
      <c r="AX22" t="s">
        <v>841</v>
      </c>
      <c r="AY22" t="s">
        <v>842</v>
      </c>
      <c r="AZ22" t="s">
        <v>843</v>
      </c>
      <c r="BA22" t="s">
        <v>844</v>
      </c>
      <c r="BB22" t="s">
        <v>845</v>
      </c>
    </row>
    <row r="23" spans="1:54" x14ac:dyDescent="0.25">
      <c r="A23">
        <v>9</v>
      </c>
      <c r="B23" t="s">
        <v>6</v>
      </c>
      <c r="C23">
        <v>0</v>
      </c>
      <c r="D23">
        <v>0</v>
      </c>
      <c r="E23">
        <v>0</v>
      </c>
      <c r="F23">
        <v>0</v>
      </c>
      <c r="G23">
        <v>0</v>
      </c>
      <c r="H23">
        <v>0</v>
      </c>
      <c r="I23">
        <v>0</v>
      </c>
      <c r="J23">
        <v>0</v>
      </c>
      <c r="K23">
        <v>0</v>
      </c>
      <c r="L23">
        <v>0</v>
      </c>
      <c r="M23">
        <v>0</v>
      </c>
      <c r="N23">
        <v>0</v>
      </c>
      <c r="O23">
        <v>0</v>
      </c>
      <c r="P23">
        <v>0</v>
      </c>
      <c r="Q23">
        <v>0</v>
      </c>
      <c r="R23">
        <v>0</v>
      </c>
      <c r="S23">
        <v>0</v>
      </c>
      <c r="T23">
        <v>0</v>
      </c>
      <c r="U23">
        <v>0</v>
      </c>
      <c r="V23">
        <v>0</v>
      </c>
      <c r="X23" t="s">
        <v>46</v>
      </c>
      <c r="Y23" t="s">
        <v>47</v>
      </c>
      <c r="Z23" t="s">
        <v>49</v>
      </c>
      <c r="AA23" t="s">
        <v>846</v>
      </c>
      <c r="AB23" t="s">
        <v>847</v>
      </c>
      <c r="AC23" t="s">
        <v>848</v>
      </c>
      <c r="AD23" t="s">
        <v>849</v>
      </c>
      <c r="AE23" t="s">
        <v>850</v>
      </c>
      <c r="AF23" t="s">
        <v>851</v>
      </c>
      <c r="AG23" t="s">
        <v>852</v>
      </c>
      <c r="AH23" t="s">
        <v>853</v>
      </c>
      <c r="AI23" t="s">
        <v>854</v>
      </c>
      <c r="AJ23" t="s">
        <v>855</v>
      </c>
      <c r="AK23" t="s">
        <v>856</v>
      </c>
      <c r="AL23" t="s">
        <v>857</v>
      </c>
      <c r="AM23" t="s">
        <v>858</v>
      </c>
      <c r="AN23" t="s">
        <v>859</v>
      </c>
      <c r="AO23" t="s">
        <v>860</v>
      </c>
      <c r="AP23" t="s">
        <v>861</v>
      </c>
      <c r="AQ23" t="s">
        <v>862</v>
      </c>
      <c r="AR23" t="s">
        <v>863</v>
      </c>
      <c r="AS23" t="s">
        <v>864</v>
      </c>
      <c r="AT23" t="s">
        <v>865</v>
      </c>
      <c r="AU23" t="s">
        <v>866</v>
      </c>
      <c r="AV23" t="s">
        <v>867</v>
      </c>
      <c r="AW23" t="s">
        <v>868</v>
      </c>
      <c r="AX23" t="s">
        <v>869</v>
      </c>
      <c r="AY23" t="s">
        <v>870</v>
      </c>
      <c r="AZ23" t="s">
        <v>871</v>
      </c>
      <c r="BA23" t="s">
        <v>872</v>
      </c>
      <c r="BB23" t="s">
        <v>873</v>
      </c>
    </row>
    <row r="24" spans="1:54" x14ac:dyDescent="0.25">
      <c r="A24">
        <v>9</v>
      </c>
      <c r="B24" t="s">
        <v>7</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Y24" t="s">
        <v>48</v>
      </c>
      <c r="Z24" t="s">
        <v>50</v>
      </c>
      <c r="AA24" t="s">
        <v>874</v>
      </c>
      <c r="AB24" t="s">
        <v>875</v>
      </c>
      <c r="AC24" t="s">
        <v>876</v>
      </c>
      <c r="AD24" t="s">
        <v>877</v>
      </c>
      <c r="AE24" t="s">
        <v>878</v>
      </c>
      <c r="AF24" t="s">
        <v>879</v>
      </c>
      <c r="AG24" t="s">
        <v>880</v>
      </c>
      <c r="AH24" t="s">
        <v>881</v>
      </c>
      <c r="AI24" t="s">
        <v>882</v>
      </c>
      <c r="AJ24" t="s">
        <v>883</v>
      </c>
      <c r="AK24" t="s">
        <v>884</v>
      </c>
      <c r="AL24" t="s">
        <v>885</v>
      </c>
      <c r="AM24" t="s">
        <v>886</v>
      </c>
      <c r="AN24" t="s">
        <v>887</v>
      </c>
      <c r="AO24" t="s">
        <v>888</v>
      </c>
      <c r="AP24" t="s">
        <v>889</v>
      </c>
      <c r="AQ24" t="s">
        <v>890</v>
      </c>
      <c r="AR24" t="s">
        <v>891</v>
      </c>
      <c r="AS24" t="s">
        <v>892</v>
      </c>
      <c r="AT24" t="s">
        <v>893</v>
      </c>
      <c r="AU24" t="s">
        <v>894</v>
      </c>
      <c r="AV24" t="s">
        <v>895</v>
      </c>
      <c r="AW24" t="s">
        <v>896</v>
      </c>
      <c r="AX24" t="s">
        <v>897</v>
      </c>
      <c r="AY24" t="s">
        <v>898</v>
      </c>
      <c r="AZ24" t="s">
        <v>899</v>
      </c>
      <c r="BA24" t="s">
        <v>900</v>
      </c>
      <c r="BB24" t="s">
        <v>901</v>
      </c>
    </row>
    <row r="25" spans="1:54" x14ac:dyDescent="0.25">
      <c r="A25">
        <v>9</v>
      </c>
      <c r="B25" t="s">
        <v>9</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Z25" t="s">
        <v>51</v>
      </c>
      <c r="AA25" t="s">
        <v>902</v>
      </c>
      <c r="AB25" t="s">
        <v>903</v>
      </c>
      <c r="AC25" t="s">
        <v>904</v>
      </c>
      <c r="AD25" t="s">
        <v>905</v>
      </c>
      <c r="AE25" t="s">
        <v>906</v>
      </c>
      <c r="AF25" t="s">
        <v>907</v>
      </c>
      <c r="AG25" t="s">
        <v>908</v>
      </c>
      <c r="AH25" t="s">
        <v>909</v>
      </c>
      <c r="AI25" t="s">
        <v>910</v>
      </c>
      <c r="AJ25" t="s">
        <v>911</v>
      </c>
      <c r="AK25" t="s">
        <v>912</v>
      </c>
      <c r="AL25" t="s">
        <v>913</v>
      </c>
      <c r="AM25" t="s">
        <v>914</v>
      </c>
      <c r="AN25" t="s">
        <v>915</v>
      </c>
      <c r="AO25" t="s">
        <v>916</v>
      </c>
      <c r="AP25" t="s">
        <v>917</v>
      </c>
      <c r="AQ25" t="s">
        <v>918</v>
      </c>
      <c r="AR25" t="s">
        <v>919</v>
      </c>
      <c r="AS25" t="s">
        <v>920</v>
      </c>
      <c r="AT25" t="s">
        <v>921</v>
      </c>
      <c r="AU25" t="s">
        <v>922</v>
      </c>
      <c r="AV25" t="s">
        <v>923</v>
      </c>
      <c r="AW25" t="s">
        <v>924</v>
      </c>
      <c r="AX25" t="s">
        <v>925</v>
      </c>
      <c r="AY25" t="s">
        <v>926</v>
      </c>
      <c r="AZ25" t="s">
        <v>927</v>
      </c>
      <c r="BA25" t="s">
        <v>928</v>
      </c>
      <c r="BB25" t="s">
        <v>929</v>
      </c>
    </row>
    <row r="26" spans="1:54" x14ac:dyDescent="0.25">
      <c r="A26">
        <v>9</v>
      </c>
      <c r="B26" t="s">
        <v>8</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AA26" t="s">
        <v>930</v>
      </c>
      <c r="AB26" t="s">
        <v>931</v>
      </c>
      <c r="AC26" t="s">
        <v>932</v>
      </c>
      <c r="AD26" t="s">
        <v>933</v>
      </c>
      <c r="AE26" t="s">
        <v>934</v>
      </c>
      <c r="AF26" t="s">
        <v>935</v>
      </c>
      <c r="AG26" t="s">
        <v>936</v>
      </c>
      <c r="AH26" t="s">
        <v>937</v>
      </c>
      <c r="AI26" t="s">
        <v>938</v>
      </c>
      <c r="AJ26" t="s">
        <v>939</v>
      </c>
      <c r="AK26" t="s">
        <v>940</v>
      </c>
      <c r="AL26" t="s">
        <v>941</v>
      </c>
      <c r="AM26" t="s">
        <v>942</v>
      </c>
      <c r="AN26" t="s">
        <v>943</v>
      </c>
      <c r="AO26" t="s">
        <v>944</v>
      </c>
      <c r="AP26" t="s">
        <v>945</v>
      </c>
      <c r="AQ26" t="s">
        <v>946</v>
      </c>
      <c r="AR26" t="s">
        <v>947</v>
      </c>
      <c r="AS26" t="s">
        <v>948</v>
      </c>
      <c r="AT26" t="s">
        <v>949</v>
      </c>
      <c r="AU26" t="s">
        <v>950</v>
      </c>
      <c r="AV26" t="s">
        <v>951</v>
      </c>
      <c r="AW26" t="s">
        <v>952</v>
      </c>
      <c r="AX26" t="s">
        <v>953</v>
      </c>
      <c r="AY26" t="s">
        <v>954</v>
      </c>
      <c r="AZ26" t="s">
        <v>955</v>
      </c>
      <c r="BA26" t="s">
        <v>956</v>
      </c>
      <c r="BB26" t="s">
        <v>957</v>
      </c>
    </row>
    <row r="27" spans="1:54" x14ac:dyDescent="0.25">
      <c r="A27">
        <v>8</v>
      </c>
      <c r="B27" t="s">
        <v>6</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B27" t="s">
        <v>958</v>
      </c>
      <c r="AC27" t="s">
        <v>959</v>
      </c>
      <c r="AD27" t="s">
        <v>960</v>
      </c>
      <c r="AE27" t="s">
        <v>961</v>
      </c>
      <c r="AF27" t="s">
        <v>962</v>
      </c>
      <c r="AG27" t="s">
        <v>963</v>
      </c>
      <c r="AH27" t="s">
        <v>964</v>
      </c>
      <c r="AI27" t="s">
        <v>965</v>
      </c>
      <c r="AJ27" t="s">
        <v>966</v>
      </c>
      <c r="AK27" t="s">
        <v>967</v>
      </c>
      <c r="AL27" t="s">
        <v>968</v>
      </c>
      <c r="AM27" t="s">
        <v>969</v>
      </c>
      <c r="AN27" t="s">
        <v>970</v>
      </c>
      <c r="AO27" t="s">
        <v>971</v>
      </c>
      <c r="AP27" t="s">
        <v>972</v>
      </c>
      <c r="AQ27" t="s">
        <v>973</v>
      </c>
      <c r="AR27" t="s">
        <v>974</v>
      </c>
      <c r="AS27" t="s">
        <v>975</v>
      </c>
      <c r="AT27" t="s">
        <v>976</v>
      </c>
      <c r="AU27" t="s">
        <v>977</v>
      </c>
      <c r="AV27" t="s">
        <v>978</v>
      </c>
      <c r="AW27" t="s">
        <v>979</v>
      </c>
      <c r="AX27" t="s">
        <v>980</v>
      </c>
      <c r="AY27" t="s">
        <v>981</v>
      </c>
      <c r="AZ27" t="s">
        <v>982</v>
      </c>
      <c r="BA27" t="s">
        <v>983</v>
      </c>
      <c r="BB27" t="s">
        <v>984</v>
      </c>
    </row>
    <row r="28" spans="1:54" x14ac:dyDescent="0.25">
      <c r="A28">
        <v>8</v>
      </c>
      <c r="B28" t="s">
        <v>7</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C28" t="s">
        <v>985</v>
      </c>
      <c r="AD28" t="s">
        <v>986</v>
      </c>
      <c r="AE28" t="s">
        <v>987</v>
      </c>
      <c r="AF28" t="s">
        <v>988</v>
      </c>
      <c r="AG28" t="s">
        <v>989</v>
      </c>
      <c r="AH28" t="s">
        <v>990</v>
      </c>
      <c r="AI28" t="s">
        <v>991</v>
      </c>
      <c r="AJ28" t="s">
        <v>992</v>
      </c>
      <c r="AK28" t="s">
        <v>993</v>
      </c>
      <c r="AL28" t="s">
        <v>994</v>
      </c>
      <c r="AM28" t="s">
        <v>995</v>
      </c>
      <c r="AN28" t="s">
        <v>996</v>
      </c>
      <c r="AO28" t="s">
        <v>997</v>
      </c>
      <c r="AP28" t="s">
        <v>998</v>
      </c>
      <c r="AQ28" t="s">
        <v>999</v>
      </c>
      <c r="AR28" t="s">
        <v>1000</v>
      </c>
      <c r="AS28" t="s">
        <v>1001</v>
      </c>
      <c r="AT28" t="s">
        <v>1002</v>
      </c>
      <c r="AU28" t="s">
        <v>1003</v>
      </c>
      <c r="AV28" t="s">
        <v>1004</v>
      </c>
      <c r="AW28" t="s">
        <v>1005</v>
      </c>
      <c r="AX28" t="s">
        <v>1006</v>
      </c>
      <c r="AY28" t="s">
        <v>1007</v>
      </c>
      <c r="AZ28" t="s">
        <v>1008</v>
      </c>
      <c r="BA28" t="s">
        <v>1009</v>
      </c>
      <c r="BB28" t="s">
        <v>1010</v>
      </c>
    </row>
    <row r="29" spans="1:54" x14ac:dyDescent="0.25">
      <c r="A29">
        <v>8</v>
      </c>
      <c r="B29" t="s">
        <v>9</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D29" t="s">
        <v>1011</v>
      </c>
      <c r="AE29" t="s">
        <v>1012</v>
      </c>
      <c r="AF29" t="s">
        <v>1013</v>
      </c>
      <c r="AG29" t="s">
        <v>1014</v>
      </c>
      <c r="AH29" t="s">
        <v>1015</v>
      </c>
      <c r="AI29" t="s">
        <v>1016</v>
      </c>
      <c r="AJ29" t="s">
        <v>1017</v>
      </c>
      <c r="AK29" t="s">
        <v>1018</v>
      </c>
      <c r="AL29" t="s">
        <v>1019</v>
      </c>
      <c r="AM29" t="s">
        <v>1020</v>
      </c>
      <c r="AN29" t="s">
        <v>1021</v>
      </c>
      <c r="AO29" t="s">
        <v>1022</v>
      </c>
      <c r="AP29" t="s">
        <v>1023</v>
      </c>
      <c r="AQ29" t="s">
        <v>1024</v>
      </c>
      <c r="AR29" t="s">
        <v>1025</v>
      </c>
      <c r="AS29" t="s">
        <v>1026</v>
      </c>
      <c r="AT29" t="s">
        <v>1027</v>
      </c>
      <c r="AU29" t="s">
        <v>1028</v>
      </c>
      <c r="AV29" t="s">
        <v>1029</v>
      </c>
      <c r="AW29" t="s">
        <v>1030</v>
      </c>
      <c r="AX29" t="s">
        <v>1031</v>
      </c>
      <c r="AY29" t="s">
        <v>1032</v>
      </c>
      <c r="AZ29" t="s">
        <v>1033</v>
      </c>
      <c r="BA29" t="s">
        <v>1034</v>
      </c>
      <c r="BB29" t="s">
        <v>1035</v>
      </c>
    </row>
    <row r="30" spans="1:54" x14ac:dyDescent="0.25">
      <c r="A30">
        <v>8</v>
      </c>
      <c r="B30" t="s">
        <v>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E30" t="s">
        <v>1036</v>
      </c>
      <c r="AF30" t="s">
        <v>1037</v>
      </c>
      <c r="AG30" t="s">
        <v>1038</v>
      </c>
      <c r="AH30" t="s">
        <v>1039</v>
      </c>
      <c r="AI30" t="s">
        <v>1040</v>
      </c>
      <c r="AJ30" t="s">
        <v>1041</v>
      </c>
      <c r="AK30" t="s">
        <v>1042</v>
      </c>
      <c r="AL30" t="s">
        <v>1043</v>
      </c>
      <c r="AM30" t="s">
        <v>1044</v>
      </c>
      <c r="AN30" t="s">
        <v>1045</v>
      </c>
      <c r="AO30" t="s">
        <v>1046</v>
      </c>
      <c r="AP30" t="s">
        <v>1047</v>
      </c>
      <c r="AQ30" t="s">
        <v>1048</v>
      </c>
      <c r="AR30" t="s">
        <v>1049</v>
      </c>
      <c r="AS30" t="s">
        <v>1050</v>
      </c>
      <c r="AT30" t="s">
        <v>1051</v>
      </c>
      <c r="AU30" t="s">
        <v>1052</v>
      </c>
      <c r="AV30" t="s">
        <v>1053</v>
      </c>
      <c r="AW30" t="s">
        <v>1054</v>
      </c>
      <c r="AX30" t="s">
        <v>1055</v>
      </c>
      <c r="AY30" t="s">
        <v>1056</v>
      </c>
      <c r="AZ30" t="s">
        <v>1057</v>
      </c>
      <c r="BA30" t="s">
        <v>1058</v>
      </c>
      <c r="BB30" t="s">
        <v>1059</v>
      </c>
    </row>
    <row r="31" spans="1:54" x14ac:dyDescent="0.25">
      <c r="A31">
        <v>7</v>
      </c>
      <c r="B31" t="s">
        <v>6</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F31" t="s">
        <v>1060</v>
      </c>
      <c r="AG31" t="s">
        <v>1061</v>
      </c>
      <c r="AH31" t="s">
        <v>1062</v>
      </c>
      <c r="AI31" t="s">
        <v>1063</v>
      </c>
      <c r="AJ31" t="s">
        <v>1064</v>
      </c>
      <c r="AK31" t="s">
        <v>1065</v>
      </c>
      <c r="AL31" t="s">
        <v>1066</v>
      </c>
      <c r="AM31" t="s">
        <v>1067</v>
      </c>
      <c r="AN31" t="s">
        <v>1068</v>
      </c>
      <c r="AO31" t="s">
        <v>1069</v>
      </c>
      <c r="AP31" t="s">
        <v>1070</v>
      </c>
      <c r="AQ31" t="s">
        <v>1071</v>
      </c>
      <c r="AR31" t="s">
        <v>1072</v>
      </c>
      <c r="AS31" t="s">
        <v>1073</v>
      </c>
      <c r="AT31" t="s">
        <v>1074</v>
      </c>
      <c r="AU31" t="s">
        <v>1075</v>
      </c>
      <c r="AV31" t="s">
        <v>1076</v>
      </c>
      <c r="AW31" t="s">
        <v>1077</v>
      </c>
      <c r="AX31" t="s">
        <v>1078</v>
      </c>
      <c r="AY31" t="s">
        <v>1079</v>
      </c>
      <c r="AZ31" t="s">
        <v>1080</v>
      </c>
      <c r="BA31" t="s">
        <v>1081</v>
      </c>
      <c r="BB31" t="s">
        <v>1082</v>
      </c>
    </row>
    <row r="32" spans="1:54" x14ac:dyDescent="0.25">
      <c r="A32">
        <v>7</v>
      </c>
      <c r="B32" t="s">
        <v>7</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G32" t="s">
        <v>1083</v>
      </c>
      <c r="AH32" t="s">
        <v>1084</v>
      </c>
      <c r="AI32" t="s">
        <v>1085</v>
      </c>
      <c r="AJ32" t="s">
        <v>1086</v>
      </c>
      <c r="AK32" t="s">
        <v>1087</v>
      </c>
      <c r="AL32" t="s">
        <v>1088</v>
      </c>
      <c r="AM32" t="s">
        <v>1089</v>
      </c>
      <c r="AN32" t="s">
        <v>1090</v>
      </c>
      <c r="AO32" t="s">
        <v>1091</v>
      </c>
      <c r="AP32" t="s">
        <v>1092</v>
      </c>
      <c r="AQ32" t="s">
        <v>1093</v>
      </c>
      <c r="AR32" t="s">
        <v>1094</v>
      </c>
      <c r="AS32" t="s">
        <v>1095</v>
      </c>
      <c r="AT32" t="s">
        <v>1096</v>
      </c>
      <c r="AU32" t="s">
        <v>1097</v>
      </c>
      <c r="AV32" t="s">
        <v>1098</v>
      </c>
      <c r="AW32" t="s">
        <v>1099</v>
      </c>
      <c r="AX32" t="s">
        <v>1100</v>
      </c>
      <c r="AY32" t="s">
        <v>1101</v>
      </c>
      <c r="AZ32" t="s">
        <v>1102</v>
      </c>
      <c r="BA32" t="s">
        <v>1103</v>
      </c>
      <c r="BB32" t="s">
        <v>1104</v>
      </c>
    </row>
    <row r="33" spans="1:54" x14ac:dyDescent="0.25">
      <c r="A33">
        <v>7</v>
      </c>
      <c r="B33" t="s">
        <v>9</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H33" t="s">
        <v>1105</v>
      </c>
      <c r="AI33" t="s">
        <v>1106</v>
      </c>
      <c r="AJ33" t="s">
        <v>1107</v>
      </c>
      <c r="AK33" t="s">
        <v>1108</v>
      </c>
      <c r="AL33" t="s">
        <v>1109</v>
      </c>
      <c r="AM33" t="s">
        <v>1110</v>
      </c>
      <c r="AN33" t="s">
        <v>1111</v>
      </c>
      <c r="AO33" t="s">
        <v>1112</v>
      </c>
      <c r="AP33" t="s">
        <v>1113</v>
      </c>
      <c r="AQ33" t="s">
        <v>1114</v>
      </c>
      <c r="AR33" t="s">
        <v>1115</v>
      </c>
      <c r="AS33" t="s">
        <v>1116</v>
      </c>
      <c r="AT33" t="s">
        <v>1117</v>
      </c>
      <c r="AU33" t="s">
        <v>1118</v>
      </c>
      <c r="AV33" t="s">
        <v>1119</v>
      </c>
      <c r="AW33" t="s">
        <v>1120</v>
      </c>
      <c r="AX33" t="s">
        <v>1121</v>
      </c>
      <c r="AY33" t="s">
        <v>1122</v>
      </c>
      <c r="AZ33" t="s">
        <v>1123</v>
      </c>
      <c r="BA33" t="s">
        <v>1124</v>
      </c>
      <c r="BB33" t="s">
        <v>1125</v>
      </c>
    </row>
    <row r="34" spans="1:54" x14ac:dyDescent="0.25">
      <c r="A34">
        <v>7</v>
      </c>
      <c r="B34" t="s">
        <v>8</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I34" t="s">
        <v>1126</v>
      </c>
      <c r="AJ34" t="s">
        <v>1127</v>
      </c>
      <c r="AK34" t="s">
        <v>1128</v>
      </c>
      <c r="AL34" t="s">
        <v>1129</v>
      </c>
      <c r="AM34" t="s">
        <v>1130</v>
      </c>
      <c r="AN34" t="s">
        <v>1131</v>
      </c>
      <c r="AO34" t="s">
        <v>1132</v>
      </c>
      <c r="AP34" t="s">
        <v>1133</v>
      </c>
      <c r="AQ34" t="s">
        <v>1134</v>
      </c>
      <c r="AR34" t="s">
        <v>1135</v>
      </c>
      <c r="AS34" t="s">
        <v>1136</v>
      </c>
      <c r="AT34" t="s">
        <v>1137</v>
      </c>
      <c r="AU34" t="s">
        <v>1138</v>
      </c>
      <c r="AV34" t="s">
        <v>1139</v>
      </c>
      <c r="AW34" t="s">
        <v>1140</v>
      </c>
      <c r="AX34" t="s">
        <v>1141</v>
      </c>
      <c r="AY34" t="s">
        <v>1142</v>
      </c>
      <c r="AZ34" t="s">
        <v>1143</v>
      </c>
      <c r="BA34" t="s">
        <v>1144</v>
      </c>
      <c r="BB34" t="s">
        <v>1145</v>
      </c>
    </row>
    <row r="35" spans="1:54" x14ac:dyDescent="0.25">
      <c r="A35">
        <v>6</v>
      </c>
      <c r="B35" t="s">
        <v>6</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J35" t="s">
        <v>1146</v>
      </c>
      <c r="AK35" t="s">
        <v>1147</v>
      </c>
      <c r="AL35" t="s">
        <v>1148</v>
      </c>
      <c r="AM35" t="s">
        <v>1149</v>
      </c>
      <c r="AN35" t="s">
        <v>1150</v>
      </c>
      <c r="AO35" t="s">
        <v>1151</v>
      </c>
      <c r="AP35" t="s">
        <v>1152</v>
      </c>
      <c r="AQ35" t="s">
        <v>1153</v>
      </c>
      <c r="AR35" t="s">
        <v>1154</v>
      </c>
      <c r="AS35" t="s">
        <v>1155</v>
      </c>
      <c r="AT35" t="s">
        <v>1156</v>
      </c>
      <c r="AU35" t="s">
        <v>1157</v>
      </c>
      <c r="AV35" t="s">
        <v>1158</v>
      </c>
      <c r="AW35" t="s">
        <v>1159</v>
      </c>
      <c r="AX35" t="s">
        <v>1160</v>
      </c>
      <c r="AY35" t="s">
        <v>1161</v>
      </c>
      <c r="AZ35" t="s">
        <v>1162</v>
      </c>
      <c r="BA35" t="s">
        <v>1163</v>
      </c>
      <c r="BB35" t="s">
        <v>1164</v>
      </c>
    </row>
    <row r="36" spans="1:54" x14ac:dyDescent="0.25">
      <c r="A36">
        <v>6</v>
      </c>
      <c r="B36" t="s">
        <v>7</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K36" t="s">
        <v>1165</v>
      </c>
      <c r="AL36" t="s">
        <v>1166</v>
      </c>
      <c r="AM36" t="s">
        <v>1167</v>
      </c>
      <c r="AN36" t="s">
        <v>1168</v>
      </c>
      <c r="AO36" t="s">
        <v>1169</v>
      </c>
      <c r="AP36" t="s">
        <v>1170</v>
      </c>
      <c r="AQ36" t="s">
        <v>1171</v>
      </c>
      <c r="AR36" t="s">
        <v>1172</v>
      </c>
      <c r="AS36" t="s">
        <v>1173</v>
      </c>
      <c r="AT36" t="s">
        <v>1174</v>
      </c>
      <c r="AU36" t="s">
        <v>1175</v>
      </c>
      <c r="AV36" t="s">
        <v>1176</v>
      </c>
      <c r="AW36" t="s">
        <v>1177</v>
      </c>
      <c r="AX36" t="s">
        <v>1178</v>
      </c>
      <c r="AY36" t="s">
        <v>1179</v>
      </c>
      <c r="AZ36" t="s">
        <v>1180</v>
      </c>
      <c r="BA36" t="s">
        <v>1181</v>
      </c>
      <c r="BB36" t="s">
        <v>1182</v>
      </c>
    </row>
    <row r="37" spans="1:54" x14ac:dyDescent="0.25">
      <c r="A37">
        <v>6</v>
      </c>
      <c r="B37" t="s">
        <v>9</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L37" t="s">
        <v>1183</v>
      </c>
      <c r="AM37" t="s">
        <v>1184</v>
      </c>
      <c r="AN37" t="s">
        <v>1185</v>
      </c>
      <c r="AO37" t="s">
        <v>1186</v>
      </c>
      <c r="AP37" t="s">
        <v>1187</v>
      </c>
      <c r="AQ37" t="s">
        <v>1188</v>
      </c>
      <c r="AR37" t="s">
        <v>1189</v>
      </c>
      <c r="AS37" t="s">
        <v>1190</v>
      </c>
      <c r="AT37" t="s">
        <v>1191</v>
      </c>
      <c r="AU37" t="s">
        <v>1192</v>
      </c>
      <c r="AV37" t="s">
        <v>1193</v>
      </c>
      <c r="AW37" t="s">
        <v>1194</v>
      </c>
      <c r="AX37" t="s">
        <v>1195</v>
      </c>
      <c r="AY37" t="s">
        <v>1196</v>
      </c>
      <c r="AZ37" t="s">
        <v>1197</v>
      </c>
      <c r="BA37" t="s">
        <v>1198</v>
      </c>
      <c r="BB37" t="s">
        <v>1199</v>
      </c>
    </row>
    <row r="38" spans="1:54" x14ac:dyDescent="0.25">
      <c r="A38">
        <v>6</v>
      </c>
      <c r="B38" t="s">
        <v>8</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M38" t="s">
        <v>1200</v>
      </c>
      <c r="AN38" t="s">
        <v>1201</v>
      </c>
      <c r="AO38" t="s">
        <v>1202</v>
      </c>
      <c r="AP38" t="s">
        <v>1203</v>
      </c>
      <c r="AQ38" t="s">
        <v>1204</v>
      </c>
      <c r="AR38" t="s">
        <v>1205</v>
      </c>
      <c r="AS38" t="s">
        <v>1206</v>
      </c>
      <c r="AT38" t="s">
        <v>1207</v>
      </c>
      <c r="AU38" t="s">
        <v>1208</v>
      </c>
      <c r="AV38" t="s">
        <v>1209</v>
      </c>
      <c r="AW38" t="s">
        <v>1210</v>
      </c>
      <c r="AX38" t="s">
        <v>1211</v>
      </c>
      <c r="AY38" t="s">
        <v>1212</v>
      </c>
      <c r="AZ38" t="s">
        <v>1213</v>
      </c>
      <c r="BA38" t="s">
        <v>1214</v>
      </c>
      <c r="BB38" t="s">
        <v>1215</v>
      </c>
    </row>
    <row r="39" spans="1:54" x14ac:dyDescent="0.25">
      <c r="A39">
        <v>5</v>
      </c>
      <c r="B39" t="s">
        <v>6</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N39" t="s">
        <v>1216</v>
      </c>
      <c r="AO39" t="s">
        <v>1217</v>
      </c>
      <c r="AP39" t="s">
        <v>1218</v>
      </c>
      <c r="AQ39" t="s">
        <v>1219</v>
      </c>
      <c r="AR39" t="s">
        <v>1220</v>
      </c>
      <c r="AS39" t="s">
        <v>1221</v>
      </c>
      <c r="AT39" t="s">
        <v>1222</v>
      </c>
      <c r="AU39" t="s">
        <v>1223</v>
      </c>
      <c r="AV39" t="s">
        <v>1224</v>
      </c>
      <c r="AW39" t="s">
        <v>1225</v>
      </c>
      <c r="AX39" t="s">
        <v>1226</v>
      </c>
      <c r="AY39" t="s">
        <v>1227</v>
      </c>
      <c r="AZ39" t="s">
        <v>1228</v>
      </c>
      <c r="BA39" t="s">
        <v>1229</v>
      </c>
      <c r="BB39" t="s">
        <v>1230</v>
      </c>
    </row>
    <row r="40" spans="1:54" x14ac:dyDescent="0.25">
      <c r="A40">
        <v>5</v>
      </c>
      <c r="B40" t="s">
        <v>7</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O40" t="s">
        <v>1231</v>
      </c>
      <c r="AP40" t="s">
        <v>1232</v>
      </c>
      <c r="AQ40" t="s">
        <v>1233</v>
      </c>
      <c r="AR40" t="s">
        <v>1234</v>
      </c>
      <c r="AS40" t="s">
        <v>1235</v>
      </c>
      <c r="AT40" t="s">
        <v>1236</v>
      </c>
      <c r="AU40" t="s">
        <v>1237</v>
      </c>
      <c r="AV40" t="s">
        <v>1238</v>
      </c>
      <c r="AW40" t="s">
        <v>1239</v>
      </c>
      <c r="AX40" t="s">
        <v>1240</v>
      </c>
      <c r="AY40" t="s">
        <v>1241</v>
      </c>
      <c r="AZ40" t="s">
        <v>1242</v>
      </c>
      <c r="BA40" t="s">
        <v>1243</v>
      </c>
      <c r="BB40" t="s">
        <v>1244</v>
      </c>
    </row>
    <row r="41" spans="1:54" x14ac:dyDescent="0.25">
      <c r="A41">
        <v>5</v>
      </c>
      <c r="B41" t="s">
        <v>9</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P41" t="s">
        <v>1245</v>
      </c>
      <c r="AQ41" t="s">
        <v>1246</v>
      </c>
      <c r="AR41" t="s">
        <v>1247</v>
      </c>
      <c r="AS41" t="s">
        <v>1248</v>
      </c>
      <c r="AT41" t="s">
        <v>1249</v>
      </c>
      <c r="AU41" t="s">
        <v>1250</v>
      </c>
      <c r="AV41" t="s">
        <v>1251</v>
      </c>
      <c r="AW41" t="s">
        <v>1252</v>
      </c>
      <c r="AX41" t="s">
        <v>1253</v>
      </c>
      <c r="AY41" t="s">
        <v>1254</v>
      </c>
      <c r="AZ41" t="s">
        <v>1255</v>
      </c>
      <c r="BA41" t="s">
        <v>1256</v>
      </c>
      <c r="BB41" t="s">
        <v>1257</v>
      </c>
    </row>
    <row r="42" spans="1:54" x14ac:dyDescent="0.25">
      <c r="A42">
        <v>5</v>
      </c>
      <c r="B42" t="s">
        <v>8</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Q42" t="s">
        <v>1258</v>
      </c>
      <c r="AR42" t="s">
        <v>1259</v>
      </c>
      <c r="AS42" t="s">
        <v>1260</v>
      </c>
      <c r="AT42" t="s">
        <v>1261</v>
      </c>
      <c r="AU42" t="s">
        <v>1262</v>
      </c>
      <c r="AV42" t="s">
        <v>1263</v>
      </c>
      <c r="AW42" t="s">
        <v>1264</v>
      </c>
      <c r="AX42" t="s">
        <v>1265</v>
      </c>
      <c r="AY42" t="s">
        <v>1266</v>
      </c>
      <c r="AZ42" t="s">
        <v>1267</v>
      </c>
      <c r="BA42" t="s">
        <v>1268</v>
      </c>
      <c r="BB42" t="s">
        <v>1269</v>
      </c>
    </row>
    <row r="43" spans="1:54" x14ac:dyDescent="0.25">
      <c r="A43">
        <v>4</v>
      </c>
      <c r="B43" t="s">
        <v>6</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R43" t="s">
        <v>1270</v>
      </c>
      <c r="AS43" t="s">
        <v>1271</v>
      </c>
      <c r="AT43" t="s">
        <v>1272</v>
      </c>
      <c r="AU43" t="s">
        <v>1273</v>
      </c>
      <c r="AV43" t="s">
        <v>1274</v>
      </c>
      <c r="AW43" t="s">
        <v>1275</v>
      </c>
      <c r="AX43" t="s">
        <v>1276</v>
      </c>
      <c r="AY43" t="s">
        <v>1277</v>
      </c>
      <c r="AZ43" t="s">
        <v>1278</v>
      </c>
      <c r="BA43" t="s">
        <v>1279</v>
      </c>
      <c r="BB43" t="s">
        <v>1280</v>
      </c>
    </row>
    <row r="44" spans="1:54" x14ac:dyDescent="0.25">
      <c r="A44">
        <v>4</v>
      </c>
      <c r="B44" t="s">
        <v>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S44" t="s">
        <v>1281</v>
      </c>
      <c r="AT44" t="s">
        <v>1282</v>
      </c>
      <c r="AU44" t="s">
        <v>1283</v>
      </c>
      <c r="AV44" t="s">
        <v>1284</v>
      </c>
      <c r="AW44" t="s">
        <v>1285</v>
      </c>
      <c r="AX44" t="s">
        <v>1286</v>
      </c>
      <c r="AY44" t="s">
        <v>1287</v>
      </c>
      <c r="AZ44" t="s">
        <v>1288</v>
      </c>
      <c r="BA44" t="s">
        <v>1289</v>
      </c>
      <c r="BB44" t="s">
        <v>1290</v>
      </c>
    </row>
    <row r="45" spans="1:54" x14ac:dyDescent="0.25">
      <c r="A45">
        <v>4</v>
      </c>
      <c r="B45" t="s">
        <v>9</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T45" t="s">
        <v>1291</v>
      </c>
      <c r="AU45" t="s">
        <v>1292</v>
      </c>
      <c r="AV45" t="s">
        <v>1293</v>
      </c>
      <c r="AW45" t="s">
        <v>1294</v>
      </c>
      <c r="AX45" t="s">
        <v>1295</v>
      </c>
      <c r="AY45" t="s">
        <v>1296</v>
      </c>
      <c r="AZ45" t="s">
        <v>1297</v>
      </c>
      <c r="BA45" t="s">
        <v>1298</v>
      </c>
      <c r="BB45" t="s">
        <v>1299</v>
      </c>
    </row>
    <row r="46" spans="1:54" x14ac:dyDescent="0.25">
      <c r="A46">
        <v>4</v>
      </c>
      <c r="B46" t="s">
        <v>8</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U46" t="s">
        <v>1300</v>
      </c>
      <c r="AV46" t="s">
        <v>1301</v>
      </c>
      <c r="AW46" t="s">
        <v>1302</v>
      </c>
      <c r="AX46" t="s">
        <v>1303</v>
      </c>
      <c r="AY46" t="s">
        <v>1304</v>
      </c>
      <c r="AZ46" t="s">
        <v>1305</v>
      </c>
      <c r="BA46" t="s">
        <v>1306</v>
      </c>
      <c r="BB46" t="s">
        <v>1307</v>
      </c>
    </row>
    <row r="47" spans="1:54" x14ac:dyDescent="0.25">
      <c r="A47">
        <v>3</v>
      </c>
      <c r="B47" t="s">
        <v>6</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V47" t="s">
        <v>1308</v>
      </c>
      <c r="AW47" t="s">
        <v>1309</v>
      </c>
      <c r="AX47" t="s">
        <v>1310</v>
      </c>
      <c r="AY47" t="s">
        <v>1311</v>
      </c>
      <c r="AZ47" t="s">
        <v>1312</v>
      </c>
      <c r="BA47" t="s">
        <v>1313</v>
      </c>
      <c r="BB47" t="s">
        <v>1314</v>
      </c>
    </row>
    <row r="48" spans="1:54" x14ac:dyDescent="0.25">
      <c r="A48">
        <v>3</v>
      </c>
      <c r="B48" t="s">
        <v>7</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W48" t="s">
        <v>1315</v>
      </c>
      <c r="AX48" t="s">
        <v>1316</v>
      </c>
      <c r="AY48" t="s">
        <v>1317</v>
      </c>
      <c r="AZ48" t="s">
        <v>1318</v>
      </c>
      <c r="BA48" t="s">
        <v>1319</v>
      </c>
      <c r="BB48" t="s">
        <v>1320</v>
      </c>
    </row>
    <row r="49" spans="1:54" x14ac:dyDescent="0.25">
      <c r="A49">
        <v>3</v>
      </c>
      <c r="B49" t="s">
        <v>9</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X49" t="s">
        <v>1321</v>
      </c>
      <c r="AY49" t="s">
        <v>1322</v>
      </c>
      <c r="AZ49" t="s">
        <v>1323</v>
      </c>
      <c r="BA49" t="s">
        <v>1324</v>
      </c>
      <c r="BB49" t="s">
        <v>1325</v>
      </c>
    </row>
    <row r="50" spans="1:54" x14ac:dyDescent="0.25">
      <c r="A50">
        <v>3</v>
      </c>
      <c r="B50" t="s">
        <v>8</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Y50" t="s">
        <v>1326</v>
      </c>
      <c r="AZ50" t="s">
        <v>1327</v>
      </c>
      <c r="BA50" t="s">
        <v>1328</v>
      </c>
      <c r="BB50" t="s">
        <v>1329</v>
      </c>
    </row>
    <row r="51" spans="1:54" x14ac:dyDescent="0.25">
      <c r="A51">
        <v>2</v>
      </c>
      <c r="B51" t="s">
        <v>6</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Z51" t="s">
        <v>40</v>
      </c>
      <c r="BA51" t="s">
        <v>41</v>
      </c>
      <c r="BB51" t="s">
        <v>43</v>
      </c>
    </row>
    <row r="52" spans="1:54" x14ac:dyDescent="0.25">
      <c r="A52">
        <v>2</v>
      </c>
      <c r="B52" t="s">
        <v>7</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BA52" t="s">
        <v>42</v>
      </c>
      <c r="BB52" t="s">
        <v>44</v>
      </c>
    </row>
    <row r="53" spans="1:54" x14ac:dyDescent="0.25">
      <c r="A53">
        <v>2</v>
      </c>
      <c r="B53" t="s">
        <v>9</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B53" t="s">
        <v>45</v>
      </c>
    </row>
    <row r="54" spans="1:54" x14ac:dyDescent="0.25">
      <c r="A54">
        <v>2</v>
      </c>
      <c r="B54" t="s">
        <v>8</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row>
  </sheetData>
  <sheetProtection sheet="1" objects="1" scenarios="1"/>
  <conditionalFormatting sqref="G72:J75">
    <cfRule type="duplicateValues" dxfId="21" priority="11"/>
  </conditionalFormatting>
  <conditionalFormatting sqref="G73">
    <cfRule type="duplicateValues" dxfId="20" priority="10"/>
  </conditionalFormatting>
  <conditionalFormatting sqref="G74">
    <cfRule type="duplicateValues" dxfId="19" priority="9"/>
  </conditionalFormatting>
  <conditionalFormatting sqref="G75">
    <cfRule type="duplicateValues" dxfId="18" priority="8"/>
  </conditionalFormatting>
  <conditionalFormatting sqref="H74">
    <cfRule type="duplicateValues" dxfId="17" priority="7"/>
  </conditionalFormatting>
  <conditionalFormatting sqref="H75">
    <cfRule type="duplicateValues" dxfId="16" priority="6"/>
  </conditionalFormatting>
  <conditionalFormatting sqref="I75">
    <cfRule type="duplicateValues" dxfId="15" priority="5"/>
  </conditionalFormatting>
  <conditionalFormatting sqref="H72">
    <cfRule type="duplicateValues" dxfId="14" priority="4"/>
  </conditionalFormatting>
  <conditionalFormatting sqref="I72">
    <cfRule type="duplicateValues" dxfId="13" priority="3"/>
  </conditionalFormatting>
  <conditionalFormatting sqref="J72">
    <cfRule type="duplicateValues" dxfId="12" priority="2"/>
  </conditionalFormatting>
  <conditionalFormatting sqref="I73">
    <cfRule type="duplicateValues" dxfId="11" priority="1"/>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E4A57-A307-4D39-8E28-9CD48D1FCA9F}">
  <sheetPr codeName="Sheet3"/>
  <dimension ref="A1:O7"/>
  <sheetViews>
    <sheetView workbookViewId="0">
      <selection activeCell="C5" sqref="C5"/>
    </sheetView>
  </sheetViews>
  <sheetFormatPr defaultRowHeight="15" x14ac:dyDescent="0.25"/>
  <sheetData>
    <row r="1" spans="1:15" x14ac:dyDescent="0.25">
      <c r="C1" s="7">
        <f>Range!S8</f>
        <v>0</v>
      </c>
      <c r="D1" s="7" t="s">
        <v>5</v>
      </c>
      <c r="I1" t="s">
        <v>1367</v>
      </c>
      <c r="J1" t="s">
        <v>1368</v>
      </c>
      <c r="K1" t="s">
        <v>1366</v>
      </c>
      <c r="L1" t="s">
        <v>1369</v>
      </c>
      <c r="M1" t="s">
        <v>1370</v>
      </c>
      <c r="N1" t="s">
        <v>4</v>
      </c>
      <c r="O1" t="s">
        <v>1371</v>
      </c>
    </row>
    <row r="2" spans="1:15" x14ac:dyDescent="0.25">
      <c r="A2" s="2"/>
      <c r="B2" s="2"/>
      <c r="C2" s="2"/>
      <c r="D2" s="1">
        <f>Range!T9</f>
        <v>0</v>
      </c>
      <c r="E2" s="2"/>
      <c r="F2" s="2"/>
    </row>
    <row r="3" spans="1:15" x14ac:dyDescent="0.25">
      <c r="A3" s="2"/>
      <c r="B3" s="2"/>
      <c r="C3" s="3" t="s">
        <v>6</v>
      </c>
      <c r="D3" s="4" t="s">
        <v>7</v>
      </c>
      <c r="E3" s="5" t="s">
        <v>9</v>
      </c>
      <c r="F3" s="6" t="s">
        <v>8</v>
      </c>
    </row>
    <row r="4" spans="1:15" x14ac:dyDescent="0.25">
      <c r="A4" s="2"/>
      <c r="B4" s="3" t="s">
        <v>6</v>
      </c>
      <c r="C4">
        <v>0</v>
      </c>
      <c r="D4">
        <v>0</v>
      </c>
      <c r="E4">
        <v>0</v>
      </c>
      <c r="F4">
        <v>0</v>
      </c>
    </row>
    <row r="5" spans="1:15" x14ac:dyDescent="0.25">
      <c r="A5" s="1">
        <f>Range!Q12</f>
        <v>0</v>
      </c>
      <c r="B5" s="4" t="s">
        <v>7</v>
      </c>
      <c r="C5">
        <v>0</v>
      </c>
      <c r="D5">
        <v>1</v>
      </c>
      <c r="E5">
        <v>0</v>
      </c>
      <c r="F5">
        <v>0</v>
      </c>
    </row>
    <row r="6" spans="1:15" x14ac:dyDescent="0.25">
      <c r="A6" s="2"/>
      <c r="B6" s="5" t="s">
        <v>9</v>
      </c>
      <c r="C6">
        <v>0</v>
      </c>
      <c r="D6">
        <v>0</v>
      </c>
      <c r="E6">
        <v>1</v>
      </c>
      <c r="F6">
        <v>0</v>
      </c>
    </row>
    <row r="7" spans="1:15" x14ac:dyDescent="0.25">
      <c r="A7" s="2"/>
      <c r="B7" s="6" t="s">
        <v>8</v>
      </c>
      <c r="C7">
        <v>0</v>
      </c>
      <c r="D7">
        <v>0</v>
      </c>
      <c r="E7">
        <v>0</v>
      </c>
      <c r="F7">
        <v>0</v>
      </c>
    </row>
  </sheetData>
  <sheetProtection sheet="1" objects="1" scenarios="1"/>
  <conditionalFormatting sqref="C4:F7">
    <cfRule type="duplicateValues" dxfId="10" priority="11"/>
  </conditionalFormatting>
  <conditionalFormatting sqref="C5">
    <cfRule type="duplicateValues" dxfId="9" priority="10"/>
  </conditionalFormatting>
  <conditionalFormatting sqref="C6">
    <cfRule type="duplicateValues" dxfId="8" priority="9"/>
  </conditionalFormatting>
  <conditionalFormatting sqref="C7">
    <cfRule type="duplicateValues" dxfId="7" priority="8"/>
  </conditionalFormatting>
  <conditionalFormatting sqref="D6">
    <cfRule type="duplicateValues" dxfId="6" priority="7"/>
  </conditionalFormatting>
  <conditionalFormatting sqref="D7">
    <cfRule type="duplicateValues" dxfId="5" priority="6"/>
  </conditionalFormatting>
  <conditionalFormatting sqref="E7">
    <cfRule type="duplicateValues" dxfId="4" priority="5"/>
  </conditionalFormatting>
  <conditionalFormatting sqref="D4">
    <cfRule type="duplicateValues" dxfId="3" priority="4"/>
  </conditionalFormatting>
  <conditionalFormatting sqref="E4">
    <cfRule type="duplicateValues" dxfId="2" priority="3"/>
  </conditionalFormatting>
  <conditionalFormatting sqref="F4">
    <cfRule type="duplicateValues" dxfId="1" priority="2"/>
  </conditionalFormatting>
  <conditionalFormatting sqref="E5">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vt:lpstr>
      <vt:lpstr>Range</vt:lpstr>
      <vt:lpstr>Combinations</vt:lpstr>
      <vt:lpstr>Helper Grid</vt:lpstr>
    </vt:vector>
  </TitlesOfParts>
  <Manager/>
  <Company>Province of Nova Scotia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Bruinsma, Nick</dc:creator>
  <cp:keywords/>
  <dc:description/>
  <cp:lastModifiedBy>Nick Bruinsma</cp:lastModifiedBy>
  <cp:revision/>
  <dcterms:created xsi:type="dcterms:W3CDTF">2025-10-28T13:22:09Z</dcterms:created>
  <dcterms:modified xsi:type="dcterms:W3CDTF">2026-05-01T17:11:34Z</dcterms:modified>
  <cp:category/>
  <cp:contentStatus/>
</cp:coreProperties>
</file>