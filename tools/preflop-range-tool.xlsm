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ADE9D975-D811-4D74-9799-EC8BA617D50E}" xr6:coauthVersionLast="47" xr6:coauthVersionMax="47" xr10:uidLastSave="{00000000-0000-0000-0000-000000000000}"/>
  <bookViews>
    <workbookView xWindow="28680" yWindow="-120" windowWidth="29040" windowHeight="15990" xr2:uid="{00000000-000D-0000-FFFF-FFFF00000000}"/>
  </bookViews>
  <sheets>
    <sheet name="Intro" sheetId="9" r:id="rId1"/>
    <sheet name="Interface" sheetId="1" r:id="rId2"/>
    <sheet name="Charts" sheetId="4" state="hidden" r:id="rId3"/>
    <sheet name="Chart Staging" sheetId="5" state="hidden" r:id="rId4"/>
    <sheet name="PFVar" sheetId="7" state="hidden" r:id="rId5"/>
  </sheets>
  <functionGroups builtInGroupCount="19"/>
  <definedNames>
    <definedName name="_xlnm._FilterDatabase" localSheetId="2" hidden="1">Charts!$A$2:$FV$618</definedName>
    <definedName name="_xleta.IF" hidden="1" xlm="1">#NAME?</definedName>
    <definedName name="_xleta.N" hidden="1" xlm="1">#NAME?</definedName>
    <definedName name="betTrackRange">PFVar!$J$25:$AA$25</definedName>
    <definedName name="currentPos">Interface!$B$13</definedName>
    <definedName name="currentPosition">PFVar!$A$5</definedName>
    <definedName name="oppBLinds">Interface!$B$50</definedName>
    <definedName name="oppPos">Interface!$B$53</definedName>
    <definedName name="playerCount">Interface!$B$4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7" l="1"/>
  <c r="A2" i="7" a="1"/>
  <c r="A2" i="7" s="1"/>
  <c r="T26" i="7"/>
  <c r="U26" i="7"/>
  <c r="V26" i="7"/>
  <c r="W26" i="7"/>
  <c r="X26" i="7"/>
  <c r="Y26" i="7"/>
  <c r="Z26" i="7"/>
  <c r="AA26" i="7"/>
  <c r="S26" i="7"/>
  <c r="A5" i="7" l="1"/>
  <c r="F17" i="7" l="1"/>
  <c r="F18" i="7" s="1"/>
  <c r="G17" i="7"/>
  <c r="G18" i="7" s="1"/>
  <c r="G19" i="7" s="1"/>
  <c r="G20" i="7" s="1"/>
  <c r="G21" i="7" s="1"/>
  <c r="G22" i="7" s="1"/>
  <c r="G23" i="7" s="1"/>
  <c r="G24" i="7" s="1"/>
  <c r="G25" i="7" s="1"/>
  <c r="E25" i="7" s="1"/>
  <c r="AL18" i="7" s="1"/>
  <c r="B24" i="1"/>
  <c r="K29" i="7"/>
  <c r="L29" i="7"/>
  <c r="FV611" i="4"/>
  <c r="FV612" i="4"/>
  <c r="FV607" i="4"/>
  <c r="FV606" i="4"/>
  <c r="FV603" i="4"/>
  <c r="FV602" i="4"/>
  <c r="FV601" i="4"/>
  <c r="FV600" i="4"/>
  <c r="FV589" i="4"/>
  <c r="FV588" i="4"/>
  <c r="FV579" i="4"/>
  <c r="FV578" i="4"/>
  <c r="FV597" i="4"/>
  <c r="FV596" i="4"/>
  <c r="FV595" i="4"/>
  <c r="FV594" i="4"/>
  <c r="FV593" i="4"/>
  <c r="FV592" i="4"/>
  <c r="FV587" i="4"/>
  <c r="FV586" i="4"/>
  <c r="FV585" i="4"/>
  <c r="FV584" i="4"/>
  <c r="FV583" i="4"/>
  <c r="FV582" i="4"/>
  <c r="FV577" i="4"/>
  <c r="FV576" i="4"/>
  <c r="FV575" i="4"/>
  <c r="FV574" i="4"/>
  <c r="FV573" i="4"/>
  <c r="FV572" i="4"/>
  <c r="FV571" i="4"/>
  <c r="FV570" i="4"/>
  <c r="FV561" i="4"/>
  <c r="FV560" i="4"/>
  <c r="FV559" i="4"/>
  <c r="FV558" i="4"/>
  <c r="FV557" i="4"/>
  <c r="FV556" i="4"/>
  <c r="FV547" i="4"/>
  <c r="FV546" i="4"/>
  <c r="FV545" i="4"/>
  <c r="FV544" i="4"/>
  <c r="FV543" i="4"/>
  <c r="FV542" i="4"/>
  <c r="FV541" i="4"/>
  <c r="FV540" i="4"/>
  <c r="FV529" i="4"/>
  <c r="FV528" i="4"/>
  <c r="FV525" i="4"/>
  <c r="FV524" i="4"/>
  <c r="FV521" i="4"/>
  <c r="FV520" i="4"/>
  <c r="FV517" i="4"/>
  <c r="FV501" i="4"/>
  <c r="FV499" i="4"/>
  <c r="FV497" i="4"/>
  <c r="FV495" i="4"/>
  <c r="FV491" i="4"/>
  <c r="FV503" i="4"/>
  <c r="FV502" i="4"/>
  <c r="FV500" i="4"/>
  <c r="FV498" i="4"/>
  <c r="FV496" i="4"/>
  <c r="FV494" i="4"/>
  <c r="FV493" i="4"/>
  <c r="FV492" i="4"/>
  <c r="FV490" i="4"/>
  <c r="FV478" i="4"/>
  <c r="FV477" i="4"/>
  <c r="FV476" i="4"/>
  <c r="FV463" i="4"/>
  <c r="FV462" i="4"/>
  <c r="FV461" i="4"/>
  <c r="FV460" i="4"/>
  <c r="FV459" i="4"/>
  <c r="FV458" i="4"/>
  <c r="FV457" i="4"/>
  <c r="FV456" i="4"/>
  <c r="FV455" i="4"/>
  <c r="FV454" i="4"/>
  <c r="FV453" i="4"/>
  <c r="FV452" i="4"/>
  <c r="FV418" i="4"/>
  <c r="FV417" i="4"/>
  <c r="FV424" i="4"/>
  <c r="FV423" i="4"/>
  <c r="FV422" i="4"/>
  <c r="FV427" i="4"/>
  <c r="FV426" i="4"/>
  <c r="FV425" i="4"/>
  <c r="B2" i="7"/>
  <c r="B21" i="7" s="1"/>
  <c r="AG30" i="1" s="1"/>
  <c r="FV413" i="4"/>
  <c r="FV412" i="4"/>
  <c r="FV411" i="4"/>
  <c r="FV410" i="4"/>
  <c r="FV409" i="4"/>
  <c r="FV408" i="4"/>
  <c r="FV407" i="4"/>
  <c r="FV406" i="4"/>
  <c r="FV405" i="4"/>
  <c r="FV401" i="4"/>
  <c r="FV397" i="4"/>
  <c r="FV393" i="4"/>
  <c r="FV384" i="4"/>
  <c r="FV383" i="4"/>
  <c r="FV382" i="4"/>
  <c r="FV381" i="4"/>
  <c r="FV380" i="4"/>
  <c r="FV379" i="4"/>
  <c r="FV378" i="4"/>
  <c r="FV377" i="4"/>
  <c r="FV358" i="4"/>
  <c r="FV357" i="4"/>
  <c r="FV354" i="4"/>
  <c r="FV353" i="4"/>
  <c r="FV350" i="4"/>
  <c r="FV349" i="4"/>
  <c r="FV348" i="4"/>
  <c r="FV347" i="4"/>
  <c r="FV346" i="4"/>
  <c r="FV345" i="4"/>
  <c r="FV344" i="4"/>
  <c r="FV343" i="4"/>
  <c r="FV342" i="4"/>
  <c r="FV321" i="4"/>
  <c r="FV320" i="4"/>
  <c r="FV316" i="4"/>
  <c r="FV317" i="4"/>
  <c r="FV318" i="4"/>
  <c r="FV313" i="4"/>
  <c r="FV312" i="4"/>
  <c r="FV309" i="4"/>
  <c r="FV308" i="4"/>
  <c r="FV300" i="4"/>
  <c r="FV295" i="4"/>
  <c r="FV294" i="4"/>
  <c r="FV291" i="4"/>
  <c r="FV290" i="4"/>
  <c r="FV286" i="4"/>
  <c r="FV285" i="4"/>
  <c r="FV284" i="4"/>
  <c r="FV283" i="4"/>
  <c r="FV282" i="4"/>
  <c r="FV281" i="4"/>
  <c r="FV270" i="4"/>
  <c r="FV269" i="4"/>
  <c r="FV268" i="4"/>
  <c r="FV267" i="4"/>
  <c r="FV262" i="4"/>
  <c r="FV261" i="4"/>
  <c r="FV260" i="4"/>
  <c r="FV259" i="4"/>
  <c r="FV258" i="4"/>
  <c r="FV257" i="4"/>
  <c r="FV256" i="4"/>
  <c r="FV255" i="4"/>
  <c r="FV250" i="4"/>
  <c r="FV249" i="4"/>
  <c r="FV248" i="4"/>
  <c r="FV247" i="4"/>
  <c r="FV246" i="4"/>
  <c r="FV245" i="4"/>
  <c r="FV244" i="4"/>
  <c r="FV243" i="4"/>
  <c r="FV242" i="4"/>
  <c r="FV241" i="4"/>
  <c r="FV240" i="4"/>
  <c r="FV239" i="4"/>
  <c r="FV234" i="4"/>
  <c r="FV233" i="4"/>
  <c r="FV232" i="4"/>
  <c r="FV231" i="4"/>
  <c r="FV230" i="4"/>
  <c r="FV229" i="4"/>
  <c r="FV228" i="4"/>
  <c r="FV227" i="4"/>
  <c r="FV226" i="4"/>
  <c r="FV225" i="4"/>
  <c r="FV224" i="4"/>
  <c r="FV223" i="4"/>
  <c r="FV222" i="4"/>
  <c r="FV221" i="4"/>
  <c r="FV220" i="4"/>
  <c r="FV219" i="4"/>
  <c r="FV218" i="4"/>
  <c r="FV217" i="4"/>
  <c r="FV216" i="4"/>
  <c r="FV215" i="4"/>
  <c r="FV214" i="4"/>
  <c r="FV213" i="4"/>
  <c r="FV212" i="4"/>
  <c r="FV211" i="4"/>
  <c r="FV209" i="4"/>
  <c r="FV210" i="4"/>
  <c r="M29" i="7" l="1"/>
  <c r="P29" i="7" s="1"/>
  <c r="E17" i="7"/>
  <c r="AL10" i="7" s="1"/>
  <c r="E18" i="7"/>
  <c r="AL11" i="7" s="1"/>
  <c r="F19" i="7"/>
  <c r="FV208" i="4"/>
  <c r="FV207" i="4"/>
  <c r="FV206" i="4"/>
  <c r="FV205" i="4"/>
  <c r="FV204" i="4"/>
  <c r="FV203" i="4"/>
  <c r="FV198" i="4"/>
  <c r="FV197" i="4"/>
  <c r="FV196" i="4"/>
  <c r="FV195" i="4"/>
  <c r="FV194" i="4"/>
  <c r="FV193" i="4"/>
  <c r="FV192" i="4"/>
  <c r="FV191" i="4"/>
  <c r="FV190" i="4"/>
  <c r="FV189" i="4"/>
  <c r="FV188" i="4"/>
  <c r="FV187" i="4"/>
  <c r="FV183" i="4"/>
  <c r="FV184" i="4"/>
  <c r="FV185" i="4"/>
  <c r="FV186" i="4"/>
  <c r="FV182" i="4"/>
  <c r="FV181" i="4"/>
  <c r="FV180" i="4"/>
  <c r="FV179" i="4"/>
  <c r="FV178" i="4"/>
  <c r="FV177" i="4"/>
  <c r="FV176" i="4"/>
  <c r="FV175" i="4"/>
  <c r="FV174" i="4"/>
  <c r="FV173" i="4"/>
  <c r="FV172" i="4"/>
  <c r="FV171" i="4"/>
  <c r="FV163" i="4"/>
  <c r="FV164" i="4"/>
  <c r="FV165" i="4"/>
  <c r="FV166" i="4"/>
  <c r="FV167" i="4"/>
  <c r="FV168" i="4"/>
  <c r="FV169" i="4"/>
  <c r="FV170" i="4"/>
  <c r="FV162" i="4"/>
  <c r="FV161" i="4"/>
  <c r="FV160" i="4"/>
  <c r="FV156" i="4"/>
  <c r="FV155" i="4"/>
  <c r="FV154" i="4"/>
  <c r="FV153" i="4"/>
  <c r="FV159" i="4"/>
  <c r="FV158" i="4"/>
  <c r="FV157" i="4"/>
  <c r="FV152" i="4"/>
  <c r="FV151" i="4"/>
  <c r="FV150" i="4"/>
  <c r="FV149" i="4"/>
  <c r="FV148" i="4"/>
  <c r="FV147" i="4"/>
  <c r="FV146" i="4"/>
  <c r="FV145" i="4"/>
  <c r="FV144" i="4"/>
  <c r="FV143" i="4"/>
  <c r="FV142" i="4"/>
  <c r="FV141" i="4"/>
  <c r="FV140" i="4"/>
  <c r="FV139" i="4"/>
  <c r="FV138" i="4"/>
  <c r="FV137" i="4"/>
  <c r="FV133" i="4"/>
  <c r="FV132" i="4"/>
  <c r="FV131" i="4"/>
  <c r="FV130" i="4"/>
  <c r="FV129" i="4"/>
  <c r="FV128" i="4"/>
  <c r="FV127" i="4"/>
  <c r="FV126" i="4"/>
  <c r="FV125" i="4"/>
  <c r="FV124" i="4"/>
  <c r="FV123" i="4"/>
  <c r="FV122" i="4"/>
  <c r="FV121" i="4"/>
  <c r="FV120" i="4"/>
  <c r="FV119" i="4"/>
  <c r="FV118" i="4"/>
  <c r="FV117" i="4"/>
  <c r="FV116" i="4"/>
  <c r="FV115" i="4"/>
  <c r="FV114" i="4"/>
  <c r="FV113" i="4"/>
  <c r="FV112" i="4"/>
  <c r="FV111" i="4"/>
  <c r="FV108" i="4"/>
  <c r="FV107" i="4"/>
  <c r="FV106" i="4"/>
  <c r="FV105" i="4"/>
  <c r="FV104" i="4"/>
  <c r="FV103" i="4"/>
  <c r="FV102" i="4"/>
  <c r="FV101" i="4"/>
  <c r="FV100" i="4"/>
  <c r="FV99" i="4"/>
  <c r="FV95" i="4"/>
  <c r="FV94" i="4"/>
  <c r="FV93" i="4"/>
  <c r="FV618" i="4"/>
  <c r="FV617" i="4"/>
  <c r="FV616" i="4"/>
  <c r="FV615" i="4"/>
  <c r="FV614" i="4"/>
  <c r="FV613" i="4"/>
  <c r="FV610" i="4"/>
  <c r="FV609" i="4"/>
  <c r="FV608" i="4"/>
  <c r="FV605" i="4"/>
  <c r="FV604" i="4"/>
  <c r="FV599" i="4"/>
  <c r="FV598" i="4"/>
  <c r="FV591" i="4"/>
  <c r="FV590" i="4"/>
  <c r="FV581" i="4"/>
  <c r="FV580" i="4"/>
  <c r="FV569" i="4"/>
  <c r="FV568" i="4"/>
  <c r="FV567" i="4"/>
  <c r="FV566" i="4"/>
  <c r="FV565" i="4"/>
  <c r="FV564" i="4"/>
  <c r="FV563" i="4"/>
  <c r="FV562" i="4"/>
  <c r="FV555" i="4"/>
  <c r="FV554" i="4"/>
  <c r="FV553" i="4"/>
  <c r="FV552" i="4"/>
  <c r="FV551" i="4"/>
  <c r="FV550" i="4"/>
  <c r="FV549" i="4"/>
  <c r="FV548" i="4"/>
  <c r="FV539" i="4"/>
  <c r="FV538" i="4"/>
  <c r="FV537" i="4"/>
  <c r="FV536" i="4"/>
  <c r="FV535" i="4"/>
  <c r="FV534" i="4"/>
  <c r="FV533" i="4"/>
  <c r="FV532" i="4"/>
  <c r="FV531" i="4"/>
  <c r="FV530" i="4"/>
  <c r="FV527" i="4"/>
  <c r="FV526" i="4"/>
  <c r="FV523" i="4"/>
  <c r="FV522" i="4"/>
  <c r="FV519" i="4"/>
  <c r="FV518" i="4"/>
  <c r="FV516" i="4"/>
  <c r="FV515" i="4"/>
  <c r="FV514" i="4"/>
  <c r="FV513" i="4"/>
  <c r="FV512" i="4"/>
  <c r="FV511" i="4"/>
  <c r="FV510" i="4"/>
  <c r="FV509" i="4"/>
  <c r="FV508" i="4"/>
  <c r="FV507" i="4"/>
  <c r="FV506" i="4"/>
  <c r="FV505" i="4"/>
  <c r="FV504" i="4"/>
  <c r="FV489" i="4"/>
  <c r="FV488" i="4"/>
  <c r="FV487" i="4"/>
  <c r="FV486" i="4"/>
  <c r="FV485" i="4"/>
  <c r="FV484" i="4"/>
  <c r="FV483" i="4"/>
  <c r="FV482" i="4"/>
  <c r="FV481" i="4"/>
  <c r="FV480" i="4"/>
  <c r="FV479" i="4"/>
  <c r="FV475" i="4"/>
  <c r="FV474" i="4"/>
  <c r="FV473" i="4"/>
  <c r="FV472" i="4"/>
  <c r="FV471" i="4"/>
  <c r="FV470" i="4"/>
  <c r="FV469" i="4"/>
  <c r="FV468" i="4"/>
  <c r="FV467" i="4"/>
  <c r="FV466" i="4"/>
  <c r="FV465" i="4"/>
  <c r="FV464" i="4"/>
  <c r="FV451" i="4"/>
  <c r="FV450" i="4"/>
  <c r="FV449" i="4"/>
  <c r="FV448" i="4"/>
  <c r="FV447" i="4"/>
  <c r="FV446" i="4"/>
  <c r="FV445" i="4"/>
  <c r="FV444" i="4"/>
  <c r="FV443" i="4"/>
  <c r="FV442" i="4"/>
  <c r="FV441" i="4"/>
  <c r="FV440" i="4"/>
  <c r="FV439" i="4"/>
  <c r="FV438" i="4"/>
  <c r="FV437" i="4"/>
  <c r="FV436" i="4"/>
  <c r="FV435" i="4"/>
  <c r="FV434" i="4"/>
  <c r="FV433" i="4"/>
  <c r="FV432" i="4"/>
  <c r="FV431" i="4"/>
  <c r="FV430" i="4"/>
  <c r="FV429" i="4"/>
  <c r="FV428" i="4"/>
  <c r="FV421" i="4"/>
  <c r="FV420" i="4"/>
  <c r="FV419" i="4"/>
  <c r="FV416" i="4"/>
  <c r="FV415" i="4"/>
  <c r="FV414" i="4"/>
  <c r="FV404" i="4"/>
  <c r="FV403" i="4"/>
  <c r="FV402" i="4"/>
  <c r="FV400" i="4"/>
  <c r="FV399" i="4"/>
  <c r="FV398" i="4"/>
  <c r="FV396" i="4"/>
  <c r="FV395" i="4"/>
  <c r="FV394" i="4"/>
  <c r="FV392" i="4"/>
  <c r="FV391" i="4"/>
  <c r="FV390" i="4"/>
  <c r="FV389" i="4"/>
  <c r="FV388" i="4"/>
  <c r="FV387" i="4"/>
  <c r="FV386" i="4"/>
  <c r="FV385" i="4"/>
  <c r="FV376" i="4"/>
  <c r="FV375" i="4"/>
  <c r="FV374" i="4"/>
  <c r="FV373" i="4"/>
  <c r="FV372" i="4"/>
  <c r="FV371" i="4"/>
  <c r="FV370" i="4"/>
  <c r="FV369" i="4"/>
  <c r="FV368" i="4"/>
  <c r="FV367" i="4"/>
  <c r="FV366" i="4"/>
  <c r="FV365" i="4"/>
  <c r="FV364" i="4"/>
  <c r="FV363" i="4"/>
  <c r="FV362" i="4"/>
  <c r="FV361" i="4"/>
  <c r="FV360" i="4"/>
  <c r="FV359" i="4"/>
  <c r="FV356" i="4"/>
  <c r="FV355" i="4"/>
  <c r="FV352" i="4"/>
  <c r="FV351" i="4"/>
  <c r="FV341" i="4"/>
  <c r="FV340" i="4"/>
  <c r="FV339" i="4"/>
  <c r="FV338" i="4"/>
  <c r="FV337" i="4"/>
  <c r="FV336" i="4"/>
  <c r="FV335" i="4"/>
  <c r="FV334" i="4"/>
  <c r="FV333" i="4"/>
  <c r="FV332" i="4"/>
  <c r="FV331" i="4"/>
  <c r="FV330" i="4"/>
  <c r="FV329" i="4"/>
  <c r="FV328" i="4"/>
  <c r="FV327" i="4"/>
  <c r="FV326" i="4"/>
  <c r="FV325" i="4"/>
  <c r="FV324" i="4"/>
  <c r="FV323" i="4"/>
  <c r="FV322" i="4"/>
  <c r="FV319" i="4"/>
  <c r="FV315" i="4"/>
  <c r="FV314" i="4"/>
  <c r="FV311" i="4"/>
  <c r="FV310" i="4"/>
  <c r="FV307" i="4"/>
  <c r="FV306" i="4"/>
  <c r="FV305" i="4"/>
  <c r="FV304" i="4"/>
  <c r="FV303" i="4"/>
  <c r="FV302" i="4"/>
  <c r="FV301" i="4"/>
  <c r="FV299" i="4"/>
  <c r="FV298" i="4"/>
  <c r="FV297" i="4"/>
  <c r="FV296" i="4"/>
  <c r="FV293" i="4"/>
  <c r="FV292" i="4"/>
  <c r="FV289" i="4"/>
  <c r="FV288" i="4"/>
  <c r="FV287" i="4"/>
  <c r="FV280" i="4"/>
  <c r="FV279" i="4"/>
  <c r="FV278" i="4"/>
  <c r="FV277" i="4"/>
  <c r="FV276" i="4"/>
  <c r="FV275" i="4"/>
  <c r="FV274" i="4"/>
  <c r="FV273" i="4"/>
  <c r="FV272" i="4"/>
  <c r="FV271" i="4"/>
  <c r="FV266" i="4"/>
  <c r="FV265" i="4"/>
  <c r="FV264" i="4"/>
  <c r="FV263" i="4"/>
  <c r="FV254" i="4"/>
  <c r="FV253" i="4"/>
  <c r="FV252" i="4"/>
  <c r="FV251" i="4"/>
  <c r="FV238" i="4"/>
  <c r="FV237" i="4"/>
  <c r="FV236" i="4"/>
  <c r="FV235" i="4"/>
  <c r="FV202" i="4"/>
  <c r="FV201" i="4"/>
  <c r="FV200" i="4"/>
  <c r="FV199" i="4"/>
  <c r="FV136" i="4"/>
  <c r="FV135" i="4"/>
  <c r="FV134" i="4"/>
  <c r="FV110" i="4"/>
  <c r="FV109" i="4"/>
  <c r="FV98" i="4"/>
  <c r="FV97" i="4"/>
  <c r="FV96" i="4"/>
  <c r="FV92" i="4"/>
  <c r="FV91" i="4"/>
  <c r="FV90"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FU73" i="4"/>
  <c r="FT73" i="4"/>
  <c r="FS73" i="4"/>
  <c r="FR73" i="4"/>
  <c r="FQ73" i="4"/>
  <c r="FP73" i="4"/>
  <c r="FO73" i="4"/>
  <c r="FN73" i="4"/>
  <c r="FM73" i="4"/>
  <c r="FL73" i="4"/>
  <c r="FK73" i="4"/>
  <c r="FJ73" i="4"/>
  <c r="FI73" i="4"/>
  <c r="FH73" i="4"/>
  <c r="FG73" i="4"/>
  <c r="FF73" i="4"/>
  <c r="FE73" i="4"/>
  <c r="FD73" i="4"/>
  <c r="FC73" i="4"/>
  <c r="FB73" i="4"/>
  <c r="FA73" i="4"/>
  <c r="EZ73" i="4"/>
  <c r="EY73" i="4"/>
  <c r="EX73" i="4"/>
  <c r="EW73" i="4"/>
  <c r="EV73" i="4"/>
  <c r="EU73" i="4"/>
  <c r="ET73" i="4"/>
  <c r="ES73" i="4"/>
  <c r="ER73" i="4"/>
  <c r="EQ73" i="4"/>
  <c r="EP73" i="4"/>
  <c r="EO73" i="4"/>
  <c r="EN73" i="4"/>
  <c r="EM73" i="4"/>
  <c r="EL73" i="4"/>
  <c r="EK73" i="4"/>
  <c r="EJ73" i="4"/>
  <c r="EI73" i="4"/>
  <c r="EH73" i="4"/>
  <c r="EG73" i="4"/>
  <c r="EF73" i="4"/>
  <c r="EE73" i="4"/>
  <c r="ED73" i="4"/>
  <c r="EC73" i="4"/>
  <c r="EB73" i="4"/>
  <c r="EA73" i="4"/>
  <c r="DZ73" i="4"/>
  <c r="DY73" i="4"/>
  <c r="DX73" i="4"/>
  <c r="DW73" i="4"/>
  <c r="DV73" i="4"/>
  <c r="DU73" i="4"/>
  <c r="DT73" i="4"/>
  <c r="DS73"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FV89" i="4"/>
  <c r="FV88" i="4"/>
  <c r="FV87" i="4"/>
  <c r="FV86" i="4"/>
  <c r="FV85" i="4"/>
  <c r="FV84" i="4"/>
  <c r="FV70" i="4"/>
  <c r="FV71" i="4"/>
  <c r="FV72" i="4"/>
  <c r="FV74" i="4"/>
  <c r="FV75" i="4"/>
  <c r="FV76" i="4"/>
  <c r="FV78" i="4"/>
  <c r="FV79" i="4"/>
  <c r="FV80" i="4"/>
  <c r="FV81" i="4"/>
  <c r="FV82" i="4"/>
  <c r="FV83" i="4"/>
  <c r="FU69" i="4"/>
  <c r="FT69" i="4"/>
  <c r="FS69" i="4"/>
  <c r="FR69" i="4"/>
  <c r="FQ69" i="4"/>
  <c r="FP69" i="4"/>
  <c r="FO69" i="4"/>
  <c r="FN69" i="4"/>
  <c r="FM69" i="4"/>
  <c r="FL69" i="4"/>
  <c r="FK69" i="4"/>
  <c r="FJ69" i="4"/>
  <c r="FI69" i="4"/>
  <c r="FH69" i="4"/>
  <c r="FG69" i="4"/>
  <c r="FF69" i="4"/>
  <c r="FE69" i="4"/>
  <c r="FD69" i="4"/>
  <c r="FC69" i="4"/>
  <c r="FB69" i="4"/>
  <c r="FA69" i="4"/>
  <c r="EZ69" i="4"/>
  <c r="EY69" i="4"/>
  <c r="EX69" i="4"/>
  <c r="EW69" i="4"/>
  <c r="EV69" i="4"/>
  <c r="EU69" i="4"/>
  <c r="ET69" i="4"/>
  <c r="ES69" i="4"/>
  <c r="ER69" i="4"/>
  <c r="EQ69" i="4"/>
  <c r="EP69" i="4"/>
  <c r="EO69" i="4"/>
  <c r="EN69" i="4"/>
  <c r="EM69" i="4"/>
  <c r="EL69" i="4"/>
  <c r="EK69" i="4"/>
  <c r="EJ69" i="4"/>
  <c r="EI69" i="4"/>
  <c r="EH69" i="4"/>
  <c r="EG69" i="4"/>
  <c r="EF69" i="4"/>
  <c r="EE69" i="4"/>
  <c r="ED69" i="4"/>
  <c r="EC69" i="4"/>
  <c r="EB69" i="4"/>
  <c r="EA69" i="4"/>
  <c r="DZ69" i="4"/>
  <c r="DY69" i="4"/>
  <c r="DX69" i="4"/>
  <c r="DW69" i="4"/>
  <c r="DV69" i="4"/>
  <c r="DU69" i="4"/>
  <c r="DT69" i="4"/>
  <c r="DS69"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FV66" i="4"/>
  <c r="FV67" i="4"/>
  <c r="FV68" i="4"/>
  <c r="AW61" i="4"/>
  <c r="FU65" i="4"/>
  <c r="FT65" i="4"/>
  <c r="FS65" i="4"/>
  <c r="FR65" i="4"/>
  <c r="FQ65" i="4"/>
  <c r="FP65" i="4"/>
  <c r="FO65" i="4"/>
  <c r="FN65" i="4"/>
  <c r="FM65" i="4"/>
  <c r="FL65" i="4"/>
  <c r="FK65" i="4"/>
  <c r="FJ65" i="4"/>
  <c r="FI65" i="4"/>
  <c r="FH65" i="4"/>
  <c r="FG65" i="4"/>
  <c r="FF65" i="4"/>
  <c r="FE65" i="4"/>
  <c r="FD65" i="4"/>
  <c r="FC65" i="4"/>
  <c r="FB65" i="4"/>
  <c r="FA65" i="4"/>
  <c r="EZ65" i="4"/>
  <c r="EY65" i="4"/>
  <c r="EX65" i="4"/>
  <c r="EW65" i="4"/>
  <c r="EV65" i="4"/>
  <c r="EU65" i="4"/>
  <c r="ET65" i="4"/>
  <c r="ES65" i="4"/>
  <c r="ER65" i="4"/>
  <c r="EQ65" i="4"/>
  <c r="EP65" i="4"/>
  <c r="EO65" i="4"/>
  <c r="EN65" i="4"/>
  <c r="EM65" i="4"/>
  <c r="EL65" i="4"/>
  <c r="EK65" i="4"/>
  <c r="EJ65" i="4"/>
  <c r="EI65" i="4"/>
  <c r="EH65" i="4"/>
  <c r="EG65" i="4"/>
  <c r="EF65" i="4"/>
  <c r="EE65" i="4"/>
  <c r="ED65" i="4"/>
  <c r="EC65" i="4"/>
  <c r="EB65" i="4"/>
  <c r="EA65" i="4"/>
  <c r="DZ65" i="4"/>
  <c r="DY65" i="4"/>
  <c r="DX65" i="4"/>
  <c r="DW65" i="4"/>
  <c r="DV65" i="4"/>
  <c r="DU65" i="4"/>
  <c r="DT65" i="4"/>
  <c r="DS65"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FV64" i="4"/>
  <c r="FV63" i="4"/>
  <c r="FV62" i="4"/>
  <c r="FU53" i="4"/>
  <c r="FT53" i="4"/>
  <c r="FS53" i="4"/>
  <c r="FR53" i="4"/>
  <c r="FQ53" i="4"/>
  <c r="FP53" i="4"/>
  <c r="FO53" i="4"/>
  <c r="FN53" i="4"/>
  <c r="FM53" i="4"/>
  <c r="FL53" i="4"/>
  <c r="FK53" i="4"/>
  <c r="FJ53" i="4"/>
  <c r="FI53" i="4"/>
  <c r="FH53" i="4"/>
  <c r="FG53" i="4"/>
  <c r="FF53" i="4"/>
  <c r="FE53" i="4"/>
  <c r="FD53" i="4"/>
  <c r="FC53" i="4"/>
  <c r="FB53" i="4"/>
  <c r="FA53" i="4"/>
  <c r="EZ53" i="4"/>
  <c r="EY53" i="4"/>
  <c r="EX53" i="4"/>
  <c r="EW53" i="4"/>
  <c r="EV53" i="4"/>
  <c r="EU53" i="4"/>
  <c r="ET53" i="4"/>
  <c r="ES53" i="4"/>
  <c r="ER53" i="4"/>
  <c r="EQ53" i="4"/>
  <c r="EP53" i="4"/>
  <c r="EO53" i="4"/>
  <c r="EN53" i="4"/>
  <c r="EM53" i="4"/>
  <c r="EL53" i="4"/>
  <c r="EK53" i="4"/>
  <c r="EJ53" i="4"/>
  <c r="EI53" i="4"/>
  <c r="EH53" i="4"/>
  <c r="EG53" i="4"/>
  <c r="EF53" i="4"/>
  <c r="EE53" i="4"/>
  <c r="ED53" i="4"/>
  <c r="EC53" i="4"/>
  <c r="EB53" i="4"/>
  <c r="EA53" i="4"/>
  <c r="DZ53" i="4"/>
  <c r="DY53" i="4"/>
  <c r="DX53" i="4"/>
  <c r="DW53" i="4"/>
  <c r="DV53" i="4"/>
  <c r="DU53" i="4"/>
  <c r="DT53" i="4"/>
  <c r="DS53" i="4"/>
  <c r="DR53" i="4"/>
  <c r="DQ53" i="4"/>
  <c r="DP53" i="4"/>
  <c r="DO53" i="4"/>
  <c r="DN53" i="4"/>
  <c r="DM53" i="4"/>
  <c r="DL53" i="4"/>
  <c r="DK53" i="4"/>
  <c r="DJ53" i="4"/>
  <c r="DI53" i="4"/>
  <c r="DH53" i="4"/>
  <c r="DG53" i="4"/>
  <c r="DF53" i="4"/>
  <c r="DE53" i="4"/>
  <c r="DD53" i="4"/>
  <c r="DC53" i="4"/>
  <c r="DB53" i="4"/>
  <c r="DA53" i="4"/>
  <c r="CZ53" i="4"/>
  <c r="CY53" i="4"/>
  <c r="CX53" i="4"/>
  <c r="CW53" i="4"/>
  <c r="CV53" i="4"/>
  <c r="CU53" i="4"/>
  <c r="CT53" i="4"/>
  <c r="CS53" i="4"/>
  <c r="CR53" i="4"/>
  <c r="CQ53" i="4"/>
  <c r="CP53" i="4"/>
  <c r="CO53" i="4"/>
  <c r="CN53" i="4"/>
  <c r="CM53" i="4"/>
  <c r="CL53" i="4"/>
  <c r="CK53" i="4"/>
  <c r="CJ53" i="4"/>
  <c r="CI53" i="4"/>
  <c r="CH53" i="4"/>
  <c r="CG53" i="4"/>
  <c r="CF53" i="4"/>
  <c r="CE53" i="4"/>
  <c r="CD53" i="4"/>
  <c r="CC53" i="4"/>
  <c r="CB53" i="4"/>
  <c r="CA53" i="4"/>
  <c r="BZ53" i="4"/>
  <c r="BY53" i="4"/>
  <c r="BX53" i="4"/>
  <c r="BW53" i="4"/>
  <c r="BV53" i="4"/>
  <c r="BU53" i="4"/>
  <c r="BT53" i="4"/>
  <c r="BS53" i="4"/>
  <c r="BR53" i="4"/>
  <c r="BQ53" i="4"/>
  <c r="BP53" i="4"/>
  <c r="BO53" i="4"/>
  <c r="BN53" i="4"/>
  <c r="BM53" i="4"/>
  <c r="BL53" i="4"/>
  <c r="BK53" i="4"/>
  <c r="BJ53" i="4"/>
  <c r="BI53" i="4"/>
  <c r="BH53" i="4"/>
  <c r="BG53" i="4"/>
  <c r="BF53" i="4"/>
  <c r="BE53" i="4"/>
  <c r="BD53" i="4"/>
  <c r="BC53" i="4"/>
  <c r="BB53" i="4"/>
  <c r="BA53" i="4"/>
  <c r="AZ53" i="4"/>
  <c r="AY53" i="4"/>
  <c r="AX53" i="4"/>
  <c r="AW53" i="4"/>
  <c r="AV53" i="4"/>
  <c r="AU53" i="4"/>
  <c r="AT53" i="4"/>
  <c r="AS53" i="4"/>
  <c r="AR53" i="4"/>
  <c r="AQ53" i="4"/>
  <c r="AP53" i="4"/>
  <c r="AO53" i="4"/>
  <c r="AN53" i="4"/>
  <c r="AM53" i="4"/>
  <c r="AL53" i="4"/>
  <c r="AK53" i="4"/>
  <c r="AJ53" i="4"/>
  <c r="AI53" i="4"/>
  <c r="AH53" i="4"/>
  <c r="AG53" i="4"/>
  <c r="AF53" i="4"/>
  <c r="AE53" i="4"/>
  <c r="AD53" i="4"/>
  <c r="AC53" i="4"/>
  <c r="AB53" i="4"/>
  <c r="AA53" i="4"/>
  <c r="Z53" i="4"/>
  <c r="Y53" i="4"/>
  <c r="X53" i="4"/>
  <c r="W53" i="4"/>
  <c r="V53" i="4"/>
  <c r="U53" i="4"/>
  <c r="T53" i="4"/>
  <c r="S53" i="4"/>
  <c r="R53" i="4"/>
  <c r="Q53" i="4"/>
  <c r="P53" i="4"/>
  <c r="O53" i="4"/>
  <c r="N53" i="4"/>
  <c r="M53" i="4"/>
  <c r="L53" i="4"/>
  <c r="K53" i="4"/>
  <c r="J53" i="4"/>
  <c r="I53" i="4"/>
  <c r="FV52" i="4"/>
  <c r="FV51" i="4"/>
  <c r="FV50" i="4"/>
  <c r="FU61" i="4"/>
  <c r="FT61" i="4"/>
  <c r="FS61" i="4"/>
  <c r="FR61" i="4"/>
  <c r="FQ61" i="4"/>
  <c r="FP61" i="4"/>
  <c r="FO61" i="4"/>
  <c r="FN61" i="4"/>
  <c r="FM61" i="4"/>
  <c r="FL61" i="4"/>
  <c r="FK61" i="4"/>
  <c r="FJ61" i="4"/>
  <c r="FI61" i="4"/>
  <c r="FH61" i="4"/>
  <c r="FG61" i="4"/>
  <c r="FF61" i="4"/>
  <c r="FE61" i="4"/>
  <c r="FD61" i="4"/>
  <c r="FC61" i="4"/>
  <c r="FB61" i="4"/>
  <c r="FA61" i="4"/>
  <c r="EZ61" i="4"/>
  <c r="EY61" i="4"/>
  <c r="EX61" i="4"/>
  <c r="EW61" i="4"/>
  <c r="EV61" i="4"/>
  <c r="EU61" i="4"/>
  <c r="ET61" i="4"/>
  <c r="ES61" i="4"/>
  <c r="ER61" i="4"/>
  <c r="EQ61" i="4"/>
  <c r="EP61" i="4"/>
  <c r="EO61" i="4"/>
  <c r="EN61" i="4"/>
  <c r="EM61" i="4"/>
  <c r="EL61" i="4"/>
  <c r="EK61" i="4"/>
  <c r="EJ61" i="4"/>
  <c r="EI61" i="4"/>
  <c r="EH61" i="4"/>
  <c r="EG61" i="4"/>
  <c r="EF61" i="4"/>
  <c r="EE61" i="4"/>
  <c r="ED61" i="4"/>
  <c r="EC61" i="4"/>
  <c r="EB61" i="4"/>
  <c r="EA61" i="4"/>
  <c r="DZ61" i="4"/>
  <c r="DY61" i="4"/>
  <c r="DX61" i="4"/>
  <c r="DW61" i="4"/>
  <c r="DV61" i="4"/>
  <c r="DU61" i="4"/>
  <c r="DT61" i="4"/>
  <c r="DS61" i="4"/>
  <c r="DR61" i="4"/>
  <c r="DQ61" i="4"/>
  <c r="DP61" i="4"/>
  <c r="DO61" i="4"/>
  <c r="DN61" i="4"/>
  <c r="DM61" i="4"/>
  <c r="DL61" i="4"/>
  <c r="DK61" i="4"/>
  <c r="DJ61" i="4"/>
  <c r="DI61" i="4"/>
  <c r="DH61" i="4"/>
  <c r="DG61" i="4"/>
  <c r="DF61" i="4"/>
  <c r="DE61" i="4"/>
  <c r="DD61" i="4"/>
  <c r="DC61" i="4"/>
  <c r="DB61" i="4"/>
  <c r="DA61" i="4"/>
  <c r="CZ61" i="4"/>
  <c r="CY61" i="4"/>
  <c r="CX61" i="4"/>
  <c r="CW61" i="4"/>
  <c r="CV61" i="4"/>
  <c r="CU61" i="4"/>
  <c r="CT61" i="4"/>
  <c r="CS61" i="4"/>
  <c r="CR61" i="4"/>
  <c r="CQ61" i="4"/>
  <c r="CP61" i="4"/>
  <c r="CO61" i="4"/>
  <c r="CN61" i="4"/>
  <c r="CM61" i="4"/>
  <c r="CL61" i="4"/>
  <c r="CK61" i="4"/>
  <c r="CJ61" i="4"/>
  <c r="CI61" i="4"/>
  <c r="CH61" i="4"/>
  <c r="CG61" i="4"/>
  <c r="CF61" i="4"/>
  <c r="CE61" i="4"/>
  <c r="CD61" i="4"/>
  <c r="CC61" i="4"/>
  <c r="CB61" i="4"/>
  <c r="CA61" i="4"/>
  <c r="BZ61" i="4"/>
  <c r="BY61" i="4"/>
  <c r="BX61" i="4"/>
  <c r="BW61" i="4"/>
  <c r="BV61" i="4"/>
  <c r="BU61" i="4"/>
  <c r="BT61" i="4"/>
  <c r="BS61" i="4"/>
  <c r="BR61" i="4"/>
  <c r="BQ61" i="4"/>
  <c r="BP61" i="4"/>
  <c r="BO61" i="4"/>
  <c r="BN61" i="4"/>
  <c r="BM61" i="4"/>
  <c r="BL61" i="4"/>
  <c r="BK61" i="4"/>
  <c r="BJ61" i="4"/>
  <c r="BI61" i="4"/>
  <c r="BH61" i="4"/>
  <c r="BG61" i="4"/>
  <c r="BF61" i="4"/>
  <c r="BE61" i="4"/>
  <c r="BD61" i="4"/>
  <c r="BC61" i="4"/>
  <c r="BB61" i="4"/>
  <c r="BA61" i="4"/>
  <c r="AZ61" i="4"/>
  <c r="AY61" i="4"/>
  <c r="AX61" i="4"/>
  <c r="AV61" i="4"/>
  <c r="AU61" i="4"/>
  <c r="AT61" i="4"/>
  <c r="AS61" i="4"/>
  <c r="AR61" i="4"/>
  <c r="AQ61" i="4"/>
  <c r="AP61" i="4"/>
  <c r="AO61" i="4"/>
  <c r="AN61" i="4"/>
  <c r="AM61" i="4"/>
  <c r="AL61" i="4"/>
  <c r="AK61" i="4"/>
  <c r="AJ61" i="4"/>
  <c r="AI61" i="4"/>
  <c r="AH61" i="4"/>
  <c r="AG61" i="4"/>
  <c r="AF61" i="4"/>
  <c r="AE61" i="4"/>
  <c r="AD61" i="4"/>
  <c r="AC61" i="4"/>
  <c r="AB61" i="4"/>
  <c r="AA61" i="4"/>
  <c r="Z61" i="4"/>
  <c r="Y61" i="4"/>
  <c r="X61" i="4"/>
  <c r="W61" i="4"/>
  <c r="V61" i="4"/>
  <c r="U61" i="4"/>
  <c r="T61" i="4"/>
  <c r="S61" i="4"/>
  <c r="R61" i="4"/>
  <c r="Q61" i="4"/>
  <c r="P61" i="4"/>
  <c r="O61" i="4"/>
  <c r="N61" i="4"/>
  <c r="M61" i="4"/>
  <c r="L61" i="4"/>
  <c r="K61" i="4"/>
  <c r="J61" i="4"/>
  <c r="I61" i="4"/>
  <c r="FV60" i="4"/>
  <c r="FV59" i="4"/>
  <c r="FV58" i="4"/>
  <c r="FU57" i="4"/>
  <c r="FT57" i="4"/>
  <c r="FS57" i="4"/>
  <c r="FR57" i="4"/>
  <c r="FQ57" i="4"/>
  <c r="FP57" i="4"/>
  <c r="FO57" i="4"/>
  <c r="FN57" i="4"/>
  <c r="FM57" i="4"/>
  <c r="FL57" i="4"/>
  <c r="FK57" i="4"/>
  <c r="FJ57" i="4"/>
  <c r="FI57" i="4"/>
  <c r="FH57" i="4"/>
  <c r="FG57" i="4"/>
  <c r="FF57" i="4"/>
  <c r="FE57" i="4"/>
  <c r="FD57" i="4"/>
  <c r="FC57" i="4"/>
  <c r="FB57" i="4"/>
  <c r="FA57" i="4"/>
  <c r="EZ57" i="4"/>
  <c r="EY57" i="4"/>
  <c r="EX57" i="4"/>
  <c r="EW57" i="4"/>
  <c r="EV57" i="4"/>
  <c r="EU57" i="4"/>
  <c r="ET57" i="4"/>
  <c r="ES57" i="4"/>
  <c r="ER57" i="4"/>
  <c r="EQ57" i="4"/>
  <c r="EP57" i="4"/>
  <c r="EO57" i="4"/>
  <c r="EN57" i="4"/>
  <c r="EM57" i="4"/>
  <c r="EL57" i="4"/>
  <c r="EK57" i="4"/>
  <c r="EJ57" i="4"/>
  <c r="EI57" i="4"/>
  <c r="EH57" i="4"/>
  <c r="EG57" i="4"/>
  <c r="EF57" i="4"/>
  <c r="EE57" i="4"/>
  <c r="ED57" i="4"/>
  <c r="EC57" i="4"/>
  <c r="EB57" i="4"/>
  <c r="EA57" i="4"/>
  <c r="DZ57" i="4"/>
  <c r="DY57" i="4"/>
  <c r="DX57" i="4"/>
  <c r="DW57" i="4"/>
  <c r="DV57" i="4"/>
  <c r="DU57" i="4"/>
  <c r="DT57" i="4"/>
  <c r="DS57" i="4"/>
  <c r="DR57" i="4"/>
  <c r="DQ57" i="4"/>
  <c r="DP57" i="4"/>
  <c r="DO57" i="4"/>
  <c r="DN57" i="4"/>
  <c r="DM57" i="4"/>
  <c r="DL57" i="4"/>
  <c r="DK57" i="4"/>
  <c r="DJ57" i="4"/>
  <c r="DI57" i="4"/>
  <c r="DH57" i="4"/>
  <c r="DG57" i="4"/>
  <c r="DF57" i="4"/>
  <c r="DE57" i="4"/>
  <c r="DD57" i="4"/>
  <c r="DC57" i="4"/>
  <c r="DB57" i="4"/>
  <c r="DA57" i="4"/>
  <c r="CZ57" i="4"/>
  <c r="CY57" i="4"/>
  <c r="CX57" i="4"/>
  <c r="CW57" i="4"/>
  <c r="CV57" i="4"/>
  <c r="CU57" i="4"/>
  <c r="CT57" i="4"/>
  <c r="CS57" i="4"/>
  <c r="CR57" i="4"/>
  <c r="CQ57" i="4"/>
  <c r="CP57" i="4"/>
  <c r="CO57" i="4"/>
  <c r="CN57" i="4"/>
  <c r="CM57" i="4"/>
  <c r="CL57" i="4"/>
  <c r="CK57" i="4"/>
  <c r="CJ57" i="4"/>
  <c r="CI57" i="4"/>
  <c r="CH57" i="4"/>
  <c r="CG57" i="4"/>
  <c r="CF57" i="4"/>
  <c r="CE57" i="4"/>
  <c r="CD57" i="4"/>
  <c r="CC57" i="4"/>
  <c r="CB57" i="4"/>
  <c r="CA57" i="4"/>
  <c r="BZ57" i="4"/>
  <c r="BY57" i="4"/>
  <c r="BX57" i="4"/>
  <c r="BW57" i="4"/>
  <c r="BV57" i="4"/>
  <c r="BU57" i="4"/>
  <c r="BT57" i="4"/>
  <c r="BS57" i="4"/>
  <c r="BR57" i="4"/>
  <c r="BQ57" i="4"/>
  <c r="BP57" i="4"/>
  <c r="BO57" i="4"/>
  <c r="BN57" i="4"/>
  <c r="BM57" i="4"/>
  <c r="BL57" i="4"/>
  <c r="BK57" i="4"/>
  <c r="BJ57" i="4"/>
  <c r="BI57" i="4"/>
  <c r="BH57" i="4"/>
  <c r="BG57" i="4"/>
  <c r="BF57" i="4"/>
  <c r="BE57" i="4"/>
  <c r="BD57" i="4"/>
  <c r="BC57" i="4"/>
  <c r="BB57" i="4"/>
  <c r="BA57" i="4"/>
  <c r="AZ57" i="4"/>
  <c r="AY57" i="4"/>
  <c r="AX57" i="4"/>
  <c r="AW57" i="4"/>
  <c r="AV57" i="4"/>
  <c r="AU57" i="4"/>
  <c r="AT57" i="4"/>
  <c r="AS57" i="4"/>
  <c r="AR57" i="4"/>
  <c r="AQ57" i="4"/>
  <c r="AP57" i="4"/>
  <c r="AO57" i="4"/>
  <c r="AN57" i="4"/>
  <c r="AM57" i="4"/>
  <c r="AL57" i="4"/>
  <c r="AK57" i="4"/>
  <c r="AJ57" i="4"/>
  <c r="AI57" i="4"/>
  <c r="AH57" i="4"/>
  <c r="AG57" i="4"/>
  <c r="AF57" i="4"/>
  <c r="AE57" i="4"/>
  <c r="AD57" i="4"/>
  <c r="AC57" i="4"/>
  <c r="AB57" i="4"/>
  <c r="AA57" i="4"/>
  <c r="Z57" i="4"/>
  <c r="Y57" i="4"/>
  <c r="X57" i="4"/>
  <c r="W57" i="4"/>
  <c r="V57" i="4"/>
  <c r="U57" i="4"/>
  <c r="T57" i="4"/>
  <c r="S57" i="4"/>
  <c r="R57" i="4"/>
  <c r="Q57" i="4"/>
  <c r="P57" i="4"/>
  <c r="O57" i="4"/>
  <c r="N57" i="4"/>
  <c r="M57" i="4"/>
  <c r="L57" i="4"/>
  <c r="K57" i="4"/>
  <c r="J57" i="4"/>
  <c r="I57" i="4"/>
  <c r="FV56" i="4"/>
  <c r="FV55" i="4"/>
  <c r="FV54" i="4"/>
  <c r="FU49" i="4"/>
  <c r="FT49" i="4"/>
  <c r="FS49" i="4"/>
  <c r="FR49" i="4"/>
  <c r="FQ49" i="4"/>
  <c r="FP49" i="4"/>
  <c r="FO49" i="4"/>
  <c r="FN49" i="4"/>
  <c r="FM49" i="4"/>
  <c r="FL49" i="4"/>
  <c r="FK49" i="4"/>
  <c r="FJ49" i="4"/>
  <c r="FI49" i="4"/>
  <c r="FH49" i="4"/>
  <c r="FG49" i="4"/>
  <c r="FF49" i="4"/>
  <c r="FE49" i="4"/>
  <c r="FD49" i="4"/>
  <c r="FC49" i="4"/>
  <c r="FB49" i="4"/>
  <c r="FA49" i="4"/>
  <c r="EZ49" i="4"/>
  <c r="EY49" i="4"/>
  <c r="EX49" i="4"/>
  <c r="EW49" i="4"/>
  <c r="EV49" i="4"/>
  <c r="EU49" i="4"/>
  <c r="ET49" i="4"/>
  <c r="ES49" i="4"/>
  <c r="ER49" i="4"/>
  <c r="EQ49" i="4"/>
  <c r="EP49" i="4"/>
  <c r="EO49" i="4"/>
  <c r="EN49" i="4"/>
  <c r="EM49" i="4"/>
  <c r="EL49" i="4"/>
  <c r="EK49" i="4"/>
  <c r="EJ49" i="4"/>
  <c r="EI49" i="4"/>
  <c r="EH49" i="4"/>
  <c r="EG49" i="4"/>
  <c r="EF49" i="4"/>
  <c r="EE49" i="4"/>
  <c r="ED49" i="4"/>
  <c r="EC49" i="4"/>
  <c r="EB49" i="4"/>
  <c r="EA49" i="4"/>
  <c r="DZ49" i="4"/>
  <c r="DY49" i="4"/>
  <c r="DX49" i="4"/>
  <c r="DW49" i="4"/>
  <c r="DV49" i="4"/>
  <c r="DU49" i="4"/>
  <c r="DT49" i="4"/>
  <c r="DS49" i="4"/>
  <c r="DR49" i="4"/>
  <c r="DQ49" i="4"/>
  <c r="DP49" i="4"/>
  <c r="DO49" i="4"/>
  <c r="DN49" i="4"/>
  <c r="DM49" i="4"/>
  <c r="DL49" i="4"/>
  <c r="DK49" i="4"/>
  <c r="DJ49" i="4"/>
  <c r="DI49" i="4"/>
  <c r="DH49" i="4"/>
  <c r="DG49" i="4"/>
  <c r="DF49" i="4"/>
  <c r="DE49" i="4"/>
  <c r="DD49" i="4"/>
  <c r="DC49" i="4"/>
  <c r="DB49" i="4"/>
  <c r="DA49" i="4"/>
  <c r="CZ49" i="4"/>
  <c r="CY49" i="4"/>
  <c r="CX49" i="4"/>
  <c r="CW49" i="4"/>
  <c r="CV49" i="4"/>
  <c r="CU49" i="4"/>
  <c r="CT49" i="4"/>
  <c r="CS49" i="4"/>
  <c r="CR49" i="4"/>
  <c r="CQ49" i="4"/>
  <c r="CP49" i="4"/>
  <c r="CO49" i="4"/>
  <c r="CN49" i="4"/>
  <c r="CM49" i="4"/>
  <c r="CL49" i="4"/>
  <c r="CK49" i="4"/>
  <c r="CJ49" i="4"/>
  <c r="CI49" i="4"/>
  <c r="CH49" i="4"/>
  <c r="CG49" i="4"/>
  <c r="CF49" i="4"/>
  <c r="CE49" i="4"/>
  <c r="CD49" i="4"/>
  <c r="CC49" i="4"/>
  <c r="CB49" i="4"/>
  <c r="CA49" i="4"/>
  <c r="BZ49" i="4"/>
  <c r="BY49" i="4"/>
  <c r="BX49" i="4"/>
  <c r="BW49" i="4"/>
  <c r="BV49" i="4"/>
  <c r="BU49" i="4"/>
  <c r="BT49" i="4"/>
  <c r="BS49" i="4"/>
  <c r="BR49" i="4"/>
  <c r="BQ49" i="4"/>
  <c r="BP49" i="4"/>
  <c r="BO49" i="4"/>
  <c r="BN49" i="4"/>
  <c r="BM49" i="4"/>
  <c r="BL49" i="4"/>
  <c r="BK49" i="4"/>
  <c r="BJ49" i="4"/>
  <c r="BI49" i="4"/>
  <c r="BH49" i="4"/>
  <c r="BG49" i="4"/>
  <c r="BF49" i="4"/>
  <c r="BE49" i="4"/>
  <c r="BD49" i="4"/>
  <c r="BC49" i="4"/>
  <c r="BB49" i="4"/>
  <c r="BA49" i="4"/>
  <c r="AZ49" i="4"/>
  <c r="AY49" i="4"/>
  <c r="AX49" i="4"/>
  <c r="AW49" i="4"/>
  <c r="AV49" i="4"/>
  <c r="AU49" i="4"/>
  <c r="AT49" i="4"/>
  <c r="AS49" i="4"/>
  <c r="AR49" i="4"/>
  <c r="AQ49" i="4"/>
  <c r="AP49" i="4"/>
  <c r="AO49" i="4"/>
  <c r="AN49" i="4"/>
  <c r="AM49" i="4"/>
  <c r="AL49" i="4"/>
  <c r="AK49" i="4"/>
  <c r="AJ49" i="4"/>
  <c r="AI49" i="4"/>
  <c r="AH49" i="4"/>
  <c r="AG49" i="4"/>
  <c r="AF49" i="4"/>
  <c r="AE49" i="4"/>
  <c r="AD49" i="4"/>
  <c r="AC49" i="4"/>
  <c r="AB49" i="4"/>
  <c r="AA49" i="4"/>
  <c r="Z49" i="4"/>
  <c r="Y49" i="4"/>
  <c r="X49" i="4"/>
  <c r="W49" i="4"/>
  <c r="V49" i="4"/>
  <c r="U49" i="4"/>
  <c r="T49" i="4"/>
  <c r="S49" i="4"/>
  <c r="R49" i="4"/>
  <c r="Q49" i="4"/>
  <c r="P49" i="4"/>
  <c r="O49" i="4"/>
  <c r="N49" i="4"/>
  <c r="M49" i="4"/>
  <c r="L49" i="4"/>
  <c r="K49" i="4"/>
  <c r="J49" i="4"/>
  <c r="I49" i="4"/>
  <c r="FV48" i="4"/>
  <c r="FV47" i="4"/>
  <c r="FV46" i="4"/>
  <c r="FU45" i="4"/>
  <c r="FT45" i="4"/>
  <c r="FS45" i="4"/>
  <c r="FR45" i="4"/>
  <c r="FQ45" i="4"/>
  <c r="FP45" i="4"/>
  <c r="FO45" i="4"/>
  <c r="FN45" i="4"/>
  <c r="FM45" i="4"/>
  <c r="FL45" i="4"/>
  <c r="FK45" i="4"/>
  <c r="FJ45" i="4"/>
  <c r="FI45" i="4"/>
  <c r="FH45" i="4"/>
  <c r="FG45" i="4"/>
  <c r="FF45" i="4"/>
  <c r="FE45" i="4"/>
  <c r="FD45" i="4"/>
  <c r="FC45" i="4"/>
  <c r="FB45" i="4"/>
  <c r="FA45" i="4"/>
  <c r="EZ45" i="4"/>
  <c r="EY45" i="4"/>
  <c r="EX45" i="4"/>
  <c r="EW45" i="4"/>
  <c r="EV45" i="4"/>
  <c r="EU45" i="4"/>
  <c r="ET45" i="4"/>
  <c r="ES45" i="4"/>
  <c r="ER45" i="4"/>
  <c r="EQ45" i="4"/>
  <c r="EP45" i="4"/>
  <c r="EO45" i="4"/>
  <c r="EN45" i="4"/>
  <c r="EM45" i="4"/>
  <c r="EL45" i="4"/>
  <c r="EK45" i="4"/>
  <c r="EJ45" i="4"/>
  <c r="EI45" i="4"/>
  <c r="EH45" i="4"/>
  <c r="EG45" i="4"/>
  <c r="EF45" i="4"/>
  <c r="EE45" i="4"/>
  <c r="ED45" i="4"/>
  <c r="EC45" i="4"/>
  <c r="EB45" i="4"/>
  <c r="EA45" i="4"/>
  <c r="DZ45" i="4"/>
  <c r="DY45" i="4"/>
  <c r="DX45" i="4"/>
  <c r="DW45" i="4"/>
  <c r="DV45" i="4"/>
  <c r="DU45" i="4"/>
  <c r="DT45" i="4"/>
  <c r="DS45" i="4"/>
  <c r="DR45" i="4"/>
  <c r="DQ45" i="4"/>
  <c r="DP45" i="4"/>
  <c r="DO45" i="4"/>
  <c r="DN45" i="4"/>
  <c r="DM45" i="4"/>
  <c r="DL45" i="4"/>
  <c r="DK45" i="4"/>
  <c r="DJ45" i="4"/>
  <c r="DI45" i="4"/>
  <c r="DH45" i="4"/>
  <c r="DG45" i="4"/>
  <c r="DF45" i="4"/>
  <c r="DE45" i="4"/>
  <c r="DD45" i="4"/>
  <c r="DC45" i="4"/>
  <c r="DB45" i="4"/>
  <c r="DA45" i="4"/>
  <c r="CZ45" i="4"/>
  <c r="CY45" i="4"/>
  <c r="CX45" i="4"/>
  <c r="CW45" i="4"/>
  <c r="CV45" i="4"/>
  <c r="CU45" i="4"/>
  <c r="CT45" i="4"/>
  <c r="CS45" i="4"/>
  <c r="CR45" i="4"/>
  <c r="CQ45" i="4"/>
  <c r="CP45" i="4"/>
  <c r="CO45" i="4"/>
  <c r="CN45" i="4"/>
  <c r="CM45" i="4"/>
  <c r="CL45" i="4"/>
  <c r="CK45" i="4"/>
  <c r="CJ45" i="4"/>
  <c r="CI45" i="4"/>
  <c r="CH45" i="4"/>
  <c r="CG45" i="4"/>
  <c r="CF45" i="4"/>
  <c r="CE45" i="4"/>
  <c r="CD45" i="4"/>
  <c r="CC45" i="4"/>
  <c r="CB45" i="4"/>
  <c r="CA45" i="4"/>
  <c r="BZ45" i="4"/>
  <c r="BY45" i="4"/>
  <c r="BX45" i="4"/>
  <c r="BW45" i="4"/>
  <c r="BV45" i="4"/>
  <c r="BU45" i="4"/>
  <c r="BT45" i="4"/>
  <c r="BS45" i="4"/>
  <c r="BR45" i="4"/>
  <c r="BQ45" i="4"/>
  <c r="BP45" i="4"/>
  <c r="BO45" i="4"/>
  <c r="BN45" i="4"/>
  <c r="BM45" i="4"/>
  <c r="BL45" i="4"/>
  <c r="BK45" i="4"/>
  <c r="BJ45" i="4"/>
  <c r="BI45" i="4"/>
  <c r="BH45" i="4"/>
  <c r="BG45" i="4"/>
  <c r="BF45" i="4"/>
  <c r="BE45" i="4"/>
  <c r="BD45" i="4"/>
  <c r="BC45" i="4"/>
  <c r="BB45" i="4"/>
  <c r="BA45" i="4"/>
  <c r="AZ45" i="4"/>
  <c r="AY45" i="4"/>
  <c r="AX45" i="4"/>
  <c r="AW45" i="4"/>
  <c r="AV45" i="4"/>
  <c r="AU45" i="4"/>
  <c r="AT45" i="4"/>
  <c r="AS45" i="4"/>
  <c r="AR45" i="4"/>
  <c r="AQ45" i="4"/>
  <c r="AP45" i="4"/>
  <c r="AO45" i="4"/>
  <c r="AN45" i="4"/>
  <c r="AM45" i="4"/>
  <c r="AL45" i="4"/>
  <c r="AK45" i="4"/>
  <c r="AJ45" i="4"/>
  <c r="AI45" i="4"/>
  <c r="AH45" i="4"/>
  <c r="AG45" i="4"/>
  <c r="AF45" i="4"/>
  <c r="AE45" i="4"/>
  <c r="AD45" i="4"/>
  <c r="AC45" i="4"/>
  <c r="AB45" i="4"/>
  <c r="AA45" i="4"/>
  <c r="Z45" i="4"/>
  <c r="Y45" i="4"/>
  <c r="X45" i="4"/>
  <c r="W45" i="4"/>
  <c r="V45" i="4"/>
  <c r="U45" i="4"/>
  <c r="T45" i="4"/>
  <c r="S45" i="4"/>
  <c r="R45" i="4"/>
  <c r="Q45" i="4"/>
  <c r="P45" i="4"/>
  <c r="O45" i="4"/>
  <c r="N45" i="4"/>
  <c r="M45" i="4"/>
  <c r="L45" i="4"/>
  <c r="K45" i="4"/>
  <c r="J45" i="4"/>
  <c r="I45" i="4"/>
  <c r="FV44" i="4"/>
  <c r="FV43" i="4"/>
  <c r="FV42" i="4"/>
  <c r="FU41" i="4"/>
  <c r="FT41" i="4"/>
  <c r="FS41" i="4"/>
  <c r="FR41" i="4"/>
  <c r="FQ41" i="4"/>
  <c r="FP41" i="4"/>
  <c r="FO41" i="4"/>
  <c r="FN41" i="4"/>
  <c r="FM41" i="4"/>
  <c r="FL41" i="4"/>
  <c r="FK41" i="4"/>
  <c r="FJ41" i="4"/>
  <c r="FI41" i="4"/>
  <c r="FH41" i="4"/>
  <c r="FG41" i="4"/>
  <c r="FF41" i="4"/>
  <c r="FE41" i="4"/>
  <c r="FD41" i="4"/>
  <c r="FC41" i="4"/>
  <c r="FB41" i="4"/>
  <c r="FA41" i="4"/>
  <c r="EZ41" i="4"/>
  <c r="EY41" i="4"/>
  <c r="EX41" i="4"/>
  <c r="EW41" i="4"/>
  <c r="EV41" i="4"/>
  <c r="EU41" i="4"/>
  <c r="ET41" i="4"/>
  <c r="ES41" i="4"/>
  <c r="ER41" i="4"/>
  <c r="EQ41" i="4"/>
  <c r="EP41" i="4"/>
  <c r="EO41" i="4"/>
  <c r="EN41" i="4"/>
  <c r="EM41" i="4"/>
  <c r="EL41" i="4"/>
  <c r="EK41" i="4"/>
  <c r="EJ41" i="4"/>
  <c r="EI41" i="4"/>
  <c r="EH41" i="4"/>
  <c r="EG41" i="4"/>
  <c r="EF41" i="4"/>
  <c r="EE41" i="4"/>
  <c r="ED41" i="4"/>
  <c r="EC41" i="4"/>
  <c r="EB41" i="4"/>
  <c r="EA41" i="4"/>
  <c r="DZ41" i="4"/>
  <c r="DY41" i="4"/>
  <c r="DX41" i="4"/>
  <c r="DW41" i="4"/>
  <c r="DV41" i="4"/>
  <c r="DU41" i="4"/>
  <c r="DT41" i="4"/>
  <c r="DS41" i="4"/>
  <c r="DR41" i="4"/>
  <c r="DQ41" i="4"/>
  <c r="DP41" i="4"/>
  <c r="DO41" i="4"/>
  <c r="DN41" i="4"/>
  <c r="DM41" i="4"/>
  <c r="DL41" i="4"/>
  <c r="DK41" i="4"/>
  <c r="DJ41" i="4"/>
  <c r="DI41" i="4"/>
  <c r="DH41" i="4"/>
  <c r="DG41" i="4"/>
  <c r="DF41" i="4"/>
  <c r="DE41" i="4"/>
  <c r="DD41" i="4"/>
  <c r="DC41" i="4"/>
  <c r="DB41" i="4"/>
  <c r="DA41" i="4"/>
  <c r="CZ41" i="4"/>
  <c r="CY41" i="4"/>
  <c r="CX41" i="4"/>
  <c r="CW41" i="4"/>
  <c r="CV41" i="4"/>
  <c r="CU41" i="4"/>
  <c r="CT41" i="4"/>
  <c r="CS41" i="4"/>
  <c r="CR41" i="4"/>
  <c r="CQ41" i="4"/>
  <c r="CP41" i="4"/>
  <c r="CO41" i="4"/>
  <c r="CN41" i="4"/>
  <c r="CM41" i="4"/>
  <c r="CL41" i="4"/>
  <c r="CK41" i="4"/>
  <c r="CJ41" i="4"/>
  <c r="CI41" i="4"/>
  <c r="CH41" i="4"/>
  <c r="CG41" i="4"/>
  <c r="CF41" i="4"/>
  <c r="CE41" i="4"/>
  <c r="CD41" i="4"/>
  <c r="CC41" i="4"/>
  <c r="CB41" i="4"/>
  <c r="CA41" i="4"/>
  <c r="BZ41" i="4"/>
  <c r="BY41" i="4"/>
  <c r="BX41" i="4"/>
  <c r="BW41" i="4"/>
  <c r="BV41" i="4"/>
  <c r="BU41" i="4"/>
  <c r="BT41" i="4"/>
  <c r="BS41" i="4"/>
  <c r="BR41" i="4"/>
  <c r="BQ41" i="4"/>
  <c r="BP41" i="4"/>
  <c r="BO41" i="4"/>
  <c r="BN41" i="4"/>
  <c r="BM41" i="4"/>
  <c r="BL41" i="4"/>
  <c r="BK41" i="4"/>
  <c r="BJ41" i="4"/>
  <c r="BI41" i="4"/>
  <c r="BH41" i="4"/>
  <c r="BG41" i="4"/>
  <c r="BF41" i="4"/>
  <c r="BE41" i="4"/>
  <c r="BD41" i="4"/>
  <c r="BC41" i="4"/>
  <c r="BB41" i="4"/>
  <c r="BA41" i="4"/>
  <c r="AZ41" i="4"/>
  <c r="AY41" i="4"/>
  <c r="AX41" i="4"/>
  <c r="AW41" i="4"/>
  <c r="AV41" i="4"/>
  <c r="AU41" i="4"/>
  <c r="AT41" i="4"/>
  <c r="AS41" i="4"/>
  <c r="AR41" i="4"/>
  <c r="AQ41" i="4"/>
  <c r="AP41" i="4"/>
  <c r="AO41" i="4"/>
  <c r="AN41" i="4"/>
  <c r="AM41" i="4"/>
  <c r="AL41" i="4"/>
  <c r="AK41" i="4"/>
  <c r="AJ41" i="4"/>
  <c r="AI41" i="4"/>
  <c r="AH41" i="4"/>
  <c r="AG41" i="4"/>
  <c r="AF41" i="4"/>
  <c r="AE41" i="4"/>
  <c r="AD41" i="4"/>
  <c r="AC41" i="4"/>
  <c r="AB41" i="4"/>
  <c r="AA41" i="4"/>
  <c r="Z41" i="4"/>
  <c r="Y41" i="4"/>
  <c r="X41" i="4"/>
  <c r="W41" i="4"/>
  <c r="V41" i="4"/>
  <c r="U41" i="4"/>
  <c r="T41" i="4"/>
  <c r="S41" i="4"/>
  <c r="R41" i="4"/>
  <c r="Q41" i="4"/>
  <c r="P41" i="4"/>
  <c r="O41" i="4"/>
  <c r="N41" i="4"/>
  <c r="M41" i="4"/>
  <c r="L41" i="4"/>
  <c r="K41" i="4"/>
  <c r="J41" i="4"/>
  <c r="I41" i="4"/>
  <c r="FV40" i="4"/>
  <c r="FV39" i="4"/>
  <c r="FV38" i="4"/>
  <c r="FU37" i="4"/>
  <c r="FT37" i="4"/>
  <c r="FS37" i="4"/>
  <c r="FR37" i="4"/>
  <c r="FQ37" i="4"/>
  <c r="FP37" i="4"/>
  <c r="FO37" i="4"/>
  <c r="FN37" i="4"/>
  <c r="FM37" i="4"/>
  <c r="FL37" i="4"/>
  <c r="FK37" i="4"/>
  <c r="FJ37" i="4"/>
  <c r="FI37" i="4"/>
  <c r="FH37" i="4"/>
  <c r="FG37" i="4"/>
  <c r="FF37" i="4"/>
  <c r="FE37" i="4"/>
  <c r="FD37" i="4"/>
  <c r="FC37" i="4"/>
  <c r="FB37" i="4"/>
  <c r="FA37" i="4"/>
  <c r="EZ37" i="4"/>
  <c r="EY37" i="4"/>
  <c r="EX37" i="4"/>
  <c r="EW37" i="4"/>
  <c r="EV37" i="4"/>
  <c r="EU37" i="4"/>
  <c r="ET37" i="4"/>
  <c r="ES37" i="4"/>
  <c r="ER37" i="4"/>
  <c r="EQ37" i="4"/>
  <c r="EP37" i="4"/>
  <c r="EO37" i="4"/>
  <c r="EN37" i="4"/>
  <c r="EM37" i="4"/>
  <c r="EL37" i="4"/>
  <c r="EK37" i="4"/>
  <c r="EJ37" i="4"/>
  <c r="EI37" i="4"/>
  <c r="EH37" i="4"/>
  <c r="EG37" i="4"/>
  <c r="EF37" i="4"/>
  <c r="EE37" i="4"/>
  <c r="ED37" i="4"/>
  <c r="EC37" i="4"/>
  <c r="EB37" i="4"/>
  <c r="EA37" i="4"/>
  <c r="DZ37" i="4"/>
  <c r="DY37" i="4"/>
  <c r="DX37" i="4"/>
  <c r="DW37" i="4"/>
  <c r="DV37" i="4"/>
  <c r="DU37" i="4"/>
  <c r="DT37" i="4"/>
  <c r="DS37" i="4"/>
  <c r="DR37" i="4"/>
  <c r="DQ37" i="4"/>
  <c r="DP37" i="4"/>
  <c r="DO37" i="4"/>
  <c r="DN37" i="4"/>
  <c r="DM37" i="4"/>
  <c r="DL37" i="4"/>
  <c r="DK37" i="4"/>
  <c r="DJ37" i="4"/>
  <c r="DI37" i="4"/>
  <c r="DH37" i="4"/>
  <c r="DG37" i="4"/>
  <c r="DF37" i="4"/>
  <c r="DE37" i="4"/>
  <c r="DD37" i="4"/>
  <c r="DC37" i="4"/>
  <c r="DB37" i="4"/>
  <c r="DA37" i="4"/>
  <c r="CZ37" i="4"/>
  <c r="CY37" i="4"/>
  <c r="CX37" i="4"/>
  <c r="CW37" i="4"/>
  <c r="CV37" i="4"/>
  <c r="CU37" i="4"/>
  <c r="CT37" i="4"/>
  <c r="CS37" i="4"/>
  <c r="CR37" i="4"/>
  <c r="CQ37" i="4"/>
  <c r="CP37" i="4"/>
  <c r="CO37" i="4"/>
  <c r="CN37" i="4"/>
  <c r="CM37" i="4"/>
  <c r="CL37" i="4"/>
  <c r="CK37" i="4"/>
  <c r="CJ37" i="4"/>
  <c r="CI37" i="4"/>
  <c r="CH37" i="4"/>
  <c r="CG37" i="4"/>
  <c r="CF37" i="4"/>
  <c r="CE37" i="4"/>
  <c r="CD37" i="4"/>
  <c r="CC37" i="4"/>
  <c r="CB37" i="4"/>
  <c r="CA37" i="4"/>
  <c r="BZ37" i="4"/>
  <c r="BY37" i="4"/>
  <c r="BX37" i="4"/>
  <c r="BW37" i="4"/>
  <c r="BV37" i="4"/>
  <c r="BU37" i="4"/>
  <c r="BT37" i="4"/>
  <c r="BS37" i="4"/>
  <c r="BR37" i="4"/>
  <c r="BQ37" i="4"/>
  <c r="BP37" i="4"/>
  <c r="BO37" i="4"/>
  <c r="BN37" i="4"/>
  <c r="BM37" i="4"/>
  <c r="BL37" i="4"/>
  <c r="BK37" i="4"/>
  <c r="BJ37" i="4"/>
  <c r="BI37" i="4"/>
  <c r="BH37" i="4"/>
  <c r="BG37" i="4"/>
  <c r="BF37" i="4"/>
  <c r="BE37" i="4"/>
  <c r="BD37" i="4"/>
  <c r="BC37" i="4"/>
  <c r="BB37" i="4"/>
  <c r="BA37" i="4"/>
  <c r="AZ37" i="4"/>
  <c r="AY37" i="4"/>
  <c r="AX37" i="4"/>
  <c r="AW37" i="4"/>
  <c r="AV37" i="4"/>
  <c r="AU37" i="4"/>
  <c r="AT37" i="4"/>
  <c r="AS37" i="4"/>
  <c r="AR37" i="4"/>
  <c r="AQ37" i="4"/>
  <c r="AP37" i="4"/>
  <c r="AO37" i="4"/>
  <c r="AN37" i="4"/>
  <c r="AM37" i="4"/>
  <c r="AL37" i="4"/>
  <c r="AK37" i="4"/>
  <c r="AJ37" i="4"/>
  <c r="AI37" i="4"/>
  <c r="AH37" i="4"/>
  <c r="AG37" i="4"/>
  <c r="AF37" i="4"/>
  <c r="AE37" i="4"/>
  <c r="AD37" i="4"/>
  <c r="AC37" i="4"/>
  <c r="AB37" i="4"/>
  <c r="AA37" i="4"/>
  <c r="Z37" i="4"/>
  <c r="Y37" i="4"/>
  <c r="X37" i="4"/>
  <c r="W37" i="4"/>
  <c r="V37" i="4"/>
  <c r="U37" i="4"/>
  <c r="T37" i="4"/>
  <c r="S37" i="4"/>
  <c r="R37" i="4"/>
  <c r="Q37" i="4"/>
  <c r="P37" i="4"/>
  <c r="O37" i="4"/>
  <c r="N37" i="4"/>
  <c r="M37" i="4"/>
  <c r="L37" i="4"/>
  <c r="K37" i="4"/>
  <c r="J37" i="4"/>
  <c r="I37" i="4"/>
  <c r="FV36" i="4"/>
  <c r="FV35" i="4"/>
  <c r="FV34" i="4"/>
  <c r="FV19" i="4"/>
  <c r="FV20" i="4"/>
  <c r="FV21" i="4"/>
  <c r="FV22" i="4"/>
  <c r="FV23" i="4"/>
  <c r="FV24" i="4"/>
  <c r="FV26" i="4"/>
  <c r="FV27" i="4"/>
  <c r="FV28" i="4"/>
  <c r="FV30" i="4"/>
  <c r="FV31" i="4"/>
  <c r="FV32" i="4"/>
  <c r="FU33" i="4"/>
  <c r="FT33" i="4"/>
  <c r="FS33" i="4"/>
  <c r="FR33" i="4"/>
  <c r="FQ33" i="4"/>
  <c r="FP33" i="4"/>
  <c r="FO33" i="4"/>
  <c r="FN33" i="4"/>
  <c r="FM33" i="4"/>
  <c r="FL33" i="4"/>
  <c r="FK33" i="4"/>
  <c r="FJ33" i="4"/>
  <c r="FI33" i="4"/>
  <c r="FH33" i="4"/>
  <c r="FG33" i="4"/>
  <c r="FF33" i="4"/>
  <c r="FE33" i="4"/>
  <c r="FD33" i="4"/>
  <c r="FC33" i="4"/>
  <c r="FB33" i="4"/>
  <c r="FA33" i="4"/>
  <c r="EZ33" i="4"/>
  <c r="EY33" i="4"/>
  <c r="EX33" i="4"/>
  <c r="EW33" i="4"/>
  <c r="EV33" i="4"/>
  <c r="EU33" i="4"/>
  <c r="ET33" i="4"/>
  <c r="ES33" i="4"/>
  <c r="ER33" i="4"/>
  <c r="EQ33" i="4"/>
  <c r="EP33" i="4"/>
  <c r="EO33" i="4"/>
  <c r="EN33" i="4"/>
  <c r="EM33" i="4"/>
  <c r="EL33" i="4"/>
  <c r="EK33" i="4"/>
  <c r="EJ33" i="4"/>
  <c r="EI33" i="4"/>
  <c r="EH33" i="4"/>
  <c r="EG33" i="4"/>
  <c r="EF33" i="4"/>
  <c r="EE33" i="4"/>
  <c r="ED33" i="4"/>
  <c r="EC33" i="4"/>
  <c r="EB33" i="4"/>
  <c r="EA33" i="4"/>
  <c r="DZ33" i="4"/>
  <c r="DY33" i="4"/>
  <c r="DX33" i="4"/>
  <c r="DW33" i="4"/>
  <c r="DV33" i="4"/>
  <c r="DU33" i="4"/>
  <c r="DT33" i="4"/>
  <c r="DS33" i="4"/>
  <c r="DR33" i="4"/>
  <c r="DQ33" i="4"/>
  <c r="DP33" i="4"/>
  <c r="DO33" i="4"/>
  <c r="DN33" i="4"/>
  <c r="DM33" i="4"/>
  <c r="DL33" i="4"/>
  <c r="DK33" i="4"/>
  <c r="DJ33" i="4"/>
  <c r="DI33" i="4"/>
  <c r="DH33" i="4"/>
  <c r="DG33" i="4"/>
  <c r="DF33" i="4"/>
  <c r="DE33" i="4"/>
  <c r="DD33" i="4"/>
  <c r="DC33" i="4"/>
  <c r="DB33" i="4"/>
  <c r="DA33" i="4"/>
  <c r="CZ33" i="4"/>
  <c r="CY33" i="4"/>
  <c r="CX33" i="4"/>
  <c r="CW33" i="4"/>
  <c r="CV33" i="4"/>
  <c r="CU33" i="4"/>
  <c r="CT33" i="4"/>
  <c r="CS33" i="4"/>
  <c r="CR33" i="4"/>
  <c r="CQ33" i="4"/>
  <c r="CP33" i="4"/>
  <c r="CO33" i="4"/>
  <c r="CN33" i="4"/>
  <c r="CM33" i="4"/>
  <c r="CL33" i="4"/>
  <c r="CK33" i="4"/>
  <c r="CJ33" i="4"/>
  <c r="CI33" i="4"/>
  <c r="CH33" i="4"/>
  <c r="CG33" i="4"/>
  <c r="CF33" i="4"/>
  <c r="CE33" i="4"/>
  <c r="CD33" i="4"/>
  <c r="CC33" i="4"/>
  <c r="CB33" i="4"/>
  <c r="CA33" i="4"/>
  <c r="BZ33" i="4"/>
  <c r="BY33" i="4"/>
  <c r="BX33" i="4"/>
  <c r="BW33" i="4"/>
  <c r="BV33" i="4"/>
  <c r="BU33" i="4"/>
  <c r="BT33" i="4"/>
  <c r="BS33" i="4"/>
  <c r="BR33" i="4"/>
  <c r="BQ33" i="4"/>
  <c r="BP33" i="4"/>
  <c r="BO33" i="4"/>
  <c r="BN33" i="4"/>
  <c r="BM33" i="4"/>
  <c r="BL33" i="4"/>
  <c r="BK33" i="4"/>
  <c r="BJ33" i="4"/>
  <c r="BI33" i="4"/>
  <c r="BH33" i="4"/>
  <c r="BG33" i="4"/>
  <c r="BF33" i="4"/>
  <c r="BE33" i="4"/>
  <c r="BD33" i="4"/>
  <c r="BC33" i="4"/>
  <c r="BB33" i="4"/>
  <c r="BA33" i="4"/>
  <c r="AZ33" i="4"/>
  <c r="AY33" i="4"/>
  <c r="AX33" i="4"/>
  <c r="AW33" i="4"/>
  <c r="AV33" i="4"/>
  <c r="AU33" i="4"/>
  <c r="AT33" i="4"/>
  <c r="AS33" i="4"/>
  <c r="AR33" i="4"/>
  <c r="AQ33" i="4"/>
  <c r="AP33" i="4"/>
  <c r="AO33" i="4"/>
  <c r="AN33" i="4"/>
  <c r="AM33" i="4"/>
  <c r="AL33" i="4"/>
  <c r="AK33" i="4"/>
  <c r="AJ33" i="4"/>
  <c r="AI33" i="4"/>
  <c r="AH33" i="4"/>
  <c r="AG33" i="4"/>
  <c r="AF33" i="4"/>
  <c r="AE33" i="4"/>
  <c r="AD33" i="4"/>
  <c r="AC33" i="4"/>
  <c r="AB33" i="4"/>
  <c r="AA33" i="4"/>
  <c r="Z33" i="4"/>
  <c r="Y33" i="4"/>
  <c r="X33" i="4"/>
  <c r="W33" i="4"/>
  <c r="V33" i="4"/>
  <c r="U33" i="4"/>
  <c r="T33" i="4"/>
  <c r="S33" i="4"/>
  <c r="R33" i="4"/>
  <c r="Q33" i="4"/>
  <c r="P33" i="4"/>
  <c r="O33" i="4"/>
  <c r="N33" i="4"/>
  <c r="M33" i="4"/>
  <c r="L33" i="4"/>
  <c r="K33" i="4"/>
  <c r="J33" i="4"/>
  <c r="I33" i="4"/>
  <c r="FU29" i="4"/>
  <c r="FT29" i="4"/>
  <c r="FS29" i="4"/>
  <c r="FR29" i="4"/>
  <c r="FQ29" i="4"/>
  <c r="FP29" i="4"/>
  <c r="FO29" i="4"/>
  <c r="FN29" i="4"/>
  <c r="FM29" i="4"/>
  <c r="FL29" i="4"/>
  <c r="FK29" i="4"/>
  <c r="FJ29" i="4"/>
  <c r="FI29" i="4"/>
  <c r="FH29" i="4"/>
  <c r="FG29" i="4"/>
  <c r="FF29" i="4"/>
  <c r="FE29" i="4"/>
  <c r="FD29" i="4"/>
  <c r="FC29" i="4"/>
  <c r="FB29" i="4"/>
  <c r="FA29" i="4"/>
  <c r="EZ29" i="4"/>
  <c r="EY29" i="4"/>
  <c r="EX29" i="4"/>
  <c r="EW29" i="4"/>
  <c r="EV29" i="4"/>
  <c r="EU29" i="4"/>
  <c r="ET29" i="4"/>
  <c r="ES29" i="4"/>
  <c r="ER29" i="4"/>
  <c r="EQ29" i="4"/>
  <c r="EP29" i="4"/>
  <c r="EO29" i="4"/>
  <c r="EN29" i="4"/>
  <c r="EM29" i="4"/>
  <c r="EL29" i="4"/>
  <c r="EK29" i="4"/>
  <c r="EJ29" i="4"/>
  <c r="EI29" i="4"/>
  <c r="EH29" i="4"/>
  <c r="EG29" i="4"/>
  <c r="EF29" i="4"/>
  <c r="EE29" i="4"/>
  <c r="ED29" i="4"/>
  <c r="EC29" i="4"/>
  <c r="EB29" i="4"/>
  <c r="EA29" i="4"/>
  <c r="DZ29" i="4"/>
  <c r="DY29" i="4"/>
  <c r="DX29" i="4"/>
  <c r="DW29" i="4"/>
  <c r="DV29" i="4"/>
  <c r="DU29" i="4"/>
  <c r="DT29" i="4"/>
  <c r="DS29" i="4"/>
  <c r="DR29" i="4"/>
  <c r="DQ29" i="4"/>
  <c r="DP29" i="4"/>
  <c r="DO29" i="4"/>
  <c r="DN29" i="4"/>
  <c r="DM29" i="4"/>
  <c r="DL29" i="4"/>
  <c r="DK29" i="4"/>
  <c r="DJ29" i="4"/>
  <c r="DI29" i="4"/>
  <c r="DH29" i="4"/>
  <c r="DG29" i="4"/>
  <c r="DF29" i="4"/>
  <c r="DE29" i="4"/>
  <c r="DD29" i="4"/>
  <c r="DC29" i="4"/>
  <c r="DB29" i="4"/>
  <c r="DA29" i="4"/>
  <c r="CZ29" i="4"/>
  <c r="CY29" i="4"/>
  <c r="CX29" i="4"/>
  <c r="CW29" i="4"/>
  <c r="CV29" i="4"/>
  <c r="CU29" i="4"/>
  <c r="CT29" i="4"/>
  <c r="CS29" i="4"/>
  <c r="CR29" i="4"/>
  <c r="CQ29" i="4"/>
  <c r="CP29" i="4"/>
  <c r="CO29" i="4"/>
  <c r="CN29" i="4"/>
  <c r="CM29" i="4"/>
  <c r="CL29" i="4"/>
  <c r="CK29" i="4"/>
  <c r="CJ29" i="4"/>
  <c r="CI29" i="4"/>
  <c r="CH29" i="4"/>
  <c r="CG29" i="4"/>
  <c r="CF29" i="4"/>
  <c r="CE29" i="4"/>
  <c r="CD29" i="4"/>
  <c r="CC29" i="4"/>
  <c r="CB29" i="4"/>
  <c r="CA29" i="4"/>
  <c r="BZ29" i="4"/>
  <c r="BY29" i="4"/>
  <c r="BX29" i="4"/>
  <c r="BW29" i="4"/>
  <c r="BV29" i="4"/>
  <c r="BU29" i="4"/>
  <c r="BT29" i="4"/>
  <c r="BS29" i="4"/>
  <c r="BR29" i="4"/>
  <c r="BQ29" i="4"/>
  <c r="BP29" i="4"/>
  <c r="BO29" i="4"/>
  <c r="BN29" i="4"/>
  <c r="BM29" i="4"/>
  <c r="BL29" i="4"/>
  <c r="BK29" i="4"/>
  <c r="BJ29" i="4"/>
  <c r="BI29" i="4"/>
  <c r="BH29" i="4"/>
  <c r="BG29" i="4"/>
  <c r="BF29" i="4"/>
  <c r="BE29" i="4"/>
  <c r="BD29" i="4"/>
  <c r="BC29" i="4"/>
  <c r="BB29" i="4"/>
  <c r="BA29" i="4"/>
  <c r="AZ29" i="4"/>
  <c r="AY29" i="4"/>
  <c r="AX29" i="4"/>
  <c r="AW29" i="4"/>
  <c r="AV29" i="4"/>
  <c r="AU29" i="4"/>
  <c r="AT29" i="4"/>
  <c r="AS29" i="4"/>
  <c r="AR29" i="4"/>
  <c r="AQ29" i="4"/>
  <c r="AP29" i="4"/>
  <c r="AO29" i="4"/>
  <c r="AN29" i="4"/>
  <c r="AM29" i="4"/>
  <c r="AL29" i="4"/>
  <c r="AK29" i="4"/>
  <c r="AJ29" i="4"/>
  <c r="AI29" i="4"/>
  <c r="AH29" i="4"/>
  <c r="AG29" i="4"/>
  <c r="AF29" i="4"/>
  <c r="AE29" i="4"/>
  <c r="AD29" i="4"/>
  <c r="AC29" i="4"/>
  <c r="AB29" i="4"/>
  <c r="AA29" i="4"/>
  <c r="Z29" i="4"/>
  <c r="Y29" i="4"/>
  <c r="X29" i="4"/>
  <c r="W29" i="4"/>
  <c r="V29" i="4"/>
  <c r="U29" i="4"/>
  <c r="T29" i="4"/>
  <c r="S29" i="4"/>
  <c r="R29" i="4"/>
  <c r="Q29" i="4"/>
  <c r="P29" i="4"/>
  <c r="O29" i="4"/>
  <c r="N29" i="4"/>
  <c r="M29" i="4"/>
  <c r="L29" i="4"/>
  <c r="K29" i="4"/>
  <c r="J29" i="4"/>
  <c r="I29" i="4"/>
  <c r="FU25" i="4"/>
  <c r="FT25" i="4"/>
  <c r="FS25" i="4"/>
  <c r="FR25" i="4"/>
  <c r="FQ25" i="4"/>
  <c r="FP25" i="4"/>
  <c r="FO25" i="4"/>
  <c r="FN25" i="4"/>
  <c r="FM25" i="4"/>
  <c r="FL25" i="4"/>
  <c r="FK25" i="4"/>
  <c r="FJ25" i="4"/>
  <c r="FI25" i="4"/>
  <c r="FH25" i="4"/>
  <c r="FG25" i="4"/>
  <c r="FF25" i="4"/>
  <c r="FE25" i="4"/>
  <c r="FD25" i="4"/>
  <c r="FC25" i="4"/>
  <c r="FB25" i="4"/>
  <c r="FA25" i="4"/>
  <c r="EZ25" i="4"/>
  <c r="EY25" i="4"/>
  <c r="EX25" i="4"/>
  <c r="EW25" i="4"/>
  <c r="EV25" i="4"/>
  <c r="EU25" i="4"/>
  <c r="ET25" i="4"/>
  <c r="ES25" i="4"/>
  <c r="ER25" i="4"/>
  <c r="EQ25" i="4"/>
  <c r="EP25" i="4"/>
  <c r="EO25" i="4"/>
  <c r="EN25" i="4"/>
  <c r="EM25" i="4"/>
  <c r="EL25" i="4"/>
  <c r="EK25" i="4"/>
  <c r="EJ25" i="4"/>
  <c r="EI25" i="4"/>
  <c r="EH25" i="4"/>
  <c r="EG25" i="4"/>
  <c r="EF25" i="4"/>
  <c r="EE25" i="4"/>
  <c r="ED25" i="4"/>
  <c r="EC25" i="4"/>
  <c r="EB25" i="4"/>
  <c r="EA25" i="4"/>
  <c r="DZ25" i="4"/>
  <c r="DY25" i="4"/>
  <c r="DX25" i="4"/>
  <c r="DW25" i="4"/>
  <c r="DV25" i="4"/>
  <c r="DU25" i="4"/>
  <c r="DT25" i="4"/>
  <c r="DS25" i="4"/>
  <c r="DR25" i="4"/>
  <c r="DQ25" i="4"/>
  <c r="DP25" i="4"/>
  <c r="DO25" i="4"/>
  <c r="DN25" i="4"/>
  <c r="DM25" i="4"/>
  <c r="DL25" i="4"/>
  <c r="DK25" i="4"/>
  <c r="DJ25" i="4"/>
  <c r="DI25" i="4"/>
  <c r="DH25" i="4"/>
  <c r="DG25" i="4"/>
  <c r="DF25" i="4"/>
  <c r="DE25" i="4"/>
  <c r="DD25" i="4"/>
  <c r="DC25" i="4"/>
  <c r="DB25" i="4"/>
  <c r="DA25" i="4"/>
  <c r="CZ25" i="4"/>
  <c r="CY25" i="4"/>
  <c r="CX25" i="4"/>
  <c r="CW25" i="4"/>
  <c r="CV25" i="4"/>
  <c r="CU25" i="4"/>
  <c r="CT25" i="4"/>
  <c r="CS25" i="4"/>
  <c r="CR25" i="4"/>
  <c r="CQ25" i="4"/>
  <c r="CP25" i="4"/>
  <c r="CO25" i="4"/>
  <c r="CN25" i="4"/>
  <c r="CM25" i="4"/>
  <c r="CL25" i="4"/>
  <c r="CK25" i="4"/>
  <c r="CJ25" i="4"/>
  <c r="CI25" i="4"/>
  <c r="CH25" i="4"/>
  <c r="CG25" i="4"/>
  <c r="CF25" i="4"/>
  <c r="CE25" i="4"/>
  <c r="CD25" i="4"/>
  <c r="CC25" i="4"/>
  <c r="CB25" i="4"/>
  <c r="CA25" i="4"/>
  <c r="BZ25" i="4"/>
  <c r="BY25" i="4"/>
  <c r="BX25" i="4"/>
  <c r="BW25" i="4"/>
  <c r="BV25" i="4"/>
  <c r="BU25" i="4"/>
  <c r="BT25" i="4"/>
  <c r="BS25" i="4"/>
  <c r="BR25" i="4"/>
  <c r="BQ25" i="4"/>
  <c r="BP25" i="4"/>
  <c r="BO25" i="4"/>
  <c r="BN25" i="4"/>
  <c r="BM25" i="4"/>
  <c r="BL25" i="4"/>
  <c r="BK25" i="4"/>
  <c r="BJ25" i="4"/>
  <c r="BI25" i="4"/>
  <c r="BH25" i="4"/>
  <c r="BG25" i="4"/>
  <c r="BF25" i="4"/>
  <c r="BE25" i="4"/>
  <c r="BD25" i="4"/>
  <c r="BC25" i="4"/>
  <c r="BB25" i="4"/>
  <c r="BA25" i="4"/>
  <c r="AZ25" i="4"/>
  <c r="AY25" i="4"/>
  <c r="AX25" i="4"/>
  <c r="AW25" i="4"/>
  <c r="AV25" i="4"/>
  <c r="AU25" i="4"/>
  <c r="AT25" i="4"/>
  <c r="AS25" i="4"/>
  <c r="AR25" i="4"/>
  <c r="AQ25" i="4"/>
  <c r="AP25" i="4"/>
  <c r="AO25" i="4"/>
  <c r="AN25" i="4"/>
  <c r="AM25" i="4"/>
  <c r="AL25" i="4"/>
  <c r="AK25" i="4"/>
  <c r="AJ25" i="4"/>
  <c r="AI25" i="4"/>
  <c r="AH25" i="4"/>
  <c r="AG25" i="4"/>
  <c r="AF25" i="4"/>
  <c r="AE25" i="4"/>
  <c r="AD25" i="4"/>
  <c r="AC25" i="4"/>
  <c r="AB25" i="4"/>
  <c r="AA25" i="4"/>
  <c r="Z25" i="4"/>
  <c r="Y25" i="4"/>
  <c r="X25" i="4"/>
  <c r="W25" i="4"/>
  <c r="V25" i="4"/>
  <c r="U25" i="4"/>
  <c r="T25" i="4"/>
  <c r="S25" i="4"/>
  <c r="R25" i="4"/>
  <c r="Q25" i="4"/>
  <c r="P25" i="4"/>
  <c r="O25" i="4"/>
  <c r="N25" i="4"/>
  <c r="M25" i="4"/>
  <c r="L25" i="4"/>
  <c r="K25" i="4"/>
  <c r="J25" i="4"/>
  <c r="I25" i="4"/>
  <c r="FV16" i="4"/>
  <c r="FV15" i="4"/>
  <c r="FV14" i="4"/>
  <c r="FV13" i="4"/>
  <c r="FV11" i="4"/>
  <c r="FV10" i="4"/>
  <c r="FV8" i="4"/>
  <c r="FV7" i="4"/>
  <c r="FV5" i="4"/>
  <c r="FV6" i="4"/>
  <c r="FV12" i="4"/>
  <c r="FV17" i="4"/>
  <c r="FV18" i="4"/>
  <c r="FV4" i="4"/>
  <c r="T9" i="7"/>
  <c r="T10" i="7" s="1"/>
  <c r="V2" i="7"/>
  <c r="O2" i="7"/>
  <c r="O3" i="7"/>
  <c r="O4" i="7"/>
  <c r="O19" i="7"/>
  <c r="O18" i="7"/>
  <c r="O17" i="7"/>
  <c r="O16" i="7"/>
  <c r="O15" i="7"/>
  <c r="O14" i="7"/>
  <c r="O13" i="7"/>
  <c r="O12" i="7"/>
  <c r="O11" i="7"/>
  <c r="O10" i="7"/>
  <c r="O9" i="7"/>
  <c r="O8" i="7"/>
  <c r="O7" i="7"/>
  <c r="O6" i="7"/>
  <c r="O5" i="7"/>
  <c r="E1" i="1"/>
  <c r="Y17" i="7"/>
  <c r="FV3" i="4"/>
  <c r="FC20" i="5"/>
  <c r="FD20" i="5"/>
  <c r="FE20" i="5"/>
  <c r="FF20" i="5"/>
  <c r="FG20" i="5"/>
  <c r="FH20" i="5"/>
  <c r="FI20" i="5"/>
  <c r="FJ20" i="5"/>
  <c r="FK20" i="5"/>
  <c r="FL20" i="5"/>
  <c r="FM20" i="5"/>
  <c r="FN20" i="5"/>
  <c r="FB20" i="5"/>
  <c r="EP20" i="5"/>
  <c r="EQ20" i="5"/>
  <c r="ER20" i="5"/>
  <c r="ES20" i="5"/>
  <c r="ET20" i="5"/>
  <c r="EU20" i="5"/>
  <c r="EV20" i="5"/>
  <c r="EW20" i="5"/>
  <c r="EX20" i="5"/>
  <c r="EY20" i="5"/>
  <c r="EZ20" i="5"/>
  <c r="FA20" i="5"/>
  <c r="EO20" i="5"/>
  <c r="EC20" i="5"/>
  <c r="ED20" i="5"/>
  <c r="EE20" i="5"/>
  <c r="EF20" i="5"/>
  <c r="EG20" i="5"/>
  <c r="EH20" i="5"/>
  <c r="EI20" i="5"/>
  <c r="EJ20" i="5"/>
  <c r="EK20" i="5"/>
  <c r="EL20" i="5"/>
  <c r="EM20" i="5"/>
  <c r="EN20" i="5"/>
  <c r="EB20" i="5"/>
  <c r="DP20" i="5"/>
  <c r="DQ20" i="5"/>
  <c r="DR20" i="5"/>
  <c r="DS20" i="5"/>
  <c r="DT20" i="5"/>
  <c r="DU20" i="5"/>
  <c r="DV20" i="5"/>
  <c r="DW20" i="5"/>
  <c r="DX20" i="5"/>
  <c r="DY20" i="5"/>
  <c r="DZ20" i="5"/>
  <c r="EA20" i="5"/>
  <c r="DO20" i="5"/>
  <c r="DC20" i="5"/>
  <c r="DD20" i="5"/>
  <c r="DE20" i="5"/>
  <c r="DF20" i="5"/>
  <c r="DG20" i="5"/>
  <c r="DH20" i="5"/>
  <c r="DI20" i="5"/>
  <c r="DJ20" i="5"/>
  <c r="DK20" i="5"/>
  <c r="DL20" i="5"/>
  <c r="DM20" i="5"/>
  <c r="DN20" i="5"/>
  <c r="DB20" i="5"/>
  <c r="CP20" i="5"/>
  <c r="CQ20" i="5"/>
  <c r="CR20" i="5"/>
  <c r="CS20" i="5"/>
  <c r="CT20" i="5"/>
  <c r="CU20" i="5"/>
  <c r="CV20" i="5"/>
  <c r="CW20" i="5"/>
  <c r="CX20" i="5"/>
  <c r="CY20" i="5"/>
  <c r="CZ20" i="5"/>
  <c r="DA20" i="5"/>
  <c r="CO20" i="5"/>
  <c r="CC20" i="5"/>
  <c r="CD20" i="5"/>
  <c r="CE20" i="5"/>
  <c r="CF20" i="5"/>
  <c r="CG20" i="5"/>
  <c r="CH20" i="5"/>
  <c r="CI20" i="5"/>
  <c r="CJ20" i="5"/>
  <c r="CK20" i="5"/>
  <c r="CL20" i="5"/>
  <c r="CM20" i="5"/>
  <c r="CN20" i="5"/>
  <c r="CB20" i="5"/>
  <c r="BP20" i="5"/>
  <c r="BQ20" i="5"/>
  <c r="BR20" i="5"/>
  <c r="BS20" i="5"/>
  <c r="BT20" i="5"/>
  <c r="BU20" i="5"/>
  <c r="BV20" i="5"/>
  <c r="BW20" i="5"/>
  <c r="BX20" i="5"/>
  <c r="BY20" i="5"/>
  <c r="BZ20" i="5"/>
  <c r="CA20" i="5"/>
  <c r="BO20" i="5"/>
  <c r="BC20" i="5"/>
  <c r="BD20" i="5"/>
  <c r="BE20" i="5"/>
  <c r="BF20" i="5"/>
  <c r="BG20" i="5"/>
  <c r="BH20" i="5"/>
  <c r="BI20" i="5"/>
  <c r="BJ20" i="5"/>
  <c r="BK20" i="5"/>
  <c r="BL20" i="5"/>
  <c r="BM20" i="5"/>
  <c r="BN20" i="5"/>
  <c r="BB20" i="5"/>
  <c r="AP20" i="5"/>
  <c r="AQ20" i="5"/>
  <c r="AR20" i="5"/>
  <c r="AS20" i="5"/>
  <c r="AT20" i="5"/>
  <c r="AU20" i="5"/>
  <c r="AV20" i="5"/>
  <c r="AW20" i="5"/>
  <c r="AX20" i="5"/>
  <c r="AY20" i="5"/>
  <c r="AZ20" i="5"/>
  <c r="BA20" i="5"/>
  <c r="AO20" i="5"/>
  <c r="AC20" i="5"/>
  <c r="AD20" i="5"/>
  <c r="AE20" i="5"/>
  <c r="AF20" i="5"/>
  <c r="AG20" i="5"/>
  <c r="AH20" i="5"/>
  <c r="AI20" i="5"/>
  <c r="AJ20" i="5"/>
  <c r="AK20" i="5"/>
  <c r="AL20" i="5"/>
  <c r="AM20" i="5"/>
  <c r="AN20" i="5"/>
  <c r="AB20" i="5"/>
  <c r="P20" i="5"/>
  <c r="Q20" i="5"/>
  <c r="R20" i="5"/>
  <c r="S20" i="5"/>
  <c r="T20" i="5"/>
  <c r="U20" i="5"/>
  <c r="V20" i="5"/>
  <c r="W20" i="5"/>
  <c r="X20" i="5"/>
  <c r="Y20" i="5"/>
  <c r="Z20" i="5"/>
  <c r="AA20" i="5"/>
  <c r="O20" i="5"/>
  <c r="C20" i="5"/>
  <c r="D20" i="5"/>
  <c r="E20" i="5"/>
  <c r="F20" i="5"/>
  <c r="G20" i="5"/>
  <c r="H20" i="5"/>
  <c r="I20" i="5"/>
  <c r="J20" i="5"/>
  <c r="K20" i="5"/>
  <c r="L20" i="5"/>
  <c r="M20" i="5"/>
  <c r="N20" i="5"/>
  <c r="B20" i="5"/>
  <c r="F20" i="7" l="1"/>
  <c r="E19" i="7"/>
  <c r="AL2" i="7"/>
  <c r="AL3" i="7"/>
  <c r="P2" i="7"/>
  <c r="P8" i="7"/>
  <c r="P9" i="7" s="1"/>
  <c r="P15" i="7"/>
  <c r="P17" i="7"/>
  <c r="P18" i="7"/>
  <c r="P11" i="7"/>
  <c r="FV69" i="4"/>
  <c r="FV73" i="4"/>
  <c r="FV77" i="4"/>
  <c r="FV57" i="4"/>
  <c r="FV61" i="4"/>
  <c r="FV53" i="4"/>
  <c r="FV65" i="4"/>
  <c r="FV33" i="4"/>
  <c r="FV37" i="4"/>
  <c r="FV41" i="4"/>
  <c r="FV49" i="4"/>
  <c r="FV45" i="4"/>
  <c r="FV25" i="4"/>
  <c r="FV29" i="4"/>
  <c r="Y14" i="7"/>
  <c r="H47" i="1" s="1"/>
  <c r="FV9" i="4"/>
  <c r="Q3" i="5"/>
  <c r="X10" i="7"/>
  <c r="V9" i="7"/>
  <c r="W10" i="7"/>
  <c r="W9" i="7"/>
  <c r="U10" i="7"/>
  <c r="X9" i="7"/>
  <c r="U9" i="7"/>
  <c r="V10" i="7"/>
  <c r="P5" i="7" l="1"/>
  <c r="AL4" i="7"/>
  <c r="AL12" i="7"/>
  <c r="F21" i="7"/>
  <c r="E20" i="7"/>
  <c r="P10" i="7"/>
  <c r="P12" i="7"/>
  <c r="P19" i="7" s="1"/>
  <c r="P3" i="7"/>
  <c r="AL5" i="7" l="1"/>
  <c r="AL13" i="7"/>
  <c r="F22" i="7"/>
  <c r="E21" i="7"/>
  <c r="P4" i="7"/>
  <c r="P13" i="7"/>
  <c r="AL6" i="7" l="1"/>
  <c r="AL14" i="7"/>
  <c r="P6" i="7"/>
  <c r="F23" i="7"/>
  <c r="E22" i="7"/>
  <c r="Z43" i="1"/>
  <c r="AU37" i="1"/>
  <c r="Z57" i="1"/>
  <c r="AI47" i="1"/>
  <c r="AX51" i="1"/>
  <c r="AO55" i="1"/>
  <c r="Z45" i="1"/>
  <c r="AC35" i="1"/>
  <c r="T51" i="1"/>
  <c r="AL57" i="1"/>
  <c r="W47" i="1"/>
  <c r="AR37" i="1"/>
  <c r="AI57" i="1"/>
  <c r="Z47" i="1"/>
  <c r="AO37" i="1"/>
  <c r="AL35" i="1"/>
  <c r="Q41" i="1"/>
  <c r="AI39" i="1"/>
  <c r="AL51" i="1"/>
  <c r="AI43" i="1"/>
  <c r="AF33" i="1"/>
  <c r="AC41" i="1"/>
  <c r="Z37" i="1"/>
  <c r="AI55" i="1"/>
  <c r="AL55" i="1"/>
  <c r="AF35" i="1"/>
  <c r="T39" i="1"/>
  <c r="W55" i="1"/>
  <c r="AR45" i="1"/>
  <c r="AC49" i="1"/>
  <c r="AL53" i="1"/>
  <c r="W43" i="1"/>
  <c r="AR33" i="1"/>
  <c r="AR51" i="1"/>
  <c r="N57" i="1"/>
  <c r="AU47" i="1"/>
  <c r="T37" i="1"/>
  <c r="N55" i="1"/>
  <c r="AX47" i="1"/>
  <c r="Q37" i="1"/>
  <c r="AX35" i="1"/>
  <c r="Q47" i="1"/>
  <c r="AI53" i="1"/>
  <c r="T33" i="1"/>
  <c r="AI49" i="1"/>
  <c r="AF45" i="1"/>
  <c r="AI35" i="1"/>
  <c r="AC45" i="1"/>
  <c r="T41" i="1"/>
  <c r="AU55" i="1"/>
  <c r="AO57" i="1"/>
  <c r="T47" i="1"/>
  <c r="N53" i="1"/>
  <c r="AU43" i="1"/>
  <c r="AF53" i="1"/>
  <c r="Q57" i="1"/>
  <c r="AR47" i="1"/>
  <c r="AI51" i="1"/>
  <c r="AF41" i="1"/>
  <c r="AU57" i="1"/>
  <c r="N47" i="1"/>
  <c r="AR53" i="1"/>
  <c r="Q43" i="1"/>
  <c r="AX33" i="1"/>
  <c r="AO53" i="1"/>
  <c r="T43" i="1"/>
  <c r="AU33" i="1"/>
  <c r="AX37" i="1"/>
  <c r="Q33" i="1"/>
  <c r="AR35" i="1"/>
  <c r="AL45" i="1"/>
  <c r="AL39" i="1"/>
  <c r="AF47" i="1"/>
  <c r="W35" i="1"/>
  <c r="AR57" i="1"/>
  <c r="AO49" i="1"/>
  <c r="AX53" i="1"/>
  <c r="AU53" i="1"/>
  <c r="AO45" i="1"/>
  <c r="Q51" i="1"/>
  <c r="AF55" i="1"/>
  <c r="AI45" i="1"/>
  <c r="AR49" i="1"/>
  <c r="AU39" i="1"/>
  <c r="W57" i="1"/>
  <c r="AL47" i="1"/>
  <c r="T53" i="1"/>
  <c r="AO43" i="1"/>
  <c r="Z33" i="1"/>
  <c r="Q53" i="1"/>
  <c r="AR43" i="1"/>
  <c r="W33" i="1"/>
  <c r="AO41" i="1"/>
  <c r="AF39" i="1"/>
  <c r="AO51" i="1"/>
  <c r="N43" i="1"/>
  <c r="T49" i="1"/>
  <c r="W39" i="1"/>
  <c r="Z55" i="1"/>
  <c r="AC51" i="1"/>
  <c r="W53" i="1"/>
  <c r="AX55" i="1"/>
  <c r="AC39" i="1"/>
  <c r="AX39" i="1"/>
  <c r="Z53" i="1"/>
  <c r="AC43" i="1"/>
  <c r="AF37" i="1"/>
  <c r="AF49" i="1"/>
  <c r="AL37" i="1"/>
  <c r="N37" i="1"/>
  <c r="N41" i="1"/>
  <c r="T35" i="1"/>
  <c r="AU35" i="1"/>
  <c r="Z51" i="1"/>
  <c r="AC53" i="1"/>
  <c r="AC57" i="1"/>
  <c r="Z39" i="1"/>
  <c r="Q35" i="1"/>
  <c r="AU51" i="1"/>
  <c r="AR39" i="1"/>
  <c r="W37" i="1"/>
  <c r="AC37" i="1"/>
  <c r="Z35" i="1"/>
  <c r="T57" i="1"/>
  <c r="AO33" i="1"/>
  <c r="W51" i="1"/>
  <c r="AL49" i="1"/>
  <c r="AO35" i="1"/>
  <c r="Q39" i="1"/>
  <c r="AI41" i="1"/>
  <c r="AC55" i="1"/>
  <c r="AF57" i="1"/>
  <c r="Q45" i="1"/>
  <c r="T55" i="1"/>
  <c r="N35" i="1"/>
  <c r="AO47" i="1"/>
  <c r="AI37" i="1"/>
  <c r="AR41" i="1"/>
  <c r="N33" i="1"/>
  <c r="N51" i="1"/>
  <c r="AU45" i="1"/>
  <c r="Q49" i="1"/>
  <c r="Q55" i="1"/>
  <c r="AF43" i="1"/>
  <c r="AR55" i="1"/>
  <c r="AL33" i="1"/>
  <c r="AI33" i="1"/>
  <c r="AL41" i="1"/>
  <c r="N39" i="1"/>
  <c r="AC47" i="1"/>
  <c r="AX49" i="1"/>
  <c r="AF51" i="1"/>
  <c r="AO39" i="1"/>
  <c r="AX41" i="1"/>
  <c r="Z41" i="1"/>
  <c r="T45" i="1"/>
  <c r="AU41" i="1"/>
  <c r="AC33" i="1"/>
  <c r="AX43" i="1"/>
  <c r="W45" i="1"/>
  <c r="W49" i="1"/>
  <c r="N45" i="1"/>
  <c r="N49" i="1"/>
  <c r="AL43" i="1"/>
  <c r="AX57" i="1"/>
  <c r="AX45" i="1"/>
  <c r="Z49" i="1"/>
  <c r="AU49" i="1"/>
  <c r="W41" i="1"/>
  <c r="P7" i="7" l="1"/>
  <c r="AL7" i="7"/>
  <c r="AL15" i="7"/>
  <c r="P14" i="7"/>
  <c r="P16" i="7"/>
  <c r="F24" i="7"/>
  <c r="E24" i="7" s="1"/>
  <c r="E23" i="7"/>
  <c r="C5" i="7" l="1"/>
  <c r="AL8" i="7"/>
  <c r="AL16" i="7"/>
  <c r="AL9" i="7"/>
  <c r="AL17" i="7"/>
  <c r="X11" i="7"/>
  <c r="P21" i="7"/>
  <c r="B5" i="7" s="1"/>
  <c r="T11" i="7"/>
  <c r="W11" i="7"/>
  <c r="U11" i="7"/>
  <c r="V11" i="7"/>
  <c r="R14" i="7" l="1"/>
  <c r="S14" i="7"/>
  <c r="A18" i="7"/>
  <c r="A38" i="7" a="1"/>
  <c r="E47" i="1" s="1"/>
  <c r="A8" i="7"/>
  <c r="A39" i="7" a="1"/>
  <c r="A37" i="7" a="1"/>
  <c r="A36" i="7" a="1"/>
  <c r="A36" i="7" s="1"/>
  <c r="D47" i="1" l="1"/>
  <c r="B26" i="1"/>
  <c r="A37" i="7"/>
  <c r="AQ20" i="1"/>
  <c r="AQ26" i="1"/>
  <c r="S6" i="1"/>
  <c r="P14" i="1"/>
  <c r="P24" i="1"/>
  <c r="P20" i="1"/>
  <c r="M10" i="1"/>
  <c r="AB16" i="1"/>
  <c r="AK4" i="1"/>
  <c r="AW18" i="1"/>
  <c r="AH20" i="1"/>
  <c r="AQ24" i="1"/>
  <c r="AB4" i="1"/>
  <c r="S22" i="1"/>
  <c r="V20" i="1"/>
  <c r="AW4" i="1"/>
  <c r="AQ6" i="1"/>
  <c r="AT22" i="1"/>
  <c r="AK10" i="1"/>
  <c r="AB12" i="1"/>
  <c r="AK8" i="1"/>
  <c r="S24" i="1"/>
  <c r="AK22" i="1"/>
  <c r="AT14" i="1"/>
  <c r="P18" i="1"/>
  <c r="S26" i="1"/>
  <c r="AH26" i="1"/>
  <c r="AB14" i="1"/>
  <c r="Y16" i="1"/>
  <c r="AE16" i="1"/>
  <c r="AQ28" i="1"/>
  <c r="AW16" i="1"/>
  <c r="M28" i="1"/>
  <c r="AN4" i="1"/>
  <c r="Y26" i="1"/>
  <c r="AW12" i="1"/>
  <c r="AH24" i="1"/>
  <c r="AW24" i="1"/>
  <c r="Y14" i="1"/>
  <c r="AH12" i="1"/>
  <c r="M22" i="1"/>
  <c r="AN20" i="1"/>
  <c r="M18" i="1"/>
  <c r="AN22" i="1"/>
  <c r="AB18" i="1"/>
  <c r="AQ16" i="1"/>
  <c r="AH22" i="1"/>
  <c r="AQ8" i="1"/>
  <c r="AN12" i="1"/>
  <c r="AQ14" i="1"/>
  <c r="S8" i="1"/>
  <c r="AH8" i="1"/>
  <c r="P12" i="1"/>
  <c r="Y24" i="1"/>
  <c r="AB10" i="1"/>
  <c r="AW22" i="1"/>
  <c r="M4" i="1"/>
  <c r="AE12" i="1"/>
  <c r="AT12" i="1"/>
  <c r="AQ4" i="1"/>
  <c r="AW8" i="1"/>
  <c r="AH14" i="1"/>
  <c r="AB28" i="1"/>
  <c r="AN10" i="1"/>
  <c r="AQ22" i="1"/>
  <c r="M12" i="1"/>
  <c r="Y20" i="1"/>
  <c r="M20" i="1"/>
  <c r="S12" i="1"/>
  <c r="AT8" i="1"/>
  <c r="Y6" i="1"/>
  <c r="AK20" i="1"/>
  <c r="AT10" i="1"/>
  <c r="AK28" i="1"/>
  <c r="AK24" i="1"/>
  <c r="M24" i="1"/>
  <c r="AK12" i="1"/>
  <c r="AN8" i="1"/>
  <c r="P8" i="1"/>
  <c r="Y12" i="1"/>
  <c r="V4" i="1"/>
  <c r="AT4" i="1"/>
  <c r="AK18" i="1"/>
  <c r="Y10" i="1"/>
  <c r="V10" i="1"/>
  <c r="AW26" i="1"/>
  <c r="AK14" i="1"/>
  <c r="AT6" i="1"/>
  <c r="AW6" i="1"/>
  <c r="AT24" i="1"/>
  <c r="AW20" i="1"/>
  <c r="AT26" i="1"/>
  <c r="V14" i="1"/>
  <c r="S20" i="1"/>
  <c r="AK16" i="1"/>
  <c r="S28" i="1"/>
  <c r="S10" i="1"/>
  <c r="AE8" i="1"/>
  <c r="AK6" i="1"/>
  <c r="Y22" i="1"/>
  <c r="AN26" i="1"/>
  <c r="P16" i="1"/>
  <c r="S4" i="1"/>
  <c r="AQ12" i="1"/>
  <c r="AW28" i="1"/>
  <c r="AB26" i="1"/>
  <c r="P26" i="1"/>
  <c r="M16" i="1"/>
  <c r="AT20" i="1"/>
  <c r="AB24" i="1"/>
  <c r="Y28" i="1"/>
  <c r="Y8" i="1"/>
  <c r="AT18" i="1"/>
  <c r="P6" i="1"/>
  <c r="AN14" i="1"/>
  <c r="AQ10" i="1"/>
  <c r="AE22" i="1"/>
  <c r="V18" i="1"/>
  <c r="AE28" i="1"/>
  <c r="AE6" i="1"/>
  <c r="AH28" i="1"/>
  <c r="AT16" i="1"/>
  <c r="M8" i="1"/>
  <c r="S16" i="1"/>
  <c r="AN18" i="1"/>
  <c r="AB20" i="1"/>
  <c r="M26" i="1"/>
  <c r="AW10" i="1"/>
  <c r="V16" i="1"/>
  <c r="S14" i="1"/>
  <c r="AT28" i="1"/>
  <c r="AH16" i="1"/>
  <c r="S18" i="1"/>
  <c r="AN28" i="1"/>
  <c r="AE24" i="1"/>
  <c r="Y4" i="1"/>
  <c r="AB22" i="1"/>
  <c r="V26" i="1"/>
  <c r="AH10" i="1"/>
  <c r="AE20" i="1"/>
  <c r="AB8" i="1"/>
  <c r="AB6" i="1"/>
  <c r="P28" i="1"/>
  <c r="AE18" i="1"/>
  <c r="AN6" i="1"/>
  <c r="AW14" i="1"/>
  <c r="V22" i="1"/>
  <c r="V24" i="1"/>
  <c r="AQ18" i="1"/>
  <c r="AH4" i="1"/>
  <c r="V8" i="1"/>
  <c r="Y18" i="1"/>
  <c r="V12" i="1"/>
  <c r="V28" i="1"/>
  <c r="P4" i="1"/>
  <c r="AE26" i="1"/>
  <c r="M6" i="1"/>
  <c r="P22" i="1"/>
  <c r="AK26" i="1"/>
  <c r="AH18" i="1"/>
  <c r="AE10" i="1"/>
  <c r="AE4" i="1"/>
  <c r="M14" i="1"/>
  <c r="AN16" i="1"/>
  <c r="AE14" i="1"/>
  <c r="AH6" i="1"/>
  <c r="V6" i="1"/>
  <c r="P10" i="1"/>
  <c r="AN24" i="1"/>
  <c r="A39" i="7"/>
  <c r="A40" i="7" s="1"/>
  <c r="HB11" i="7"/>
  <c r="HK11" i="7"/>
  <c r="HE25" i="7"/>
  <c r="GA17" i="7"/>
  <c r="GA13" i="7"/>
  <c r="GG25" i="7"/>
  <c r="GS9" i="7"/>
  <c r="GG17" i="7"/>
  <c r="HH5" i="7"/>
  <c r="GP15" i="7"/>
  <c r="GJ11" i="7"/>
  <c r="HH13" i="7"/>
  <c r="D40" i="7"/>
  <c r="HK21" i="7"/>
  <c r="GP5" i="7"/>
  <c r="GJ3" i="7"/>
  <c r="GV17" i="7"/>
  <c r="GP9" i="7"/>
  <c r="GJ7" i="7"/>
  <c r="HK5" i="7"/>
  <c r="GV25" i="7"/>
  <c r="GV27" i="7"/>
  <c r="BQ40" i="7"/>
  <c r="AJ12" i="1" s="1"/>
  <c r="DS40" i="7"/>
  <c r="AP20" i="1" s="1"/>
  <c r="FS40" i="7"/>
  <c r="AP28" i="1" s="1"/>
  <c r="DA40" i="7"/>
  <c r="AA18" i="1" s="1"/>
  <c r="DU40" i="7"/>
  <c r="AV20" i="1" s="1"/>
  <c r="BP40" i="7"/>
  <c r="AG12" i="1" s="1"/>
  <c r="DZ40" i="7"/>
  <c r="X22" i="1" s="1"/>
  <c r="DN40" i="7"/>
  <c r="AA20" i="1" s="1"/>
  <c r="CB40" i="7"/>
  <c r="AD14" i="1" s="1"/>
  <c r="DX40" i="7"/>
  <c r="R22" i="1" s="1"/>
  <c r="FD40" i="7"/>
  <c r="AJ26" i="1" s="1"/>
  <c r="AD40" i="7"/>
  <c r="AJ6" i="1" s="1"/>
  <c r="DV40" i="7"/>
  <c r="L22" i="1" s="1"/>
  <c r="BK40" i="7"/>
  <c r="R12" i="1" s="1"/>
  <c r="DD40" i="7"/>
  <c r="AJ18" i="1" s="1"/>
  <c r="BZ40" i="7"/>
  <c r="X14" i="1" s="1"/>
  <c r="I40" i="7"/>
  <c r="L4" i="1" s="1"/>
  <c r="AN40" i="7"/>
  <c r="AA8" i="1" s="1"/>
  <c r="EJ40" i="7"/>
  <c r="O24" i="1" s="1"/>
  <c r="AT40" i="7"/>
  <c r="AS8" i="1" s="1"/>
  <c r="EM40" i="7"/>
  <c r="X24" i="1" s="1"/>
  <c r="GD23" i="7"/>
  <c r="GM23" i="7"/>
  <c r="GA3" i="7"/>
  <c r="HH11" i="7"/>
  <c r="GV19" i="7"/>
  <c r="GP13" i="7"/>
  <c r="GY13" i="7"/>
  <c r="GS27" i="7"/>
  <c r="HE21" i="7"/>
  <c r="HE13" i="7"/>
  <c r="GV21" i="7"/>
  <c r="GP7" i="7"/>
  <c r="HB15" i="7"/>
  <c r="G40" i="7"/>
  <c r="HK7" i="7"/>
  <c r="GS19" i="7"/>
  <c r="GY21" i="7"/>
  <c r="GV13" i="7"/>
  <c r="GJ17" i="7"/>
  <c r="B40" i="7"/>
  <c r="GD13" i="7"/>
  <c r="GP21" i="7"/>
  <c r="GV7" i="7"/>
  <c r="HE7" i="7"/>
  <c r="HE9" i="7"/>
  <c r="HB7" i="7"/>
  <c r="HK13" i="7"/>
  <c r="HB23" i="7"/>
  <c r="HK23" i="7"/>
  <c r="GY3" i="7"/>
  <c r="C40" i="7"/>
  <c r="GY27" i="7"/>
  <c r="GD7" i="7"/>
  <c r="HE17" i="7"/>
  <c r="GG19" i="7"/>
  <c r="GM19" i="7"/>
  <c r="GG3" i="7"/>
  <c r="GP23" i="7"/>
  <c r="HK3" i="7"/>
  <c r="HH23" i="7"/>
  <c r="GD3" i="7"/>
  <c r="GD19" i="7"/>
  <c r="HH7" i="7"/>
  <c r="GG5" i="7"/>
  <c r="GG15" i="7"/>
  <c r="GD17" i="7"/>
  <c r="HK17" i="7"/>
  <c r="GS3" i="7"/>
  <c r="GM9" i="7"/>
  <c r="GD5" i="7"/>
  <c r="GM5" i="7"/>
  <c r="GA7" i="7"/>
  <c r="GG23" i="7"/>
  <c r="GD15" i="7"/>
  <c r="GM15" i="7"/>
  <c r="GA25" i="7"/>
  <c r="GJ23" i="7"/>
  <c r="GS11" i="7"/>
  <c r="GD11" i="7"/>
  <c r="GJ25" i="7"/>
  <c r="GG9" i="7"/>
  <c r="GJ5" i="7"/>
  <c r="GG21" i="7"/>
  <c r="GA19" i="7"/>
  <c r="GM7" i="7"/>
  <c r="GM11" i="7"/>
  <c r="GS25" i="7"/>
  <c r="GP27" i="7"/>
  <c r="GA21" i="7"/>
  <c r="GY9" i="7"/>
  <c r="GJ27" i="7"/>
  <c r="HE15" i="7"/>
  <c r="HB17" i="7"/>
  <c r="GY19" i="7"/>
  <c r="HB13" i="7"/>
  <c r="GP25" i="7"/>
  <c r="GY25" i="7"/>
  <c r="GV11" i="7"/>
  <c r="GM27" i="7"/>
  <c r="GM25" i="7"/>
  <c r="HE23" i="7"/>
  <c r="GY7" i="7"/>
  <c r="GP17" i="7"/>
  <c r="GY17" i="7"/>
  <c r="HB9" i="7"/>
  <c r="GG11" i="7"/>
  <c r="GY5" i="7"/>
  <c r="HB25" i="7"/>
  <c r="HE5" i="7"/>
  <c r="GV3" i="7"/>
  <c r="E40" i="7"/>
  <c r="GV5" i="7"/>
  <c r="GV9" i="7"/>
  <c r="GG27" i="7"/>
  <c r="GA27" i="7"/>
  <c r="F40" i="7"/>
  <c r="GS23" i="7"/>
  <c r="HB5" i="7"/>
  <c r="GA5" i="7"/>
  <c r="HB3" i="7"/>
  <c r="GD21" i="7"/>
  <c r="HB19" i="7"/>
  <c r="GG7" i="7"/>
  <c r="GD25" i="7"/>
  <c r="HB27" i="7"/>
  <c r="HK27" i="7"/>
  <c r="HH21" i="7"/>
  <c r="GS21" i="7"/>
  <c r="HE11" i="7"/>
  <c r="GS5" i="7"/>
  <c r="GJ19" i="7"/>
  <c r="HH25" i="7"/>
  <c r="GJ9" i="7"/>
  <c r="GY11" i="7"/>
  <c r="GJ21" i="7"/>
  <c r="GM3" i="7"/>
  <c r="GJ13" i="7"/>
  <c r="HK15" i="7"/>
  <c r="GS13" i="7"/>
  <c r="GS17" i="7"/>
  <c r="GP19" i="7"/>
  <c r="GM21" i="7"/>
  <c r="GV15" i="7"/>
  <c r="HH15" i="7"/>
  <c r="GV23" i="7"/>
  <c r="GY15" i="7"/>
  <c r="HH3" i="7"/>
  <c r="GP11" i="7"/>
  <c r="GM13" i="7"/>
  <c r="GA9" i="7"/>
  <c r="GP3" i="7"/>
  <c r="HE3" i="7"/>
  <c r="HK25" i="7"/>
  <c r="GD9" i="7"/>
  <c r="GG13" i="7"/>
  <c r="CI40" i="7"/>
  <c r="L16" i="1" s="1"/>
  <c r="AO40" i="7"/>
  <c r="AD8" i="1" s="1"/>
  <c r="DG40" i="7"/>
  <c r="AS18" i="1" s="1"/>
  <c r="DF40" i="7"/>
  <c r="AP18" i="1" s="1"/>
  <c r="CC40" i="7"/>
  <c r="AG14" i="1" s="1"/>
  <c r="BA40" i="7"/>
  <c r="AA10" i="1" s="1"/>
  <c r="FI40" i="7"/>
  <c r="L28" i="1" s="1"/>
  <c r="AI40" i="7"/>
  <c r="L8" i="1" s="1"/>
  <c r="CY40" i="7"/>
  <c r="U18" i="1" s="1"/>
  <c r="T40" i="7"/>
  <c r="AS4" i="1" s="1"/>
  <c r="FK40" i="7"/>
  <c r="R28" i="1" s="1"/>
  <c r="FE40" i="7"/>
  <c r="AM26" i="1" s="1"/>
  <c r="AS40" i="7"/>
  <c r="AP8" i="1" s="1"/>
  <c r="L40" i="7"/>
  <c r="U4" i="1" s="1"/>
  <c r="CJ40" i="7"/>
  <c r="O16" i="1" s="1"/>
  <c r="EL40" i="7"/>
  <c r="U24" i="1" s="1"/>
  <c r="V40" i="7"/>
  <c r="L6" i="1" s="1"/>
  <c r="CP40" i="7"/>
  <c r="AG16" i="1" s="1"/>
  <c r="P40" i="7"/>
  <c r="AG4" i="1" s="1"/>
  <c r="ET40" i="7"/>
  <c r="AS24" i="1" s="1"/>
  <c r="EO40" i="7"/>
  <c r="AD24" i="1" s="1"/>
  <c r="R40" i="7"/>
  <c r="AM4" i="1" s="1"/>
  <c r="BL40" i="7"/>
  <c r="U12" i="1" s="1"/>
  <c r="FR40" i="7"/>
  <c r="AM28" i="1" s="1"/>
  <c r="EB40" i="7"/>
  <c r="AD22" i="1" s="1"/>
  <c r="AF40" i="7"/>
  <c r="AP6" i="1" s="1"/>
  <c r="AX40" i="7"/>
  <c r="R10" i="1" s="1"/>
  <c r="W40" i="7"/>
  <c r="O6" i="1" s="1"/>
  <c r="CK40" i="7"/>
  <c r="R16" i="1" s="1"/>
  <c r="DI40" i="7"/>
  <c r="L20" i="1" s="1"/>
  <c r="FN40" i="7"/>
  <c r="AA28" i="1" s="1"/>
  <c r="BO40" i="7"/>
  <c r="AD12" i="1" s="1"/>
  <c r="J40" i="7"/>
  <c r="O4" i="1" s="1"/>
  <c r="FP40" i="7"/>
  <c r="AG28" i="1" s="1"/>
  <c r="FT40" i="7"/>
  <c r="AS28" i="1" s="1"/>
  <c r="EZ40" i="7"/>
  <c r="X26" i="1" s="1"/>
  <c r="AZ40" i="7"/>
  <c r="X10" i="1" s="1"/>
  <c r="CV40" i="7"/>
  <c r="L18" i="1" s="1"/>
  <c r="HH19" i="7"/>
  <c r="HK19" i="7"/>
  <c r="GA23" i="7"/>
  <c r="GM17" i="7"/>
  <c r="HH17" i="7"/>
  <c r="HK9" i="7"/>
  <c r="GA15" i="7"/>
  <c r="HH27" i="7"/>
  <c r="HE19" i="7"/>
  <c r="FO40" i="7"/>
  <c r="AD28" i="1" s="1"/>
  <c r="DY40" i="7"/>
  <c r="U22" i="1" s="1"/>
  <c r="AA40" i="7"/>
  <c r="AA6" i="1" s="1"/>
  <c r="K40" i="7"/>
  <c r="R4" i="1" s="1"/>
  <c r="M40" i="7"/>
  <c r="X4" i="1" s="1"/>
  <c r="CL40" i="7"/>
  <c r="U16" i="1" s="1"/>
  <c r="CX40" i="7"/>
  <c r="R18" i="1" s="1"/>
  <c r="DK40" i="7"/>
  <c r="R20" i="1" s="1"/>
  <c r="BW40" i="7"/>
  <c r="O14" i="1" s="1"/>
  <c r="EG40" i="7"/>
  <c r="AS22" i="1" s="1"/>
  <c r="BI40" i="7"/>
  <c r="L12" i="1" s="1"/>
  <c r="BG40" i="7"/>
  <c r="AS10" i="1" s="1"/>
  <c r="O40" i="7"/>
  <c r="AD4" i="1" s="1"/>
  <c r="CE40" i="7"/>
  <c r="AM14" i="1" s="1"/>
  <c r="DT40" i="7"/>
  <c r="AS20" i="1" s="1"/>
  <c r="AB40" i="7"/>
  <c r="AD6" i="1" s="1"/>
  <c r="AU40" i="7"/>
  <c r="AV8" i="1" s="1"/>
  <c r="CH40" i="7"/>
  <c r="AV14" i="1" s="1"/>
  <c r="DO40" i="7"/>
  <c r="AD20" i="1" s="1"/>
  <c r="BR40" i="7"/>
  <c r="AM12" i="1" s="1"/>
  <c r="GS7" i="7"/>
  <c r="HH9" i="7"/>
  <c r="GJ15" i="7"/>
  <c r="BE40" i="7"/>
  <c r="AM10" i="1" s="1"/>
  <c r="EH40" i="7"/>
  <c r="AV22" i="1" s="1"/>
  <c r="AR40" i="7"/>
  <c r="AM8" i="1" s="1"/>
  <c r="ER40" i="7"/>
  <c r="AM24" i="1" s="1"/>
  <c r="DW40" i="7"/>
  <c r="O22" i="1" s="1"/>
  <c r="EK40" i="7"/>
  <c r="R24" i="1" s="1"/>
  <c r="GS15" i="7"/>
  <c r="HE27" i="7"/>
  <c r="HB21" i="7"/>
  <c r="Y40" i="7"/>
  <c r="U6" i="1" s="1"/>
  <c r="CS40" i="7"/>
  <c r="AP16" i="1" s="1"/>
  <c r="CM40" i="7"/>
  <c r="X16" i="1" s="1"/>
  <c r="FA40" i="7"/>
  <c r="AA26" i="1" s="1"/>
  <c r="DQ40" i="7"/>
  <c r="AJ20" i="1" s="1"/>
  <c r="DC40" i="7"/>
  <c r="AG18" i="1" s="1"/>
  <c r="FJ40" i="7"/>
  <c r="BC40" i="7"/>
  <c r="AG10" i="1" s="1"/>
  <c r="EN40" i="7"/>
  <c r="AA24" i="1" s="1"/>
  <c r="DB40" i="7"/>
  <c r="AD18" i="1" s="1"/>
  <c r="BU40" i="7"/>
  <c r="AV12" i="1" s="1"/>
  <c r="AC40" i="7"/>
  <c r="AG6" i="1" s="1"/>
  <c r="FU40" i="7"/>
  <c r="AV28" i="1" s="1"/>
  <c r="EP40" i="7"/>
  <c r="AG24" i="1" s="1"/>
  <c r="BY40" i="7"/>
  <c r="U14" i="1" s="1"/>
  <c r="FV40" i="7"/>
  <c r="A26" i="1" s="1"/>
  <c r="N40" i="7"/>
  <c r="AA4" i="1" s="1"/>
  <c r="DP40" i="7"/>
  <c r="AG20" i="1" s="1"/>
  <c r="DE40" i="7"/>
  <c r="AM18" i="1" s="1"/>
  <c r="FH40" i="7"/>
  <c r="EQ40" i="7"/>
  <c r="AJ24" i="1" s="1"/>
  <c r="AP40" i="7"/>
  <c r="AG8" i="1" s="1"/>
  <c r="BJ40" i="7"/>
  <c r="O12" i="1" s="1"/>
  <c r="ED40" i="7"/>
  <c r="AJ22" i="1" s="1"/>
  <c r="CT40" i="7"/>
  <c r="AS16" i="1" s="1"/>
  <c r="BS40" i="7"/>
  <c r="AP12" i="1" s="1"/>
  <c r="AM40" i="7"/>
  <c r="X8" i="1" s="1"/>
  <c r="EY40" i="7"/>
  <c r="U26" i="1" s="1"/>
  <c r="EF40" i="7"/>
  <c r="AP22" i="1" s="1"/>
  <c r="AL40" i="7"/>
  <c r="U8" i="1" s="1"/>
  <c r="BF40" i="7"/>
  <c r="AP10" i="1" s="1"/>
  <c r="EC40" i="7"/>
  <c r="AG22" i="1" s="1"/>
  <c r="EA40" i="7"/>
  <c r="AA22" i="1" s="1"/>
  <c r="BN40" i="7"/>
  <c r="AA12" i="1" s="1"/>
  <c r="U40" i="7"/>
  <c r="AV4" i="1" s="1"/>
  <c r="CD40" i="7"/>
  <c r="AJ14" i="1" s="1"/>
  <c r="AW40" i="7"/>
  <c r="O10" i="1" s="1"/>
  <c r="FL40" i="7"/>
  <c r="U28" i="1" s="1"/>
  <c r="ES40" i="7"/>
  <c r="AP24" i="1" s="1"/>
  <c r="EX40" i="7"/>
  <c r="R26" i="1" s="1"/>
  <c r="Z40" i="7"/>
  <c r="X6" i="1" s="1"/>
  <c r="CF40" i="7"/>
  <c r="AP14" i="1" s="1"/>
  <c r="AE40" i="7"/>
  <c r="AM6" i="1" s="1"/>
  <c r="CR40" i="7"/>
  <c r="AM16" i="1" s="1"/>
  <c r="DJ40" i="7"/>
  <c r="O20" i="1" s="1"/>
  <c r="S40" i="7"/>
  <c r="AP4" i="1" s="1"/>
  <c r="BB40" i="7"/>
  <c r="AD10" i="1" s="1"/>
  <c r="BD40" i="7"/>
  <c r="AJ10" i="1" s="1"/>
  <c r="BH40" i="7"/>
  <c r="AV10" i="1" s="1"/>
  <c r="EW40" i="7"/>
  <c r="O26" i="1" s="1"/>
  <c r="CG40" i="7"/>
  <c r="AS14" i="1" s="1"/>
  <c r="DR40" i="7"/>
  <c r="AM20" i="1" s="1"/>
  <c r="EV40" i="7"/>
  <c r="L26" i="1" s="1"/>
  <c r="AY40" i="7"/>
  <c r="U10" i="1" s="1"/>
  <c r="CU40" i="7"/>
  <c r="AV16" i="1" s="1"/>
  <c r="DL40" i="7"/>
  <c r="U20" i="1" s="1"/>
  <c r="FM40" i="7"/>
  <c r="X28" i="1" s="1"/>
  <c r="Q40" i="7"/>
  <c r="AJ4" i="1" s="1"/>
  <c r="EI40" i="7"/>
  <c r="L24" i="1" s="1"/>
  <c r="CQ40" i="7"/>
  <c r="AJ16" i="1" s="1"/>
  <c r="FC40" i="7"/>
  <c r="AG26" i="1" s="1"/>
  <c r="AV40" i="7"/>
  <c r="L10" i="1" s="1"/>
  <c r="BX40" i="7"/>
  <c r="R14" i="1" s="1"/>
  <c r="FQ40" i="7"/>
  <c r="AJ28" i="1" s="1"/>
  <c r="BV40" i="7"/>
  <c r="L14" i="1" s="1"/>
  <c r="BM40" i="7"/>
  <c r="X12" i="1" s="1"/>
  <c r="GD27" i="7"/>
  <c r="GA11" i="7"/>
  <c r="GY23" i="7"/>
  <c r="EE40" i="7"/>
  <c r="AM22" i="1" s="1"/>
  <c r="FB40" i="7"/>
  <c r="AD26" i="1" s="1"/>
  <c r="DM40" i="7"/>
  <c r="X20" i="1" s="1"/>
  <c r="FF40" i="7"/>
  <c r="AP26" i="1" s="1"/>
  <c r="AK40" i="7"/>
  <c r="R8" i="1" s="1"/>
  <c r="AQ40" i="7"/>
  <c r="AJ8" i="1" s="1"/>
  <c r="AH40" i="7"/>
  <c r="AV6" i="1" s="1"/>
  <c r="FG40" i="7"/>
  <c r="AS26" i="1" s="1"/>
  <c r="BT40" i="7"/>
  <c r="AS12" i="1" s="1"/>
  <c r="AG40" i="7"/>
  <c r="AS6" i="1" s="1"/>
  <c r="EU40" i="7"/>
  <c r="AV24" i="1" s="1"/>
  <c r="CO40" i="7"/>
  <c r="AD16" i="1" s="1"/>
  <c r="X40" i="7"/>
  <c r="R6" i="1" s="1"/>
  <c r="DH40" i="7"/>
  <c r="AV18" i="1" s="1"/>
  <c r="CN40" i="7"/>
  <c r="AA16" i="1" s="1"/>
  <c r="CA40" i="7"/>
  <c r="AA14" i="1" s="1"/>
  <c r="AJ40" i="7"/>
  <c r="O8" i="1" s="1"/>
  <c r="CZ40" i="7"/>
  <c r="X18" i="1" s="1"/>
  <c r="CW40" i="7"/>
  <c r="O18" i="1" s="1"/>
  <c r="A38" i="7"/>
  <c r="AX14" i="1"/>
  <c r="Q16" i="1"/>
  <c r="N24" i="1"/>
  <c r="Q6" i="1"/>
  <c r="T4" i="1"/>
  <c r="AO18" i="1"/>
  <c r="AU6" i="1"/>
  <c r="AX24" i="1"/>
  <c r="AX28" i="1"/>
  <c r="Z10" i="1"/>
  <c r="AC14" i="1"/>
  <c r="Z14" i="1"/>
  <c r="N22" i="1"/>
  <c r="N12" i="1"/>
  <c r="AO4" i="1"/>
  <c r="AU14" i="1"/>
  <c r="AF6" i="1"/>
  <c r="AR14" i="1"/>
  <c r="AR4" i="1"/>
  <c r="T14" i="1"/>
  <c r="W24" i="1"/>
  <c r="T28" i="1"/>
  <c r="AL4" i="1"/>
  <c r="AL12" i="1"/>
  <c r="AF18" i="1"/>
  <c r="Z22" i="1"/>
  <c r="T6" i="1"/>
  <c r="W14" i="1"/>
  <c r="AR26" i="1"/>
  <c r="AO6" i="1"/>
  <c r="Z12" i="1"/>
  <c r="N10" i="1"/>
  <c r="AO16" i="1"/>
  <c r="AC12" i="1"/>
  <c r="AI18" i="1"/>
  <c r="W16" i="1"/>
  <c r="T22" i="1"/>
  <c r="N28" i="1"/>
  <c r="N16" i="1"/>
  <c r="Z24" i="1"/>
  <c r="AU10" i="1"/>
  <c r="AX8" i="1"/>
  <c r="AI22" i="1"/>
  <c r="AL20" i="1"/>
  <c r="Z18" i="1"/>
  <c r="Q12" i="1"/>
  <c r="AL6" i="1"/>
  <c r="AI10" i="1"/>
  <c r="AX12" i="1"/>
  <c r="AL18" i="1"/>
  <c r="AX18" i="1"/>
  <c r="W8" i="1"/>
  <c r="Q28" i="1"/>
  <c r="AF28" i="1"/>
  <c r="AL22" i="1"/>
  <c r="AU18" i="1"/>
  <c r="AO8" i="1"/>
  <c r="AR10" i="1"/>
  <c r="AX10" i="1"/>
  <c r="Z20" i="1"/>
  <c r="Q20" i="1"/>
  <c r="AR24" i="1"/>
  <c r="AX22" i="1"/>
  <c r="AU20" i="1"/>
  <c r="AC22" i="1"/>
  <c r="Z28" i="1"/>
  <c r="AI8" i="1"/>
  <c r="AL16" i="1"/>
  <c r="AI20" i="1"/>
  <c r="AR12" i="1"/>
  <c r="AF4" i="1"/>
  <c r="AR20" i="1"/>
  <c r="AU12" i="1"/>
  <c r="N20" i="1"/>
  <c r="AI12" i="1"/>
  <c r="Q18" i="1"/>
  <c r="AR16" i="1"/>
  <c r="AX26" i="1"/>
  <c r="N18" i="1"/>
  <c r="AF14" i="1"/>
  <c r="AC8" i="1"/>
  <c r="AC6" i="1"/>
  <c r="AI4" i="1"/>
  <c r="AC20" i="1"/>
  <c r="AU28" i="1"/>
  <c r="Q24" i="1"/>
  <c r="AO20" i="1"/>
  <c r="N4" i="1"/>
  <c r="AC24" i="1"/>
  <c r="W12" i="1"/>
  <c r="AO14" i="1"/>
  <c r="T16" i="1"/>
  <c r="AL26" i="1"/>
  <c r="W6" i="1"/>
  <c r="Q14" i="1"/>
  <c r="AI14" i="1"/>
  <c r="AO26" i="1"/>
  <c r="AX4" i="1"/>
  <c r="AF12" i="1"/>
  <c r="T10" i="1"/>
  <c r="N6" i="1"/>
  <c r="T18" i="1"/>
  <c r="AL28" i="1"/>
  <c r="AF22" i="1"/>
  <c r="AO28" i="1"/>
  <c r="AO12" i="1"/>
  <c r="AI16" i="1"/>
  <c r="W4" i="1"/>
  <c r="AF10" i="1"/>
  <c r="AO10" i="1"/>
  <c r="T12" i="1"/>
  <c r="N8" i="1"/>
  <c r="AL24" i="1"/>
  <c r="AO22" i="1"/>
  <c r="AF26" i="1"/>
  <c r="AU24" i="1"/>
  <c r="AF20" i="1"/>
  <c r="AC4" i="1"/>
  <c r="AI26" i="1"/>
  <c r="Z26" i="1"/>
  <c r="AR22" i="1"/>
  <c r="AI6" i="1"/>
  <c r="AC10" i="1"/>
  <c r="AU4" i="1"/>
  <c r="AC18" i="1"/>
  <c r="T24" i="1"/>
  <c r="T8" i="1"/>
  <c r="Q8" i="1"/>
  <c r="N14" i="1"/>
  <c r="AR6" i="1"/>
  <c r="Z6" i="1"/>
  <c r="AI28" i="1"/>
  <c r="Q4" i="1"/>
  <c r="W22" i="1"/>
  <c r="Q22" i="1"/>
  <c r="N26" i="1"/>
  <c r="AR28" i="1"/>
  <c r="AF8" i="1"/>
  <c r="Q10" i="1"/>
  <c r="AO24" i="1"/>
  <c r="AL8" i="1"/>
  <c r="W18" i="1"/>
  <c r="Z4" i="1"/>
  <c r="AU8" i="1"/>
  <c r="AC16" i="1"/>
  <c r="Z8" i="1"/>
  <c r="AF24" i="1"/>
  <c r="AC28" i="1"/>
  <c r="W10" i="1"/>
  <c r="AX16" i="1"/>
  <c r="AL14" i="1"/>
  <c r="W28" i="1"/>
  <c r="AX6" i="1"/>
  <c r="AU26" i="1"/>
  <c r="T26" i="1"/>
  <c r="AX20" i="1"/>
  <c r="AI24" i="1"/>
  <c r="Z16" i="1"/>
  <c r="AC26" i="1"/>
  <c r="W20" i="1"/>
  <c r="AL10" i="1"/>
  <c r="AU22" i="1"/>
  <c r="AR18" i="1"/>
  <c r="W26" i="1"/>
  <c r="AR8" i="1"/>
  <c r="T20" i="1"/>
  <c r="Q26" i="1"/>
  <c r="AF16" i="1"/>
  <c r="AU16" i="1"/>
  <c r="B18" i="7"/>
  <c r="AC30" i="1"/>
  <c r="D52" i="1"/>
  <c r="E52" i="1"/>
  <c r="C26" i="1" l="1"/>
  <c r="O28" i="1"/>
  <c r="C47" i="1"/>
  <c r="G47" i="1" s="1"/>
  <c r="AV26" i="1"/>
  <c r="E51" i="1"/>
  <c r="D51" i="1"/>
  <c r="A44" i="7" a="1"/>
  <c r="P33" i="1" s="1"/>
  <c r="A43" i="7" a="1"/>
  <c r="A45" i="7" a="1"/>
  <c r="A45" i="7" s="1"/>
  <c r="A46" i="7" a="1"/>
  <c r="A44" i="7" l="1"/>
  <c r="AB51" i="1"/>
  <c r="M47" i="1"/>
  <c r="AQ47" i="1"/>
  <c r="AW53" i="1"/>
  <c r="P47" i="1"/>
  <c r="AN45" i="1"/>
  <c r="M35" i="1"/>
  <c r="M43" i="1"/>
  <c r="AW39" i="1"/>
  <c r="V43" i="1"/>
  <c r="AK45" i="1"/>
  <c r="AQ49" i="1"/>
  <c r="AN47" i="1"/>
  <c r="V39" i="1"/>
  <c r="AE45" i="1"/>
  <c r="S55" i="1"/>
  <c r="AK39" i="1"/>
  <c r="S41" i="1"/>
  <c r="AT55" i="1"/>
  <c r="S53" i="1"/>
  <c r="V37" i="1"/>
  <c r="M57" i="1"/>
  <c r="AE37" i="1"/>
  <c r="AE39" i="1"/>
  <c r="AN55" i="1"/>
  <c r="Y43" i="1"/>
  <c r="AT41" i="1"/>
  <c r="AH55" i="1"/>
  <c r="AH51" i="1"/>
  <c r="Y39" i="1"/>
  <c r="AB55" i="1"/>
  <c r="V51" i="1"/>
  <c r="Y41" i="1"/>
  <c r="AQ41" i="1"/>
  <c r="AB53" i="1"/>
  <c r="AW41" i="1"/>
  <c r="P43" i="1"/>
  <c r="V49" i="1"/>
  <c r="Y33" i="1"/>
  <c r="Y47" i="1"/>
  <c r="AN35" i="1"/>
  <c r="AB47" i="1"/>
  <c r="P53" i="1"/>
  <c r="AH43" i="1"/>
  <c r="AN53" i="1"/>
  <c r="S39" i="1"/>
  <c r="AK49" i="1"/>
  <c r="Y57" i="1"/>
  <c r="Y45" i="1"/>
  <c r="V47" i="1"/>
  <c r="AT37" i="1"/>
  <c r="V53" i="1"/>
  <c r="AK57" i="1"/>
  <c r="AH45" i="1"/>
  <c r="S35" i="1"/>
  <c r="V35" i="1"/>
  <c r="AB35" i="1"/>
  <c r="S43" i="1"/>
  <c r="AB49" i="1"/>
  <c r="AQ37" i="1"/>
  <c r="AH39" i="1"/>
  <c r="S57" i="1"/>
  <c r="AB57" i="1"/>
  <c r="AT49" i="1"/>
  <c r="S33" i="1"/>
  <c r="S51" i="1"/>
  <c r="S47" i="1"/>
  <c r="Y35" i="1"/>
  <c r="AK35" i="1"/>
  <c r="V45" i="1"/>
  <c r="AK47" i="1"/>
  <c r="AT47" i="1"/>
  <c r="AE47" i="1"/>
  <c r="AH33" i="1"/>
  <c r="AH35" i="1"/>
  <c r="AN43" i="1"/>
  <c r="AQ35" i="1"/>
  <c r="AB33" i="1"/>
  <c r="AH57" i="1"/>
  <c r="Y53" i="1"/>
  <c r="P55" i="1"/>
  <c r="AQ33" i="1"/>
  <c r="P45" i="1"/>
  <c r="P39" i="1"/>
  <c r="AT45" i="1"/>
  <c r="P49" i="1"/>
  <c r="M53" i="1"/>
  <c r="AN49" i="1"/>
  <c r="V57" i="1"/>
  <c r="AN33" i="1"/>
  <c r="AN41" i="1"/>
  <c r="V41" i="1"/>
  <c r="AE41" i="1"/>
  <c r="M37" i="1"/>
  <c r="AH47" i="1"/>
  <c r="AQ45" i="1"/>
  <c r="P41" i="1"/>
  <c r="AT39" i="1"/>
  <c r="AW55" i="1"/>
  <c r="M51" i="1"/>
  <c r="AE51" i="1"/>
  <c r="AW33" i="1"/>
  <c r="AK55" i="1"/>
  <c r="AW47" i="1"/>
  <c r="AW35" i="1"/>
  <c r="AW43" i="1"/>
  <c r="AT35" i="1"/>
  <c r="AE53" i="1"/>
  <c r="Y49" i="1"/>
  <c r="AB39" i="1"/>
  <c r="AE57" i="1"/>
  <c r="AN39" i="1"/>
  <c r="AQ53" i="1"/>
  <c r="M33" i="1"/>
  <c r="AQ39" i="1"/>
  <c r="AN51" i="1"/>
  <c r="P35" i="1"/>
  <c r="AW49" i="1"/>
  <c r="M55" i="1"/>
  <c r="AE43" i="1"/>
  <c r="AT33" i="1"/>
  <c r="AT51" i="1"/>
  <c r="AH41" i="1"/>
  <c r="AN57" i="1"/>
  <c r="V33" i="1"/>
  <c r="AE35" i="1"/>
  <c r="Y51" i="1"/>
  <c r="AK37" i="1"/>
  <c r="AT53" i="1"/>
  <c r="AH49" i="1"/>
  <c r="AW45" i="1"/>
  <c r="AK51" i="1"/>
  <c r="M45" i="1"/>
  <c r="AQ43" i="1"/>
  <c r="AH53" i="1"/>
  <c r="AK33" i="1"/>
  <c r="AN37" i="1"/>
  <c r="AB43" i="1"/>
  <c r="AB37" i="1"/>
  <c r="AT57" i="1"/>
  <c r="AW57" i="1"/>
  <c r="AW51" i="1"/>
  <c r="AK43" i="1"/>
  <c r="AW37" i="1"/>
  <c r="AK53" i="1"/>
  <c r="AE49" i="1"/>
  <c r="AT43" i="1"/>
  <c r="AE33" i="1"/>
  <c r="M39" i="1"/>
  <c r="AK41" i="1"/>
  <c r="AB45" i="1"/>
  <c r="AQ57" i="1"/>
  <c r="S49" i="1"/>
  <c r="M49" i="1"/>
  <c r="M41" i="1"/>
  <c r="AB41" i="1"/>
  <c r="P37" i="1"/>
  <c r="S45" i="1"/>
  <c r="V55" i="1"/>
  <c r="AQ51" i="1"/>
  <c r="Y37" i="1"/>
  <c r="AH37" i="1"/>
  <c r="P51" i="1"/>
  <c r="S37" i="1"/>
  <c r="P57" i="1"/>
  <c r="AE55" i="1"/>
  <c r="Y55" i="1"/>
  <c r="AQ55" i="1"/>
  <c r="A46" i="7"/>
  <c r="A47" i="7" s="1"/>
  <c r="F47" i="7"/>
  <c r="E47" i="7"/>
  <c r="G47" i="7"/>
  <c r="C47" i="7"/>
  <c r="B47" i="7"/>
  <c r="D47" i="7"/>
  <c r="A43" i="7"/>
  <c r="ET47" i="7"/>
  <c r="BN53" i="1" s="1"/>
  <c r="EG47" i="7"/>
  <c r="BN51" i="1" s="1"/>
  <c r="DK47" i="7"/>
  <c r="BE49" i="1" s="1"/>
  <c r="Y47" i="7"/>
  <c r="U35" i="1" s="1"/>
  <c r="AV47" i="7"/>
  <c r="DY47" i="7"/>
  <c r="BF51" i="1" s="1"/>
  <c r="AR47" i="7"/>
  <c r="BJ47" i="7"/>
  <c r="BD41" i="1" s="1"/>
  <c r="CO47" i="7"/>
  <c r="BI45" i="1" s="1"/>
  <c r="T47" i="7"/>
  <c r="AS33" i="1" s="1"/>
  <c r="BK47" i="7"/>
  <c r="BE41" i="1" s="1"/>
  <c r="DN47" i="7"/>
  <c r="BH49" i="1" s="1"/>
  <c r="AU47" i="7"/>
  <c r="CJ47" i="7"/>
  <c r="BD45" i="1" s="1"/>
  <c r="AF47" i="7"/>
  <c r="FS47" i="7"/>
  <c r="W47" i="7"/>
  <c r="O35" i="1" s="1"/>
  <c r="BU47" i="7"/>
  <c r="DU47" i="7"/>
  <c r="AQ47" i="7"/>
  <c r="FT47" i="7"/>
  <c r="EZ47" i="7"/>
  <c r="BG55" i="1" s="1"/>
  <c r="AD47" i="7"/>
  <c r="M47" i="7"/>
  <c r="X33" i="1" s="1"/>
  <c r="DO47" i="7"/>
  <c r="BI49" i="1" s="1"/>
  <c r="DZ47" i="7"/>
  <c r="BG51" i="1" s="1"/>
  <c r="DJ47" i="7"/>
  <c r="BD49" i="1" s="1"/>
  <c r="CP47" i="7"/>
  <c r="BJ45" i="1" s="1"/>
  <c r="FJ47" i="7"/>
  <c r="BD57" i="1" s="1"/>
  <c r="DM47" i="7"/>
  <c r="BG49" i="1" s="1"/>
  <c r="FB47" i="7"/>
  <c r="BI55" i="1" s="1"/>
  <c r="DP47" i="7"/>
  <c r="BJ49" i="1" s="1"/>
  <c r="AI47" i="7"/>
  <c r="EI47" i="7"/>
  <c r="BC53" i="1" s="1"/>
  <c r="CT47" i="7"/>
  <c r="BN45" i="1" s="1"/>
  <c r="FG47" i="7"/>
  <c r="BN55" i="1" s="1"/>
  <c r="AO47" i="7"/>
  <c r="EO47" i="7"/>
  <c r="BI53" i="1" s="1"/>
  <c r="BZ47" i="7"/>
  <c r="BG43" i="1" s="1"/>
  <c r="EJ47" i="7"/>
  <c r="BD53" i="1" s="1"/>
  <c r="ES47" i="7"/>
  <c r="BM53" i="1" s="1"/>
  <c r="DL47" i="7"/>
  <c r="BF49" i="1" s="1"/>
  <c r="EX47" i="7"/>
  <c r="BE55" i="1" s="1"/>
  <c r="FF47" i="7"/>
  <c r="BM55" i="1" s="1"/>
  <c r="X47" i="7"/>
  <c r="R35" i="1" s="1"/>
  <c r="CZ47" i="7"/>
  <c r="BG47" i="1" s="1"/>
  <c r="DV47" i="7"/>
  <c r="BC51" i="1" s="1"/>
  <c r="EW47" i="7"/>
  <c r="BD55" i="1" s="1"/>
  <c r="FA47" i="7"/>
  <c r="BH55" i="1" s="1"/>
  <c r="J47" i="7"/>
  <c r="O33" i="1" s="1"/>
  <c r="ED47" i="7"/>
  <c r="BK51" i="1" s="1"/>
  <c r="FL47" i="7"/>
  <c r="BF57" i="1" s="1"/>
  <c r="FD47" i="7"/>
  <c r="BK55" i="1" s="1"/>
  <c r="FK47" i="7"/>
  <c r="BE57" i="1" s="1"/>
  <c r="AG47" i="7"/>
  <c r="DQ47" i="7"/>
  <c r="BK49" i="1" s="1"/>
  <c r="AM47" i="7"/>
  <c r="Z47" i="7"/>
  <c r="X35" i="1" s="1"/>
  <c r="AE47" i="7"/>
  <c r="EH47" i="7"/>
  <c r="AY47" i="7"/>
  <c r="EN47" i="7"/>
  <c r="BH53" i="1" s="1"/>
  <c r="FP47" i="7"/>
  <c r="BJ57" i="1" s="1"/>
  <c r="CK47" i="7"/>
  <c r="BE45" i="1" s="1"/>
  <c r="BF47" i="7"/>
  <c r="K47" i="7"/>
  <c r="R33" i="1" s="1"/>
  <c r="FQ47" i="7"/>
  <c r="BK57" i="1" s="1"/>
  <c r="CA47" i="7"/>
  <c r="BH43" i="1" s="1"/>
  <c r="CV47" i="7"/>
  <c r="DH47" i="7"/>
  <c r="EL47" i="7"/>
  <c r="BF53" i="1" s="1"/>
  <c r="AZ47" i="7"/>
  <c r="AP47" i="7"/>
  <c r="BB47" i="7"/>
  <c r="AT47" i="7"/>
  <c r="BH47" i="7"/>
  <c r="AX47" i="7"/>
  <c r="CH47" i="7"/>
  <c r="BE47" i="7"/>
  <c r="EB47" i="7"/>
  <c r="BI51" i="1" s="1"/>
  <c r="AN47" i="7"/>
  <c r="BI47" i="7"/>
  <c r="BD47" i="7"/>
  <c r="EV47" i="7"/>
  <c r="BC55" i="1" s="1"/>
  <c r="BV47" i="7"/>
  <c r="DD47" i="7"/>
  <c r="BK47" i="1" s="1"/>
  <c r="EU47" i="7"/>
  <c r="EA47" i="7"/>
  <c r="BH51" i="1" s="1"/>
  <c r="CX47" i="7"/>
  <c r="BE47" i="1" s="1"/>
  <c r="AH47" i="7"/>
  <c r="CG47" i="7"/>
  <c r="BN43" i="1" s="1"/>
  <c r="CI47" i="7"/>
  <c r="EK47" i="7"/>
  <c r="BE53" i="1" s="1"/>
  <c r="AS47" i="7"/>
  <c r="BY47" i="7"/>
  <c r="BF43" i="1" s="1"/>
  <c r="CL47" i="7"/>
  <c r="BF45" i="1" s="1"/>
  <c r="CF47" i="7"/>
  <c r="BM43" i="1" s="1"/>
  <c r="V47" i="7"/>
  <c r="L35" i="1" s="1"/>
  <c r="FN47" i="7"/>
  <c r="BH57" i="1" s="1"/>
  <c r="FI47" i="7"/>
  <c r="BC57" i="1" s="1"/>
  <c r="DB47" i="7"/>
  <c r="BI47" i="1" s="1"/>
  <c r="AB47" i="7"/>
  <c r="AD35" i="1" s="1"/>
  <c r="P47" i="7"/>
  <c r="AG33" i="1" s="1"/>
  <c r="I47" i="7"/>
  <c r="L33" i="1" s="1"/>
  <c r="EM47" i="7"/>
  <c r="BG53" i="1" s="1"/>
  <c r="CC47" i="7"/>
  <c r="BJ43" i="1" s="1"/>
  <c r="CQ47" i="7"/>
  <c r="BK45" i="1" s="1"/>
  <c r="CD47" i="7"/>
  <c r="BK43" i="1" s="1"/>
  <c r="EE47" i="7"/>
  <c r="BL51" i="1" s="1"/>
  <c r="DC47" i="7"/>
  <c r="BJ47" i="1" s="1"/>
  <c r="Q47" i="7"/>
  <c r="AJ33" i="1" s="1"/>
  <c r="EF47" i="7"/>
  <c r="BM51" i="1" s="1"/>
  <c r="CE47" i="7"/>
  <c r="BL43" i="1" s="1"/>
  <c r="N47" i="7"/>
  <c r="AA33" i="1" s="1"/>
  <c r="DX47" i="7"/>
  <c r="BE51" i="1" s="1"/>
  <c r="BO47" i="7"/>
  <c r="BI41" i="1" s="1"/>
  <c r="AC47" i="7"/>
  <c r="AG35" i="1" s="1"/>
  <c r="BP47" i="7"/>
  <c r="BJ41" i="1" s="1"/>
  <c r="EQ47" i="7"/>
  <c r="BK53" i="1" s="1"/>
  <c r="AL47" i="7"/>
  <c r="EC47" i="7"/>
  <c r="BJ51" i="1" s="1"/>
  <c r="DW47" i="7"/>
  <c r="BD51" i="1" s="1"/>
  <c r="BN47" i="7"/>
  <c r="BH41" i="1" s="1"/>
  <c r="BR47" i="7"/>
  <c r="BL41" i="1" s="1"/>
  <c r="CY47" i="7"/>
  <c r="BF47" i="1" s="1"/>
  <c r="BW47" i="7"/>
  <c r="BD43" i="1" s="1"/>
  <c r="FE47" i="7"/>
  <c r="BL55" i="1" s="1"/>
  <c r="CM47" i="7"/>
  <c r="BG45" i="1" s="1"/>
  <c r="FV47" i="7"/>
  <c r="U47" i="7"/>
  <c r="AV33" i="1" s="1"/>
  <c r="FR47" i="7"/>
  <c r="BL57" i="1" s="1"/>
  <c r="BG47" i="7"/>
  <c r="BM47" i="7"/>
  <c r="BG41" i="1" s="1"/>
  <c r="CR47" i="7"/>
  <c r="BL45" i="1" s="1"/>
  <c r="L47" i="7"/>
  <c r="U33" i="1" s="1"/>
  <c r="BA47" i="7"/>
  <c r="R47" i="7"/>
  <c r="AM33" i="1" s="1"/>
  <c r="BC47" i="7"/>
  <c r="AJ47" i="7"/>
  <c r="AK47" i="7"/>
  <c r="FC47" i="7"/>
  <c r="BJ55" i="1" s="1"/>
  <c r="AW47" i="7"/>
  <c r="BX47" i="7"/>
  <c r="BE43" i="1" s="1"/>
  <c r="BT47" i="7"/>
  <c r="BN41" i="1" s="1"/>
  <c r="EP47" i="7"/>
  <c r="BJ53" i="1" s="1"/>
  <c r="ER47" i="7"/>
  <c r="BL53" i="1" s="1"/>
  <c r="FU47" i="7"/>
  <c r="DG47" i="7"/>
  <c r="BN47" i="1" s="1"/>
  <c r="EY47" i="7"/>
  <c r="BF55" i="1" s="1"/>
  <c r="FH47" i="7"/>
  <c r="BL47" i="7"/>
  <c r="BF41" i="1" s="1"/>
  <c r="CN47" i="7"/>
  <c r="BH45" i="1" s="1"/>
  <c r="DR47" i="7"/>
  <c r="BL49" i="1" s="1"/>
  <c r="CS47" i="7"/>
  <c r="BM45" i="1" s="1"/>
  <c r="DS47" i="7"/>
  <c r="BM49" i="1" s="1"/>
  <c r="DT47" i="7"/>
  <c r="BN49" i="1" s="1"/>
  <c r="O47" i="7"/>
  <c r="AD33" i="1" s="1"/>
  <c r="DI47" i="7"/>
  <c r="FO47" i="7"/>
  <c r="BI57" i="1" s="1"/>
  <c r="S47" i="7"/>
  <c r="AP33" i="1" s="1"/>
  <c r="BQ47" i="7"/>
  <c r="BK41" i="1" s="1"/>
  <c r="DA47" i="7"/>
  <c r="BH47" i="1" s="1"/>
  <c r="FM47" i="7"/>
  <c r="BG57" i="1" s="1"/>
  <c r="DF47" i="7"/>
  <c r="BM47" i="1" s="1"/>
  <c r="AA47" i="7"/>
  <c r="AA35" i="1" s="1"/>
  <c r="DE47" i="7"/>
  <c r="BL47" i="1" s="1"/>
  <c r="BS47" i="7"/>
  <c r="BM41" i="1" s="1"/>
  <c r="CB47" i="7"/>
  <c r="BI43" i="1" s="1"/>
  <c r="CU47" i="7"/>
  <c r="CW47" i="7"/>
  <c r="BD47" i="1" s="1"/>
  <c r="O47" i="1" l="1"/>
  <c r="AA47" i="1"/>
  <c r="AP45" i="1"/>
  <c r="AM53" i="1"/>
  <c r="O51" i="1"/>
  <c r="AD43" i="1"/>
  <c r="AG47" i="1"/>
  <c r="AP37" i="1"/>
  <c r="AJ47" i="1"/>
  <c r="AV43" i="1"/>
  <c r="AV47" i="1"/>
  <c r="AA53" i="1"/>
  <c r="R57" i="1"/>
  <c r="X47" i="1"/>
  <c r="AD53" i="1"/>
  <c r="X49" i="1"/>
  <c r="X55" i="1"/>
  <c r="O45" i="1"/>
  <c r="U51" i="1"/>
  <c r="AG43" i="1"/>
  <c r="AV35" i="1"/>
  <c r="AM43" i="1"/>
  <c r="AM55" i="1"/>
  <c r="AV55" i="1"/>
  <c r="O43" i="1"/>
  <c r="U55" i="1"/>
  <c r="AG55" i="1"/>
  <c r="U47" i="1"/>
  <c r="AD37" i="1"/>
  <c r="O57" i="1"/>
  <c r="AS57" i="1"/>
  <c r="AV37" i="1"/>
  <c r="L39" i="1"/>
  <c r="AJ41" i="1"/>
  <c r="AM49" i="1"/>
  <c r="AP43" i="1"/>
  <c r="AP39" i="1"/>
  <c r="AS53" i="1"/>
  <c r="AD57" i="1"/>
  <c r="AM47" i="1"/>
  <c r="X41" i="1"/>
  <c r="AG39" i="1"/>
  <c r="X53" i="1"/>
  <c r="AA37" i="1"/>
  <c r="AA55" i="1"/>
  <c r="AD45" i="1"/>
  <c r="AP41" i="1"/>
  <c r="R43" i="1"/>
  <c r="L49" i="1"/>
  <c r="O39" i="1"/>
  <c r="AM45" i="1"/>
  <c r="AG41" i="1"/>
  <c r="AM51" i="1"/>
  <c r="AD47" i="1"/>
  <c r="R53" i="1"/>
  <c r="L43" i="1"/>
  <c r="R39" i="1"/>
  <c r="L47" i="1"/>
  <c r="U39" i="1"/>
  <c r="AJ55" i="1"/>
  <c r="AP47" i="1"/>
  <c r="AS49" i="1"/>
  <c r="AS47" i="1"/>
  <c r="R37" i="1"/>
  <c r="AS39" i="1"/>
  <c r="AM41" i="1"/>
  <c r="AD41" i="1"/>
  <c r="AJ43" i="1"/>
  <c r="L57" i="1"/>
  <c r="L45" i="1"/>
  <c r="L55" i="1"/>
  <c r="AV39" i="1"/>
  <c r="AA43" i="1"/>
  <c r="AV51" i="1"/>
  <c r="U57" i="1"/>
  <c r="AP55" i="1"/>
  <c r="AS55" i="1"/>
  <c r="AG45" i="1"/>
  <c r="AJ37" i="1"/>
  <c r="AA49" i="1"/>
  <c r="X57" i="1"/>
  <c r="AP49" i="1"/>
  <c r="AV57" i="1"/>
  <c r="O37" i="1"/>
  <c r="AM57" i="1"/>
  <c r="AA41" i="1"/>
  <c r="R51" i="1"/>
  <c r="AJ45" i="1"/>
  <c r="AA57" i="1"/>
  <c r="AS43" i="1"/>
  <c r="AJ39" i="1"/>
  <c r="AS37" i="1"/>
  <c r="AJ57" i="1"/>
  <c r="AM35" i="1"/>
  <c r="AJ51" i="1"/>
  <c r="R55" i="1"/>
  <c r="AS45" i="1"/>
  <c r="O49" i="1"/>
  <c r="AV49" i="1"/>
  <c r="R41" i="1"/>
  <c r="R49" i="1"/>
  <c r="U49" i="1"/>
  <c r="L53" i="1"/>
  <c r="X51" i="1"/>
  <c r="AV41" i="1"/>
  <c r="AS51" i="1"/>
  <c r="L41" i="1"/>
  <c r="AA45" i="1"/>
  <c r="AS41" i="1"/>
  <c r="AA39" i="1"/>
  <c r="X45" i="1"/>
  <c r="U37" i="1"/>
  <c r="AP51" i="1"/>
  <c r="U45" i="1"/>
  <c r="AA51" i="1"/>
  <c r="AD51" i="1"/>
  <c r="X39" i="1"/>
  <c r="R45" i="1"/>
  <c r="AJ49" i="1"/>
  <c r="O55" i="1"/>
  <c r="O53" i="1"/>
  <c r="AG49" i="1"/>
  <c r="AP57" i="1"/>
  <c r="O41" i="1"/>
  <c r="AD39" i="1"/>
  <c r="AV45" i="1"/>
  <c r="AG53" i="1"/>
  <c r="AG51" i="1"/>
  <c r="R47" i="1"/>
  <c r="AG37" i="1"/>
  <c r="X37" i="1"/>
  <c r="AP53" i="1"/>
  <c r="L37" i="1"/>
  <c r="AD49" i="1"/>
  <c r="U41" i="1"/>
  <c r="AJ53" i="1"/>
  <c r="U43" i="1"/>
  <c r="AV53" i="1"/>
  <c r="AM39" i="1"/>
  <c r="U53" i="1"/>
  <c r="AG57" i="1"/>
  <c r="AS35" i="1"/>
  <c r="L51" i="1"/>
  <c r="X43" i="1"/>
  <c r="AD55" i="1"/>
  <c r="AJ35" i="1"/>
  <c r="AP35" i="1"/>
  <c r="AM37"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<sst xmlns="http://schemas.openxmlformats.org/spreadsheetml/2006/main" count="4897" uniqueCount="278">
  <si>
    <t>A</t>
  </si>
  <si>
    <t>K</t>
  </si>
  <si>
    <t>Q</t>
  </si>
  <si>
    <t>J</t>
  </si>
  <si>
    <t>T</t>
  </si>
  <si>
    <t>Fold</t>
  </si>
  <si>
    <t>Call</t>
  </si>
  <si>
    <t>RFI</t>
  </si>
  <si>
    <t>BB</t>
  </si>
  <si>
    <t>SB</t>
  </si>
  <si>
    <t>BT</t>
  </si>
  <si>
    <t>CO</t>
  </si>
  <si>
    <t>HJ</t>
  </si>
  <si>
    <t>LJ</t>
  </si>
  <si>
    <t>MP</t>
  </si>
  <si>
    <t>UTG</t>
  </si>
  <si>
    <t>Raise</t>
  </si>
  <si>
    <t>AA</t>
  </si>
  <si>
    <t>AKs</t>
  </si>
  <si>
    <t>AQs</t>
  </si>
  <si>
    <t>AJs</t>
  </si>
  <si>
    <t>ATs</t>
  </si>
  <si>
    <t>A9s</t>
  </si>
  <si>
    <t>A8s</t>
  </si>
  <si>
    <t>A7s</t>
  </si>
  <si>
    <t>A6s</t>
  </si>
  <si>
    <t>A5s</t>
  </si>
  <si>
    <t>A4s</t>
  </si>
  <si>
    <t>A3s</t>
  </si>
  <si>
    <t>A2s</t>
  </si>
  <si>
    <t>AKo</t>
  </si>
  <si>
    <t>KK</t>
  </si>
  <si>
    <t>KQs</t>
  </si>
  <si>
    <t>KJs</t>
  </si>
  <si>
    <t>KTs</t>
  </si>
  <si>
    <t>K9s</t>
  </si>
  <si>
    <t>K8s</t>
  </si>
  <si>
    <t>K7s</t>
  </si>
  <si>
    <t>K6s</t>
  </si>
  <si>
    <t>K5s</t>
  </si>
  <si>
    <t>K4s</t>
  </si>
  <si>
    <t>K3s</t>
  </si>
  <si>
    <t>K2s</t>
  </si>
  <si>
    <t>AQo</t>
  </si>
  <si>
    <t>KQo</t>
  </si>
  <si>
    <t>QQ</t>
  </si>
  <si>
    <t>QJs</t>
  </si>
  <si>
    <t>QTs</t>
  </si>
  <si>
    <t>Q9s</t>
  </si>
  <si>
    <t>Q8s</t>
  </si>
  <si>
    <t>Q7s</t>
  </si>
  <si>
    <t>Q6s</t>
  </si>
  <si>
    <t>Q5s</t>
  </si>
  <si>
    <t>Q4s</t>
  </si>
  <si>
    <t>Q3s</t>
  </si>
  <si>
    <t>Q2s</t>
  </si>
  <si>
    <t>AJo</t>
  </si>
  <si>
    <t>KJo</t>
  </si>
  <si>
    <t>QJo</t>
  </si>
  <si>
    <t>JJ</t>
  </si>
  <si>
    <t>JTs</t>
  </si>
  <si>
    <t>J9s</t>
  </si>
  <si>
    <t>J8s</t>
  </si>
  <si>
    <t>J7s</t>
  </si>
  <si>
    <t>J6s</t>
  </si>
  <si>
    <t>J5s</t>
  </si>
  <si>
    <t>J4s</t>
  </si>
  <si>
    <t>J3s</t>
  </si>
  <si>
    <t>J2s</t>
  </si>
  <si>
    <t>ATo</t>
  </si>
  <si>
    <t>KTo</t>
  </si>
  <si>
    <t>QTo</t>
  </si>
  <si>
    <t>JTo</t>
  </si>
  <si>
    <t>TT</t>
  </si>
  <si>
    <t>T9s</t>
  </si>
  <si>
    <t>T8s</t>
  </si>
  <si>
    <t>T7s</t>
  </si>
  <si>
    <t>T6s</t>
  </si>
  <si>
    <t>T5s</t>
  </si>
  <si>
    <t>T4s</t>
  </si>
  <si>
    <t>T3s</t>
  </si>
  <si>
    <t>T2s</t>
  </si>
  <si>
    <t>A9o</t>
  </si>
  <si>
    <t>K9o</t>
  </si>
  <si>
    <t>Q9o</t>
  </si>
  <si>
    <t>J9o</t>
  </si>
  <si>
    <t>T9o</t>
  </si>
  <si>
    <t>99</t>
  </si>
  <si>
    <t>98s</t>
  </si>
  <si>
    <t>97s</t>
  </si>
  <si>
    <t>96s</t>
  </si>
  <si>
    <t>95s</t>
  </si>
  <si>
    <t>94s</t>
  </si>
  <si>
    <t>93s</t>
  </si>
  <si>
    <t>92s</t>
  </si>
  <si>
    <t>A8o</t>
  </si>
  <si>
    <t>K8o</t>
  </si>
  <si>
    <t>Q8o</t>
  </si>
  <si>
    <t>J8o</t>
  </si>
  <si>
    <t>T8o</t>
  </si>
  <si>
    <t>98o</t>
  </si>
  <si>
    <t>88</t>
  </si>
  <si>
    <t>87s</t>
  </si>
  <si>
    <t>86s</t>
  </si>
  <si>
    <t>85s</t>
  </si>
  <si>
    <t>84s</t>
  </si>
  <si>
    <t>83s</t>
  </si>
  <si>
    <t>82s</t>
  </si>
  <si>
    <t>A7o</t>
  </si>
  <si>
    <t>K7o</t>
  </si>
  <si>
    <t>Q7o</t>
  </si>
  <si>
    <t>J7o</t>
  </si>
  <si>
    <t>T7o</t>
  </si>
  <si>
    <t>97o</t>
  </si>
  <si>
    <t>87o</t>
  </si>
  <si>
    <t>77</t>
  </si>
  <si>
    <t>76s</t>
  </si>
  <si>
    <t>75s</t>
  </si>
  <si>
    <t>74s</t>
  </si>
  <si>
    <t>73s</t>
  </si>
  <si>
    <t>72s</t>
  </si>
  <si>
    <t>A6o</t>
  </si>
  <si>
    <t>K6o</t>
  </si>
  <si>
    <t>Q6o</t>
  </si>
  <si>
    <t>J6o</t>
  </si>
  <si>
    <t>T6o</t>
  </si>
  <si>
    <t>96o</t>
  </si>
  <si>
    <t>86o</t>
  </si>
  <si>
    <t>76o</t>
  </si>
  <si>
    <t>66</t>
  </si>
  <si>
    <t>65s</t>
  </si>
  <si>
    <t>64s</t>
  </si>
  <si>
    <t>63s</t>
  </si>
  <si>
    <t>62s</t>
  </si>
  <si>
    <t>A5o</t>
  </si>
  <si>
    <t>K5o</t>
  </si>
  <si>
    <t>Q5o</t>
  </si>
  <si>
    <t>J5o</t>
  </si>
  <si>
    <t>T5o</t>
  </si>
  <si>
    <t>95o</t>
  </si>
  <si>
    <t>85o</t>
  </si>
  <si>
    <t>75o</t>
  </si>
  <si>
    <t>65o</t>
  </si>
  <si>
    <t>55</t>
  </si>
  <si>
    <t>54s</t>
  </si>
  <si>
    <t>53s</t>
  </si>
  <si>
    <t>52s</t>
  </si>
  <si>
    <t>A4o</t>
  </si>
  <si>
    <t>K4o</t>
  </si>
  <si>
    <t>Q4o</t>
  </si>
  <si>
    <t>J4o</t>
  </si>
  <si>
    <t>T4o</t>
  </si>
  <si>
    <t>94o</t>
  </si>
  <si>
    <t>84o</t>
  </si>
  <si>
    <t>74o</t>
  </si>
  <si>
    <t>64o</t>
  </si>
  <si>
    <t>54o</t>
  </si>
  <si>
    <t>44</t>
  </si>
  <si>
    <t>43s</t>
  </si>
  <si>
    <t>42s</t>
  </si>
  <si>
    <t>A3o</t>
  </si>
  <si>
    <t>K3o</t>
  </si>
  <si>
    <t>Q3o</t>
  </si>
  <si>
    <t>J3o</t>
  </si>
  <si>
    <t>T3o</t>
  </si>
  <si>
    <t>93o</t>
  </si>
  <si>
    <t>83o</t>
  </si>
  <si>
    <t>73o</t>
  </si>
  <si>
    <t>63o</t>
  </si>
  <si>
    <t>53o</t>
  </si>
  <si>
    <t>43o</t>
  </si>
  <si>
    <t>33</t>
  </si>
  <si>
    <t>32s</t>
  </si>
  <si>
    <t>A2o</t>
  </si>
  <si>
    <t>K2o</t>
  </si>
  <si>
    <t>Q2o</t>
  </si>
  <si>
    <t>J2o</t>
  </si>
  <si>
    <t>T2o</t>
  </si>
  <si>
    <t>92o</t>
  </si>
  <si>
    <t>82o</t>
  </si>
  <si>
    <t>72o</t>
  </si>
  <si>
    <t>62o</t>
  </si>
  <si>
    <t>52o</t>
  </si>
  <si>
    <t>42o</t>
  </si>
  <si>
    <t>32o</t>
  </si>
  <si>
    <t>22</t>
  </si>
  <si>
    <t># of Players</t>
  </si>
  <si>
    <t>Game Type</t>
  </si>
  <si>
    <t>Number of blinds</t>
  </si>
  <si>
    <t>Position</t>
  </si>
  <si>
    <t>Raises</t>
  </si>
  <si>
    <t>Blinds</t>
  </si>
  <si>
    <t>Action</t>
  </si>
  <si>
    <t>Players</t>
  </si>
  <si>
    <t>R</t>
  </si>
  <si>
    <t>C</t>
  </si>
  <si>
    <t>F</t>
  </si>
  <si>
    <t>None</t>
  </si>
  <si>
    <t>% Hands</t>
  </si>
  <si>
    <t>First In</t>
  </si>
  <si>
    <t>First in</t>
  </si>
  <si>
    <t>No</t>
  </si>
  <si>
    <t>First Raise</t>
  </si>
  <si>
    <t>Second Raise</t>
  </si>
  <si>
    <t>Hand</t>
  </si>
  <si>
    <t>Raise Amount</t>
  </si>
  <si>
    <t>Variable</t>
  </si>
  <si>
    <t>SB Add</t>
  </si>
  <si>
    <t>BB Add</t>
  </si>
  <si>
    <t>4-Bet IP</t>
  </si>
  <si>
    <t>4-bet OOP</t>
  </si>
  <si>
    <t>Min</t>
  </si>
  <si>
    <t>Max</t>
  </si>
  <si>
    <t>3-Bet IP</t>
  </si>
  <si>
    <t>3-bet OOP</t>
  </si>
  <si>
    <t>Default Raise Sizes</t>
  </si>
  <si>
    <t>Raise Type</t>
  </si>
  <si>
    <t>Currrent Raise</t>
  </si>
  <si>
    <t>Current Raiser</t>
  </si>
  <si>
    <t>Your Position</t>
  </si>
  <si>
    <t>RB</t>
  </si>
  <si>
    <t>RT</t>
  </si>
  <si>
    <t>R = Raise Value</t>
  </si>
  <si>
    <t>C = Call</t>
  </si>
  <si>
    <t>F = Fold</t>
  </si>
  <si>
    <t>RB = Raise Bluff</t>
  </si>
  <si>
    <t>RT = Raise Total</t>
  </si>
  <si>
    <t>Bluffs</t>
  </si>
  <si>
    <t>Hero Range</t>
  </si>
  <si>
    <t>Villian Range</t>
  </si>
  <si>
    <t>Villain</t>
  </si>
  <si>
    <t>Yes</t>
  </si>
  <si>
    <t>Max Raise</t>
  </si>
  <si>
    <t>Min Raise</t>
  </si>
  <si>
    <t>SB LIMP</t>
  </si>
  <si>
    <t>BB ALL</t>
  </si>
  <si>
    <t>H</t>
  </si>
  <si>
    <t>D</t>
  </si>
  <si>
    <t>S</t>
  </si>
  <si>
    <t>Button Color</t>
  </si>
  <si>
    <t>Font Color</t>
  </si>
  <si>
    <t>FFFFFF</t>
  </si>
  <si>
    <t>EP</t>
  </si>
  <si>
    <t>Button</t>
  </si>
  <si>
    <t>Others</t>
  </si>
  <si>
    <t>Position Overide</t>
  </si>
  <si>
    <t>Total VPIP</t>
  </si>
  <si>
    <t>Mine</t>
  </si>
  <si>
    <t>Pos 8</t>
  </si>
  <si>
    <t>Pos 9</t>
  </si>
  <si>
    <t>Hands</t>
  </si>
  <si>
    <t>E42</t>
  </si>
  <si>
    <t>C41</t>
  </si>
  <si>
    <t>B35</t>
  </si>
  <si>
    <t>C30</t>
  </si>
  <si>
    <t>E29</t>
  </si>
  <si>
    <t>G30</t>
  </si>
  <si>
    <t>H35</t>
  </si>
  <si>
    <t>G40</t>
  </si>
  <si>
    <t>C42</t>
  </si>
  <si>
    <t>B36</t>
  </si>
  <si>
    <t>C31</t>
  </si>
  <si>
    <t>F29</t>
  </si>
  <si>
    <t>D29</t>
  </si>
  <si>
    <t>H31</t>
  </si>
  <si>
    <t>H36</t>
  </si>
  <si>
    <t>G41</t>
  </si>
  <si>
    <t>Chart Area</t>
  </si>
  <si>
    <t>E43</t>
  </si>
  <si>
    <t>Flop</t>
  </si>
  <si>
    <t>Turn</t>
  </si>
  <si>
    <t>River</t>
  </si>
  <si>
    <t>VPIP</t>
  </si>
  <si>
    <t>Cash</t>
  </si>
  <si>
    <t>Into the Tank - Live Poker Study Sessions</t>
  </si>
  <si>
    <t>https://discord.gg/xMVaC45xJP</t>
  </si>
  <si>
    <t>https://intothetank.github.io/</t>
  </si>
  <si>
    <r>
      <t xml:space="preserve">Hi there.
I am Nick, I run a discord called Into the Tank that is designed to help practice playing poker with intention.
I set up poker sessions and then we play hands before pausing to walk through the thinking. The intention it to get better at running through the key information before arriving at a decision in live poker play.
This is a pretty rough tool I put together to study the appropriate opening and 3 bet ranges for different positions, as well as a rough calculation of raise sizing. There are better tools available, though often pay gated.
It was designed to allow you to walk through the hand. If you hit "Next Hand" it will walk you through the positions. You can then click on the positions of your oponents - one click is a call (or limp), two clicks is a raise.
The top chart shows you what your approximate "range" should be, and the bottom shows that of the opponent who most recently bet. You can copy their range over to the right where you can interact and adjust it as you see fit. Clicking or dragging across cells will select or deselct them.
Main Limitations:
</t>
    </r>
    <r>
      <rPr>
        <sz val="10"/>
        <color theme="1"/>
        <rFont val="Calibri"/>
        <family val="2"/>
        <scheme val="minor"/>
      </rPr>
      <t>-It will default to the closest chart that was avaiable for input based on number of hands dealt and blind size - which may not be perfect
-It is limited to open ranges, opponent raises, and 3 betting opponent ranges - there are no 4 or 5 bets
-The charts are static, I used various resources online to pull them, and they may not be perfectly accurate or up to date
-It does not assign partials, only full value fold, call, check, bet, or raise. It is capable of partials, but I simplified the charts I added in</t>
    </r>
    <r>
      <rPr>
        <sz val="11"/>
        <color theme="1"/>
        <rFont val="Calibri"/>
        <family val="2"/>
        <scheme val="minor"/>
      </rPr>
      <t xml:space="preserve">
The worksheet is unprotected. Feel free to unprotect it and play with the VBA formulas if you want to improve it or change it for personal use.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</si>
</sst>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4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4"/>
      <color theme="1"/>
      <name val="Arial"/>
      <family val="2"/>
    </font>
    <font>
      <sz val="11"/>
      <color theme="1"/>
      <name val="Calibri"/>
      <family val="2"/>
      <scheme val="minor"/>
    </font>
    <font>
      <sz val="11"/>
      <color theme="1"/>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8"/>
      <name val="Calibri"/>
      <family val="2"/>
      <scheme val="minor"/>
    </font>
    <font>
      <b/>
      <sz val="11"/>
      <color theme="1"/>
      <name val="Arial"/>
      <family val="2"/>
    </font>
    <font>
      <sz val="10"/>
      <color theme="1"/>
      <name val="Calibri"/>
      <family val="2"/>
      <scheme val="minor"/>
    </font>
    <font>
      <sz val="10"/>
      <color theme="1"/>
      <name val="Arial"/>
      <family val="2"/>
    </font>
    <font>
      <b/>
      <sz val="10"/>
      <name val="Arial"/>
      <family val="2"/>
    </font>
    <font>
      <b/>
      <sz val="11"/>
      <name val="Arial"/>
      <family val="2"/>
    </font>
    <font>
      <sz val="9"/>
      <color theme="1"/>
      <name val="Calibri"/>
      <family val="2"/>
      <scheme val="minor"/>
    </font>
    <font>
      <sz val="8"/>
      <color theme="1"/>
      <name val="Calibri"/>
      <family val="2"/>
      <scheme val="minor"/>
    </font>
    <font>
      <sz val="6"/>
      <color rgb="FF9C0006"/>
      <name val="Calibri"/>
      <family val="2"/>
      <scheme val="minor"/>
    </font>
    <font>
      <sz val="6"/>
      <color rgb="FF006100"/>
      <name val="Calibri"/>
      <family val="2"/>
      <scheme val="minor"/>
    </font>
    <font>
      <sz val="6"/>
      <name val="Calibri"/>
      <family val="2"/>
      <scheme val="minor"/>
    </font>
    <font>
      <sz val="6"/>
      <color theme="1"/>
      <name val="Calibri"/>
      <family val="2"/>
      <scheme val="minor"/>
    </font>
    <font>
      <sz val="9"/>
      <color rgb="FF9C5700"/>
      <name val="Calibri"/>
      <family val="2"/>
      <scheme val="minor"/>
    </font>
    <font>
      <b/>
      <sz val="9"/>
      <color theme="1"/>
      <name val="Calibri"/>
      <family val="2"/>
      <scheme val="minor"/>
    </font>
    <font>
      <b/>
      <sz val="8"/>
      <color theme="1"/>
      <name val="Calibri"/>
      <family val="2"/>
      <scheme val="minor"/>
    </font>
    <font>
      <sz val="11"/>
      <color rgb="FFC00000"/>
      <name val="Calibri"/>
      <family val="2"/>
      <scheme val="minor"/>
    </font>
  </fonts>
  <fills count="2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6"/>
      </patternFill>
    </fill>
    <fill>
      <patternFill patternType="solid">
        <fgColor rgb="FFFFD3D3"/>
        <bgColor indexed="64"/>
      </patternFill>
    </fill>
    <fill>
      <patternFill patternType="solid">
        <fgColor rgb="FFD6BBEB"/>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rgb="FFFF9393"/>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1"/>
        <bgColor indexed="64"/>
      </patternFill>
    </fill>
    <fill>
      <patternFill patternType="solid">
        <fgColor rgb="FFFF6D6D"/>
        <bgColor indexed="64"/>
      </patternFill>
    </fill>
    <fill>
      <patternFill patternType="solid">
        <fgColor theme="9" tint="0.39997558519241921"/>
        <bgColor indexed="64"/>
      </patternFill>
    </fill>
    <fill>
      <patternFill patternType="solid">
        <fgColor theme="3"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FF00"/>
        <bgColor indexed="64"/>
      </patternFill>
    </fill>
  </fills>
  <borders count="19">
    <border>
      <left/>
      <right/>
      <top/>
      <bottom/>
      <diagonal/>
    </border>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auto="1"/>
      </right>
      <top/>
      <bottom/>
      <diagonal/>
    </border>
  </borders>
  <cellStyleXfs count="7">
    <xf numFmtId="0" fontId="0" fillId="0" borderId="0"/>
    <xf numFmtId="9" fontId="19" fillId="0" borderId="0" applyFont="0" applyFill="0" applyBorder="0" applyAlignment="0" applyProtection="0"/>
    <xf numFmtId="0" fontId="21" fillId="2" borderId="0" applyNumberFormat="0" applyBorder="0" applyAlignment="0" applyProtection="0"/>
    <xf numFmtId="0" fontId="22" fillId="3" borderId="0" applyNumberFormat="0" applyBorder="0" applyAlignment="0" applyProtection="0"/>
    <xf numFmtId="0" fontId="23" fillId="4" borderId="0" applyNumberFormat="0" applyBorder="0" applyAlignment="0" applyProtection="0"/>
    <xf numFmtId="0" fontId="25" fillId="5" borderId="0" applyNumberFormat="0" applyBorder="0" applyAlignment="0" applyProtection="0"/>
    <xf numFmtId="0" fontId="1" fillId="0" borderId="1"/>
  </cellStyleXfs>
  <cellXfs count="109">
    <xf numFmtId="0" fontId="0" fillId="0" borderId="0" xfId="0" applyAlignment="1">
      <alignment horizontal="center" vertical="center"/>
    </xf>
    <xf numFmtId="0" fontId="18" fillId="0" borderId="0" xfId="0" applyFont="1" applyAlignment="1">
      <alignment horizontal="center" vertical="center"/>
    </xf>
    <xf numFmtId="0" fontId="19" fillId="0" borderId="0" xfId="0" applyFont="1" applyAlignment="1">
      <alignment horizontal="center" vertical="center"/>
    </xf>
    <xf numFmtId="0" fontId="20" fillId="0" borderId="0" xfId="0" applyFont="1" applyAlignment="1">
      <alignment horizontal="left" vertical="center"/>
    </xf>
    <xf numFmtId="0" fontId="19" fillId="0" borderId="0" xfId="0" applyFont="1" applyAlignment="1">
      <alignment horizontal="left" vertical="center"/>
    </xf>
    <xf numFmtId="0" fontId="23" fillId="4" borderId="2" xfId="4" applyBorder="1" applyAlignment="1">
      <alignment horizontal="center" vertical="center"/>
    </xf>
    <xf numFmtId="0" fontId="0" fillId="0" borderId="1" xfId="0" applyBorder="1"/>
    <xf numFmtId="0" fontId="17" fillId="0" borderId="1" xfId="0" applyFont="1" applyBorder="1"/>
    <xf numFmtId="0" fontId="17" fillId="0" borderId="0" xfId="0" applyFont="1" applyAlignment="1">
      <alignment horizontal="center" vertical="center"/>
    </xf>
    <xf numFmtId="0" fontId="0" fillId="0" borderId="2" xfId="0" applyBorder="1"/>
    <xf numFmtId="1" fontId="0" fillId="0" borderId="0" xfId="0" applyNumberFormat="1" applyAlignment="1">
      <alignment horizontal="center" vertical="center"/>
    </xf>
    <xf numFmtId="2" fontId="0" fillId="0" borderId="0" xfId="0" applyNumberFormat="1" applyAlignment="1">
      <alignment horizontal="center" vertical="center"/>
    </xf>
    <xf numFmtId="0" fontId="0" fillId="0" borderId="1" xfId="0" applyBorder="1" applyAlignment="1">
      <alignment horizontal="center"/>
    </xf>
    <xf numFmtId="0" fontId="24" fillId="0" borderId="0" xfId="0" applyFont="1" applyAlignment="1">
      <alignment horizontal="center"/>
    </xf>
    <xf numFmtId="0" fontId="24" fillId="0" borderId="0" xfId="0" applyFont="1" applyAlignment="1">
      <alignment horizontal="center" vertical="center"/>
    </xf>
    <xf numFmtId="0" fontId="0" fillId="0" borderId="1" xfId="0" applyBorder="1" applyAlignment="1">
      <alignment horizontal="center" vertical="center"/>
    </xf>
    <xf numFmtId="164" fontId="0" fillId="0" borderId="0" xfId="1" applyNumberFormat="1" applyFont="1" applyAlignment="1">
      <alignment horizontal="center" vertical="center"/>
    </xf>
    <xf numFmtId="0" fontId="16" fillId="0" borderId="0" xfId="0" applyFont="1" applyAlignment="1">
      <alignment horizontal="center" vertical="center"/>
    </xf>
    <xf numFmtId="165" fontId="0" fillId="0" borderId="0" xfId="0" applyNumberFormat="1" applyAlignment="1">
      <alignment horizontal="center" vertical="center"/>
    </xf>
    <xf numFmtId="0" fontId="15" fillId="0" borderId="0" xfId="0" applyFont="1" applyAlignment="1">
      <alignment horizontal="center" vertical="center"/>
    </xf>
    <xf numFmtId="0" fontId="14" fillId="0" borderId="0" xfId="0" applyFont="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vertical="center"/>
    </xf>
    <xf numFmtId="0" fontId="11" fillId="0" borderId="0" xfId="0" applyFont="1"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0" borderId="0" xfId="0" applyFont="1" applyAlignment="1">
      <alignment horizontal="center" vertical="center"/>
    </xf>
    <xf numFmtId="0" fontId="0" fillId="11" borderId="0" xfId="0" applyFill="1" applyAlignment="1">
      <alignment horizontal="center" vertical="center"/>
    </xf>
    <xf numFmtId="0" fontId="26" fillId="9" borderId="0" xfId="0" applyFont="1" applyFill="1" applyAlignment="1">
      <alignment horizontal="center" vertical="center"/>
    </xf>
    <xf numFmtId="0" fontId="7" fillId="6" borderId="0" xfId="0" applyFont="1" applyFill="1" applyAlignment="1">
      <alignment horizontal="center" vertical="center"/>
    </xf>
    <xf numFmtId="0" fontId="7" fillId="12" borderId="0" xfId="0" applyFont="1" applyFill="1" applyAlignment="1">
      <alignment horizontal="center" vertical="center"/>
    </xf>
    <xf numFmtId="0" fontId="7" fillId="8" borderId="0" xfId="0" applyFont="1" applyFill="1" applyAlignment="1">
      <alignment horizontal="center" vertic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7" fillId="15" borderId="0" xfId="0" applyFont="1" applyFill="1" applyAlignment="1">
      <alignment horizontal="center" vertical="center"/>
    </xf>
    <xf numFmtId="0" fontId="0" fillId="16" borderId="0" xfId="0" applyFill="1" applyAlignment="1">
      <alignment horizontal="center" vertical="center"/>
    </xf>
    <xf numFmtId="0" fontId="0" fillId="10" borderId="0" xfId="0" applyFill="1" applyAlignment="1">
      <alignment horizontal="center" vertical="center"/>
    </xf>
    <xf numFmtId="0" fontId="7" fillId="17" borderId="0" xfId="0" applyFont="1" applyFill="1" applyAlignment="1">
      <alignment horizontal="center" vertical="center"/>
    </xf>
    <xf numFmtId="0" fontId="0" fillId="18" borderId="0" xfId="0" applyFill="1" applyAlignment="1">
      <alignment horizontal="center" vertical="center"/>
    </xf>
    <xf numFmtId="0" fontId="0" fillId="19" borderId="0" xfId="0" applyFill="1" applyAlignment="1">
      <alignment horizontal="center" vertical="center"/>
    </xf>
    <xf numFmtId="0" fontId="0" fillId="17" borderId="0" xfId="0" applyFill="1" applyAlignment="1">
      <alignment horizontal="center" vertical="center"/>
    </xf>
    <xf numFmtId="0" fontId="6" fillId="0" borderId="0" xfId="0" applyFont="1" applyAlignment="1">
      <alignment horizontal="center" vertical="center"/>
    </xf>
    <xf numFmtId="0" fontId="5" fillId="0" borderId="0" xfId="0" applyFont="1" applyAlignment="1">
      <alignment horizontal="center" vertical="center"/>
    </xf>
    <xf numFmtId="0" fontId="28" fillId="0" borderId="0" xfId="0" applyFont="1" applyAlignment="1">
      <alignment horizontal="center" vertical="center"/>
    </xf>
    <xf numFmtId="0" fontId="29" fillId="0" borderId="0" xfId="0" applyFont="1" applyAlignment="1">
      <alignment horizontal="center" vertical="center"/>
    </xf>
    <xf numFmtId="0" fontId="29" fillId="0" borderId="1" xfId="0" applyFont="1" applyBorder="1"/>
    <xf numFmtId="0" fontId="29" fillId="0" borderId="0" xfId="0" applyFont="1" applyAlignment="1">
      <alignment horizontal="left" vertical="center"/>
    </xf>
    <xf numFmtId="0" fontId="30" fillId="0" borderId="0" xfId="0" applyFont="1" applyAlignment="1">
      <alignment horizontal="left" vertical="center"/>
    </xf>
    <xf numFmtId="0" fontId="29" fillId="11" borderId="0" xfId="0" applyFont="1" applyFill="1" applyAlignment="1">
      <alignment horizontal="center" vertical="center"/>
    </xf>
    <xf numFmtId="0" fontId="29" fillId="13" borderId="0" xfId="0" applyFont="1" applyFill="1" applyAlignment="1">
      <alignment horizontal="center" vertical="center"/>
    </xf>
    <xf numFmtId="0" fontId="29" fillId="15" borderId="0" xfId="0" applyFont="1" applyFill="1" applyAlignment="1">
      <alignment horizontal="center" vertical="center"/>
    </xf>
    <xf numFmtId="0" fontId="29" fillId="14" borderId="0" xfId="0" applyFont="1" applyFill="1" applyAlignment="1">
      <alignment horizontal="center" vertical="center"/>
    </xf>
    <xf numFmtId="0" fontId="28" fillId="0" borderId="7" xfId="0" applyFont="1" applyBorder="1" applyAlignment="1">
      <alignment horizontal="center" vertical="center"/>
    </xf>
    <xf numFmtId="0" fontId="33" fillId="0" borderId="0" xfId="0" applyFont="1" applyAlignment="1">
      <alignment horizontal="center" vertical="center"/>
    </xf>
    <xf numFmtId="0" fontId="38" fillId="0" borderId="0" xfId="0" applyFont="1" applyAlignment="1">
      <alignment horizontal="center" vertical="center"/>
    </xf>
    <xf numFmtId="0" fontId="35" fillId="0" borderId="6" xfId="3" applyFont="1" applyFill="1" applyBorder="1" applyAlignment="1">
      <alignment horizontal="center" vertical="center"/>
    </xf>
    <xf numFmtId="0" fontId="36" fillId="0" borderId="7" xfId="2" applyFont="1" applyFill="1" applyBorder="1" applyAlignment="1">
      <alignment horizontal="center" vertical="center"/>
    </xf>
    <xf numFmtId="0" fontId="37" fillId="0" borderId="8" xfId="5" applyFont="1" applyFill="1" applyBorder="1" applyAlignment="1">
      <alignment horizontal="center" vertical="center"/>
    </xf>
    <xf numFmtId="0" fontId="39" fillId="4" borderId="2" xfId="4" applyFont="1" applyBorder="1" applyAlignment="1">
      <alignment horizontal="center" vertical="center"/>
    </xf>
    <xf numFmtId="0" fontId="40" fillId="0" borderId="0" xfId="0" applyFont="1" applyAlignment="1">
      <alignment horizontal="center" vertical="center"/>
    </xf>
    <xf numFmtId="0" fontId="33" fillId="0" borderId="1" xfId="0" applyFont="1" applyBorder="1" applyAlignment="1">
      <alignment horizontal="center" vertical="center"/>
    </xf>
    <xf numFmtId="0" fontId="41" fillId="0" borderId="0" xfId="0" applyFont="1" applyAlignment="1">
      <alignment horizontal="center" vertical="center"/>
    </xf>
    <xf numFmtId="0" fontId="34" fillId="6" borderId="0" xfId="0" applyFont="1" applyFill="1" applyAlignment="1">
      <alignment horizontal="center" vertical="center"/>
    </xf>
    <xf numFmtId="0" fontId="34" fillId="7" borderId="0" xfId="0" applyFont="1" applyFill="1" applyAlignment="1">
      <alignment horizontal="center" vertical="center"/>
    </xf>
    <xf numFmtId="0" fontId="34" fillId="8" borderId="0" xfId="0" applyFont="1" applyFill="1" applyAlignment="1">
      <alignment horizontal="center" vertical="center"/>
    </xf>
    <xf numFmtId="0" fontId="34" fillId="9" borderId="0" xfId="0" applyFont="1" applyFill="1" applyAlignment="1">
      <alignment horizontal="center" vertical="center"/>
    </xf>
    <xf numFmtId="0" fontId="42" fillId="1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5" fillId="9" borderId="9" xfId="0" applyFont="1" applyFill="1" applyBorder="1" applyAlignment="1">
      <alignment horizontal="center" vertical="center"/>
    </xf>
    <xf numFmtId="0" fontId="5" fillId="9" borderId="10" xfId="0" applyFont="1" applyFill="1" applyBorder="1" applyAlignment="1">
      <alignment horizontal="center" vertical="center"/>
    </xf>
    <xf numFmtId="0" fontId="0" fillId="9" borderId="11" xfId="0" applyFill="1" applyBorder="1" applyAlignment="1">
      <alignment horizontal="center" vertical="center"/>
    </xf>
    <xf numFmtId="0" fontId="0" fillId="9" borderId="12" xfId="0" applyFill="1" applyBorder="1" applyAlignment="1">
      <alignment horizontal="center" vertical="center"/>
    </xf>
    <xf numFmtId="0" fontId="0" fillId="9" borderId="13" xfId="0" applyFill="1" applyBorder="1" applyAlignment="1">
      <alignment horizontal="center" vertical="center"/>
    </xf>
    <xf numFmtId="0" fontId="0" fillId="9" borderId="14"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right" vertical="center"/>
    </xf>
    <xf numFmtId="0" fontId="0" fillId="0" borderId="0" xfId="0" applyAlignment="1">
      <alignment horizontal="right" vertical="center"/>
    </xf>
    <xf numFmtId="164" fontId="29" fillId="0" borderId="0" xfId="1" applyNumberFormat="1" applyFont="1" applyAlignment="1">
      <alignment horizontal="center" vertical="center"/>
    </xf>
    <xf numFmtId="0" fontId="4" fillId="0" borderId="0" xfId="0" applyFont="1" applyAlignment="1">
      <alignment horizontal="center" vertical="center"/>
    </xf>
    <xf numFmtId="49" fontId="0" fillId="0" borderId="0" xfId="0" applyNumberFormat="1" applyAlignment="1">
      <alignment horizontal="center" vertical="center"/>
    </xf>
    <xf numFmtId="0" fontId="3" fillId="0" borderId="0" xfId="0" applyFont="1" applyAlignment="1">
      <alignment horizontal="center" vertical="center"/>
    </xf>
    <xf numFmtId="0" fontId="0" fillId="22" borderId="0" xfId="0" applyFill="1" applyAlignment="1">
      <alignment horizontal="center" vertical="center"/>
    </xf>
    <xf numFmtId="0" fontId="3" fillId="22" borderId="0" xfId="0" applyFont="1" applyFill="1" applyAlignment="1">
      <alignment horizontal="center" vertical="center"/>
    </xf>
    <xf numFmtId="0" fontId="2" fillId="0" borderId="0" xfId="0" applyFont="1" applyAlignment="1">
      <alignment horizontal="center" vertical="center"/>
    </xf>
    <xf numFmtId="0" fontId="32" fillId="0" borderId="3" xfId="0" applyFont="1" applyBorder="1" applyAlignment="1">
      <alignment horizontal="center" vertical="center"/>
    </xf>
    <xf numFmtId="0" fontId="32" fillId="0" borderId="4" xfId="0" applyFont="1" applyBorder="1" applyAlignment="1">
      <alignment horizontal="center" vertical="center"/>
    </xf>
    <xf numFmtId="0" fontId="32" fillId="0" borderId="5" xfId="0" applyFont="1" applyBorder="1" applyAlignment="1">
      <alignment horizontal="center" vertical="center"/>
    </xf>
    <xf numFmtId="0" fontId="28" fillId="0" borderId="0" xfId="0" applyFont="1" applyAlignment="1">
      <alignment horizontal="center" vertical="center"/>
    </xf>
    <xf numFmtId="0" fontId="28" fillId="0" borderId="7" xfId="0" applyFont="1" applyBorder="1" applyAlignment="1">
      <alignment horizontal="center" vertical="center"/>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1" fillId="0" borderId="1" xfId="6"/>
    <xf numFmtId="0" fontId="1" fillId="23" borderId="3" xfId="6" applyFill="1" applyBorder="1"/>
    <xf numFmtId="0" fontId="1" fillId="23" borderId="4" xfId="6" applyFill="1" applyBorder="1" applyAlignment="1">
      <alignment wrapText="1"/>
    </xf>
    <xf numFmtId="0" fontId="1" fillId="23" borderId="5" xfId="6" applyFill="1" applyBorder="1"/>
    <xf numFmtId="0" fontId="1" fillId="23" borderId="17" xfId="6" applyFill="1" applyBorder="1"/>
    <xf numFmtId="0" fontId="1" fillId="23" borderId="1" xfId="6" applyFill="1"/>
    <xf numFmtId="0" fontId="1" fillId="23" borderId="18" xfId="6" applyFill="1" applyBorder="1"/>
    <xf numFmtId="0" fontId="1" fillId="23" borderId="6" xfId="6" applyFill="1" applyBorder="1"/>
    <xf numFmtId="0" fontId="1" fillId="23" borderId="7" xfId="6" applyFill="1" applyBorder="1"/>
    <xf numFmtId="0" fontId="1" fillId="23" borderId="8" xfId="6" applyFill="1" applyBorder="1"/>
    <xf numFmtId="0" fontId="32" fillId="0" borderId="15" xfId="0" applyFont="1" applyFill="1" applyBorder="1" applyAlignment="1">
      <alignment horizontal="center" vertical="center"/>
    </xf>
    <xf numFmtId="0" fontId="32" fillId="0" borderId="16" xfId="0" applyFont="1" applyFill="1" applyBorder="1" applyAlignment="1">
      <alignment horizontal="center" vertical="center"/>
    </xf>
    <xf numFmtId="0" fontId="32" fillId="24" borderId="15" xfId="0" applyFont="1" applyFill="1" applyBorder="1" applyAlignment="1">
      <alignment horizontal="center" vertical="center"/>
    </xf>
    <xf numFmtId="0" fontId="32" fillId="24" borderId="16" xfId="0" applyFont="1" applyFill="1" applyBorder="1" applyAlignment="1">
      <alignment horizontal="center" vertical="center"/>
    </xf>
  </cellXfs>
  <cellStyles count="7">
    <cellStyle name="Accent3" xfId="5" builtinId="37"/>
    <cellStyle name="Bad" xfId="3" builtinId="27"/>
    <cellStyle name="Good" xfId="2" builtinId="26"/>
    <cellStyle name="Neutral" xfId="4" builtinId="28"/>
    <cellStyle name="Normal" xfId="0" builtinId="0"/>
    <cellStyle name="Normal 2" xfId="6" xr:uid="{7DA9A53D-9FC4-4879-94F6-3073773503B4}"/>
    <cellStyle name="Percent" xfId="1" builtinId="5"/>
  </cellStyles>
  <dxfs count="3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34998626667073579"/>
        </patternFill>
      </fill>
    </dxf>
    <dxf>
      <fill>
        <patternFill>
          <bgColor theme="0" tint="-0.24994659260841701"/>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D8BEEC"/>
        </patternFill>
      </fill>
    </dxf>
    <dxf>
      <fill>
        <patternFill>
          <bgColor rgb="FFFFD3D3"/>
        </patternFill>
      </fill>
    </dxf>
    <dxf>
      <fill>
        <patternFill>
          <bgColor theme="9" tint="0.59996337778862885"/>
        </patternFill>
      </fill>
    </dxf>
    <dxf>
      <fill>
        <patternFill>
          <bgColor theme="0" tint="-0.14996795556505021"/>
        </patternFill>
      </fill>
    </dxf>
    <dxf>
      <fill>
        <patternFill>
          <bgColor rgb="FFFFD3D3"/>
        </patternFill>
      </fill>
    </dxf>
    <dxf>
      <fill>
        <patternFill>
          <bgColor theme="9" tint="0.59996337778862885"/>
        </patternFill>
      </fill>
    </dxf>
    <dxf>
      <fill>
        <patternFill>
          <bgColor theme="0" tint="-0.14996795556505021"/>
        </patternFill>
      </fill>
    </dxf>
    <dxf>
      <fill>
        <patternFill>
          <bgColor rgb="FFFFD3D3"/>
        </patternFill>
      </fill>
    </dxf>
    <dxf>
      <fill>
        <patternFill>
          <bgColor theme="9" tint="0.59996337778862885"/>
        </patternFill>
      </fill>
    </dxf>
    <dxf>
      <fill>
        <patternFill>
          <bgColor theme="0" tint="-0.14996795556505021"/>
        </patternFill>
      </fill>
    </dxf>
    <dxf>
      <fill>
        <patternFill>
          <bgColor rgb="FFFFD3D3"/>
        </patternFill>
      </fill>
    </dxf>
    <dxf>
      <fill>
        <patternFill>
          <bgColor theme="9" tint="0.59996337778862885"/>
        </patternFill>
      </fill>
    </dxf>
    <dxf>
      <fill>
        <patternFill>
          <bgColor theme="0" tint="-0.14996795556505021"/>
        </patternFill>
      </fill>
    </dxf>
    <dxf>
      <fill>
        <patternFill>
          <bgColor rgb="FFFFD3D3"/>
        </patternFill>
      </fill>
    </dxf>
    <dxf>
      <fill>
        <patternFill>
          <bgColor theme="9" tint="0.59996337778862885"/>
        </patternFill>
      </fill>
    </dxf>
    <dxf>
      <fill>
        <patternFill>
          <bgColor theme="0" tint="-0.14996795556505021"/>
        </patternFill>
      </fill>
    </dxf>
  </dxfs>
  <tableStyles count="0" defaultTableStyle="TableStyleMedium2" defaultPivotStyle="PivotStyleLight16"/>
  <colors>
    <mruColors>
      <color rgb="FFFF9393"/>
      <color rgb="FFFF6D6D"/>
      <color rgb="FFFFD3D3"/>
      <color rgb="FFD6BBEB"/>
      <color rgb="FFDCC5ED"/>
      <color rgb="FFD8BEEC"/>
      <color rgb="FFC59EE2"/>
      <color rgb="FFFFD5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Structure" Target="richData/rdrichvaluestructure.xml"/><Relationship Id="rId5" Type="http://schemas.openxmlformats.org/officeDocument/2006/relationships/worksheet" Target="worksheets/sheet5.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3819526</xdr:colOff>
      <xdr:row>1</xdr:row>
      <xdr:rowOff>3781425</xdr:rowOff>
    </xdr:from>
    <xdr:to>
      <xdr:col>2</xdr:col>
      <xdr:colOff>5665467</xdr:colOff>
      <xdr:row>7</xdr:row>
      <xdr:rowOff>142875</xdr:rowOff>
    </xdr:to>
    <xdr:pic>
      <xdr:nvPicPr>
        <xdr:cNvPr id="2" name="Picture 1">
          <a:extLst>
            <a:ext uri="{FF2B5EF4-FFF2-40B4-BE49-F238E27FC236}">
              <a16:creationId xmlns:a16="http://schemas.microsoft.com/office/drawing/2014/main" id="{7A535FF4-309D-4354-964E-CB146E87D431}"/>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437" t="11719" r="24503" b="27213"/>
        <a:stretch>
          <a:fillRect/>
        </a:stretch>
      </xdr:blipFill>
      <xdr:spPr bwMode="auto">
        <a:xfrm>
          <a:off x="4124326" y="3981450"/>
          <a:ext cx="1845941" cy="1181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2241</xdr:colOff>
      <xdr:row>14</xdr:row>
      <xdr:rowOff>64434</xdr:rowOff>
    </xdr:from>
    <xdr:to>
      <xdr:col>2</xdr:col>
      <xdr:colOff>219075</xdr:colOff>
      <xdr:row>18</xdr:row>
      <xdr:rowOff>57150</xdr:rowOff>
    </xdr:to>
    <xdr:sp macro="[0]!New_Hand" textlink="">
      <xdr:nvSpPr>
        <xdr:cNvPr id="2" name="Button 9">
          <a:extLst>
            <a:ext uri="{FF2B5EF4-FFF2-40B4-BE49-F238E27FC236}">
              <a16:creationId xmlns:a16="http://schemas.microsoft.com/office/drawing/2014/main" id="{4620534D-9495-F018-CAC0-977DCEB04A11}"/>
            </a:ext>
          </a:extLst>
        </xdr:cNvPr>
        <xdr:cNvSpPr/>
      </xdr:nvSpPr>
      <xdr:spPr>
        <a:xfrm>
          <a:off x="373716" y="1664634"/>
          <a:ext cx="693084" cy="449916"/>
        </a:xfrm>
        <a:prstGeom prst="rect">
          <a:avLst/>
        </a:prstGeom>
        <a:solidFill>
          <a:schemeClr val="accent4">
            <a:lumMod val="50000"/>
          </a:schemeClr>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Next Hand</a:t>
          </a:r>
        </a:p>
      </xdr:txBody>
    </xdr:sp>
    <xdr:clientData/>
  </xdr:twoCellAnchor>
  <xdr:twoCellAnchor>
    <xdr:from>
      <xdr:col>3</xdr:col>
      <xdr:colOff>186299</xdr:colOff>
      <xdr:row>3</xdr:row>
      <xdr:rowOff>57150</xdr:rowOff>
    </xdr:from>
    <xdr:to>
      <xdr:col>3</xdr:col>
      <xdr:colOff>360035</xdr:colOff>
      <xdr:row>5</xdr:row>
      <xdr:rowOff>2286</xdr:rowOff>
    </xdr:to>
    <xdr:sp macro="CardButton_Click" textlink="">
      <xdr:nvSpPr>
        <xdr:cNvPr id="3" name="btn_A_S">
          <a:extLst>
            <a:ext uri="{FF2B5EF4-FFF2-40B4-BE49-F238E27FC236}">
              <a16:creationId xmlns:a16="http://schemas.microsoft.com/office/drawing/2014/main" id="{3DAC93A1-9CBD-FD21-AC93-6E3F7A32CFEB}"/>
            </a:ext>
          </a:extLst>
        </xdr:cNvPr>
        <xdr:cNvSpPr/>
      </xdr:nvSpPr>
      <xdr:spPr>
        <a:xfrm>
          <a:off x="1548374" y="40005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A</a:t>
          </a:r>
        </a:p>
      </xdr:txBody>
    </xdr:sp>
    <xdr:clientData/>
  </xdr:twoCellAnchor>
  <xdr:twoCellAnchor>
    <xdr:from>
      <xdr:col>3</xdr:col>
      <xdr:colOff>186299</xdr:colOff>
      <xdr:row>5</xdr:row>
      <xdr:rowOff>12840</xdr:rowOff>
    </xdr:from>
    <xdr:to>
      <xdr:col>3</xdr:col>
      <xdr:colOff>360035</xdr:colOff>
      <xdr:row>6</xdr:row>
      <xdr:rowOff>72276</xdr:rowOff>
    </xdr:to>
    <xdr:sp macro="CardButton_Click" textlink="">
      <xdr:nvSpPr>
        <xdr:cNvPr id="4" name="btn_K_S">
          <a:extLst>
            <a:ext uri="{FF2B5EF4-FFF2-40B4-BE49-F238E27FC236}">
              <a16:creationId xmlns:a16="http://schemas.microsoft.com/office/drawing/2014/main" id="{6FD9AFD7-7301-BEA3-4077-547EA351C5C3}"/>
            </a:ext>
          </a:extLst>
        </xdr:cNvPr>
        <xdr:cNvSpPr/>
      </xdr:nvSpPr>
      <xdr:spPr>
        <a:xfrm>
          <a:off x="1548374" y="58434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K</a:t>
          </a:r>
        </a:p>
      </xdr:txBody>
    </xdr:sp>
    <xdr:clientData/>
  </xdr:twoCellAnchor>
  <xdr:twoCellAnchor>
    <xdr:from>
      <xdr:col>3</xdr:col>
      <xdr:colOff>186299</xdr:colOff>
      <xdr:row>6</xdr:row>
      <xdr:rowOff>82830</xdr:rowOff>
    </xdr:from>
    <xdr:to>
      <xdr:col>3</xdr:col>
      <xdr:colOff>360035</xdr:colOff>
      <xdr:row>8</xdr:row>
      <xdr:rowOff>27966</xdr:rowOff>
    </xdr:to>
    <xdr:sp macro="CardButton_Click" textlink="">
      <xdr:nvSpPr>
        <xdr:cNvPr id="5" name="btn_Q_S">
          <a:extLst>
            <a:ext uri="{FF2B5EF4-FFF2-40B4-BE49-F238E27FC236}">
              <a16:creationId xmlns:a16="http://schemas.microsoft.com/office/drawing/2014/main" id="{6F7EED2E-75B2-4C8F-E81F-2578DFDE41DA}"/>
            </a:ext>
          </a:extLst>
        </xdr:cNvPr>
        <xdr:cNvSpPr/>
      </xdr:nvSpPr>
      <xdr:spPr>
        <a:xfrm>
          <a:off x="1548374" y="76863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Q</a:t>
          </a:r>
        </a:p>
      </xdr:txBody>
    </xdr:sp>
    <xdr:clientData/>
  </xdr:twoCellAnchor>
  <xdr:twoCellAnchor>
    <xdr:from>
      <xdr:col>3</xdr:col>
      <xdr:colOff>186299</xdr:colOff>
      <xdr:row>8</xdr:row>
      <xdr:rowOff>38520</xdr:rowOff>
    </xdr:from>
    <xdr:to>
      <xdr:col>3</xdr:col>
      <xdr:colOff>360035</xdr:colOff>
      <xdr:row>9</xdr:row>
      <xdr:rowOff>97956</xdr:rowOff>
    </xdr:to>
    <xdr:sp macro="CardButton_Click" textlink="">
      <xdr:nvSpPr>
        <xdr:cNvPr id="6" name="btn_J_S">
          <a:extLst>
            <a:ext uri="{FF2B5EF4-FFF2-40B4-BE49-F238E27FC236}">
              <a16:creationId xmlns:a16="http://schemas.microsoft.com/office/drawing/2014/main" id="{87D7A4ED-31A7-224A-B864-B79784FA0896}"/>
            </a:ext>
          </a:extLst>
        </xdr:cNvPr>
        <xdr:cNvSpPr/>
      </xdr:nvSpPr>
      <xdr:spPr>
        <a:xfrm>
          <a:off x="1548374" y="95292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J</a:t>
          </a:r>
        </a:p>
      </xdr:txBody>
    </xdr:sp>
    <xdr:clientData/>
  </xdr:twoCellAnchor>
  <xdr:twoCellAnchor>
    <xdr:from>
      <xdr:col>3</xdr:col>
      <xdr:colOff>186299</xdr:colOff>
      <xdr:row>9</xdr:row>
      <xdr:rowOff>108510</xdr:rowOff>
    </xdr:from>
    <xdr:to>
      <xdr:col>3</xdr:col>
      <xdr:colOff>360035</xdr:colOff>
      <xdr:row>11</xdr:row>
      <xdr:rowOff>53646</xdr:rowOff>
    </xdr:to>
    <xdr:sp macro="CardButton_Click" textlink="">
      <xdr:nvSpPr>
        <xdr:cNvPr id="7" name="btn_T_S">
          <a:extLst>
            <a:ext uri="{FF2B5EF4-FFF2-40B4-BE49-F238E27FC236}">
              <a16:creationId xmlns:a16="http://schemas.microsoft.com/office/drawing/2014/main" id="{61625D12-38F5-3165-7A2A-0A6FF2969290}"/>
            </a:ext>
          </a:extLst>
        </xdr:cNvPr>
        <xdr:cNvSpPr/>
      </xdr:nvSpPr>
      <xdr:spPr>
        <a:xfrm>
          <a:off x="1548374" y="113721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T</a:t>
          </a:r>
        </a:p>
      </xdr:txBody>
    </xdr:sp>
    <xdr:clientData/>
  </xdr:twoCellAnchor>
  <xdr:twoCellAnchor>
    <xdr:from>
      <xdr:col>3</xdr:col>
      <xdr:colOff>186299</xdr:colOff>
      <xdr:row>11</xdr:row>
      <xdr:rowOff>64200</xdr:rowOff>
    </xdr:from>
    <xdr:to>
      <xdr:col>3</xdr:col>
      <xdr:colOff>360035</xdr:colOff>
      <xdr:row>13</xdr:row>
      <xdr:rowOff>9336</xdr:rowOff>
    </xdr:to>
    <xdr:sp macro="CardButton_Click" textlink="">
      <xdr:nvSpPr>
        <xdr:cNvPr id="8" name="btn_9_S">
          <a:extLst>
            <a:ext uri="{FF2B5EF4-FFF2-40B4-BE49-F238E27FC236}">
              <a16:creationId xmlns:a16="http://schemas.microsoft.com/office/drawing/2014/main" id="{2E58812B-1513-C8F7-322F-28B4334E0AC0}"/>
            </a:ext>
          </a:extLst>
        </xdr:cNvPr>
        <xdr:cNvSpPr/>
      </xdr:nvSpPr>
      <xdr:spPr>
        <a:xfrm>
          <a:off x="1548374" y="132150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9</a:t>
          </a:r>
        </a:p>
      </xdr:txBody>
    </xdr:sp>
    <xdr:clientData/>
  </xdr:twoCellAnchor>
  <xdr:twoCellAnchor>
    <xdr:from>
      <xdr:col>3</xdr:col>
      <xdr:colOff>186299</xdr:colOff>
      <xdr:row>13</xdr:row>
      <xdr:rowOff>19890</xdr:rowOff>
    </xdr:from>
    <xdr:to>
      <xdr:col>3</xdr:col>
      <xdr:colOff>360035</xdr:colOff>
      <xdr:row>14</xdr:row>
      <xdr:rowOff>79326</xdr:rowOff>
    </xdr:to>
    <xdr:sp macro="CardButton_Click" textlink="">
      <xdr:nvSpPr>
        <xdr:cNvPr id="9" name="btn_8_S">
          <a:extLst>
            <a:ext uri="{FF2B5EF4-FFF2-40B4-BE49-F238E27FC236}">
              <a16:creationId xmlns:a16="http://schemas.microsoft.com/office/drawing/2014/main" id="{0E8FD41C-7BCB-70A8-71CE-65FC5A0CD3DB}"/>
            </a:ext>
          </a:extLst>
        </xdr:cNvPr>
        <xdr:cNvSpPr/>
      </xdr:nvSpPr>
      <xdr:spPr>
        <a:xfrm>
          <a:off x="1548374" y="150579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8</a:t>
          </a:r>
        </a:p>
      </xdr:txBody>
    </xdr:sp>
    <xdr:clientData/>
  </xdr:twoCellAnchor>
  <xdr:twoCellAnchor>
    <xdr:from>
      <xdr:col>3</xdr:col>
      <xdr:colOff>186299</xdr:colOff>
      <xdr:row>14</xdr:row>
      <xdr:rowOff>89880</xdr:rowOff>
    </xdr:from>
    <xdr:to>
      <xdr:col>3</xdr:col>
      <xdr:colOff>360035</xdr:colOff>
      <xdr:row>16</xdr:row>
      <xdr:rowOff>35016</xdr:rowOff>
    </xdr:to>
    <xdr:sp macro="CardButton_Click" textlink="">
      <xdr:nvSpPr>
        <xdr:cNvPr id="10" name="btn_7_S">
          <a:extLst>
            <a:ext uri="{FF2B5EF4-FFF2-40B4-BE49-F238E27FC236}">
              <a16:creationId xmlns:a16="http://schemas.microsoft.com/office/drawing/2014/main" id="{F0747F67-4777-D2D8-5407-F0066EFDFFB1}"/>
            </a:ext>
          </a:extLst>
        </xdr:cNvPr>
        <xdr:cNvSpPr/>
      </xdr:nvSpPr>
      <xdr:spPr>
        <a:xfrm>
          <a:off x="1548374" y="169008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7</a:t>
          </a:r>
        </a:p>
      </xdr:txBody>
    </xdr:sp>
    <xdr:clientData/>
  </xdr:twoCellAnchor>
  <xdr:twoCellAnchor>
    <xdr:from>
      <xdr:col>3</xdr:col>
      <xdr:colOff>186299</xdr:colOff>
      <xdr:row>16</xdr:row>
      <xdr:rowOff>45570</xdr:rowOff>
    </xdr:from>
    <xdr:to>
      <xdr:col>3</xdr:col>
      <xdr:colOff>360035</xdr:colOff>
      <xdr:row>17</xdr:row>
      <xdr:rowOff>105006</xdr:rowOff>
    </xdr:to>
    <xdr:sp macro="CardButton_Click" textlink="">
      <xdr:nvSpPr>
        <xdr:cNvPr id="11" name="btn_6_S">
          <a:extLst>
            <a:ext uri="{FF2B5EF4-FFF2-40B4-BE49-F238E27FC236}">
              <a16:creationId xmlns:a16="http://schemas.microsoft.com/office/drawing/2014/main" id="{59E5C5EB-A8AB-5BA7-9F53-8E96CFCF1F05}"/>
            </a:ext>
          </a:extLst>
        </xdr:cNvPr>
        <xdr:cNvSpPr/>
      </xdr:nvSpPr>
      <xdr:spPr>
        <a:xfrm>
          <a:off x="1548374" y="187437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6</a:t>
          </a:r>
        </a:p>
      </xdr:txBody>
    </xdr:sp>
    <xdr:clientData/>
  </xdr:twoCellAnchor>
  <xdr:twoCellAnchor>
    <xdr:from>
      <xdr:col>3</xdr:col>
      <xdr:colOff>186299</xdr:colOff>
      <xdr:row>18</xdr:row>
      <xdr:rowOff>1260</xdr:rowOff>
    </xdr:from>
    <xdr:to>
      <xdr:col>3</xdr:col>
      <xdr:colOff>360035</xdr:colOff>
      <xdr:row>19</xdr:row>
      <xdr:rowOff>60696</xdr:rowOff>
    </xdr:to>
    <xdr:sp macro="CardButton_Click" textlink="">
      <xdr:nvSpPr>
        <xdr:cNvPr id="12" name="btn_5_S">
          <a:extLst>
            <a:ext uri="{FF2B5EF4-FFF2-40B4-BE49-F238E27FC236}">
              <a16:creationId xmlns:a16="http://schemas.microsoft.com/office/drawing/2014/main" id="{0C3EFB41-82B8-F0AA-FE16-851272A58474}"/>
            </a:ext>
          </a:extLst>
        </xdr:cNvPr>
        <xdr:cNvSpPr/>
      </xdr:nvSpPr>
      <xdr:spPr>
        <a:xfrm>
          <a:off x="1548374" y="205866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5</a:t>
          </a:r>
        </a:p>
      </xdr:txBody>
    </xdr:sp>
    <xdr:clientData/>
  </xdr:twoCellAnchor>
  <xdr:twoCellAnchor>
    <xdr:from>
      <xdr:col>3</xdr:col>
      <xdr:colOff>186299</xdr:colOff>
      <xdr:row>19</xdr:row>
      <xdr:rowOff>71250</xdr:rowOff>
    </xdr:from>
    <xdr:to>
      <xdr:col>3</xdr:col>
      <xdr:colOff>360035</xdr:colOff>
      <xdr:row>21</xdr:row>
      <xdr:rowOff>16386</xdr:rowOff>
    </xdr:to>
    <xdr:sp macro="CardButton_Click" textlink="">
      <xdr:nvSpPr>
        <xdr:cNvPr id="13" name="btn_4_S">
          <a:extLst>
            <a:ext uri="{FF2B5EF4-FFF2-40B4-BE49-F238E27FC236}">
              <a16:creationId xmlns:a16="http://schemas.microsoft.com/office/drawing/2014/main" id="{ADC2033D-1607-D436-43C4-2125A75CE181}"/>
            </a:ext>
          </a:extLst>
        </xdr:cNvPr>
        <xdr:cNvSpPr/>
      </xdr:nvSpPr>
      <xdr:spPr>
        <a:xfrm>
          <a:off x="1548374" y="224295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4</a:t>
          </a:r>
        </a:p>
      </xdr:txBody>
    </xdr:sp>
    <xdr:clientData/>
  </xdr:twoCellAnchor>
  <xdr:twoCellAnchor>
    <xdr:from>
      <xdr:col>3</xdr:col>
      <xdr:colOff>186299</xdr:colOff>
      <xdr:row>21</xdr:row>
      <xdr:rowOff>26940</xdr:rowOff>
    </xdr:from>
    <xdr:to>
      <xdr:col>3</xdr:col>
      <xdr:colOff>360035</xdr:colOff>
      <xdr:row>22</xdr:row>
      <xdr:rowOff>86376</xdr:rowOff>
    </xdr:to>
    <xdr:sp macro="CardButton_Click" textlink="">
      <xdr:nvSpPr>
        <xdr:cNvPr id="14" name="btn_3_S">
          <a:extLst>
            <a:ext uri="{FF2B5EF4-FFF2-40B4-BE49-F238E27FC236}">
              <a16:creationId xmlns:a16="http://schemas.microsoft.com/office/drawing/2014/main" id="{E777A94C-4875-5008-D54F-262549265EE7}"/>
            </a:ext>
          </a:extLst>
        </xdr:cNvPr>
        <xdr:cNvSpPr/>
      </xdr:nvSpPr>
      <xdr:spPr>
        <a:xfrm>
          <a:off x="1548374" y="2427240"/>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3</a:t>
          </a:r>
        </a:p>
      </xdr:txBody>
    </xdr:sp>
    <xdr:clientData/>
  </xdr:twoCellAnchor>
  <xdr:twoCellAnchor>
    <xdr:from>
      <xdr:col>3</xdr:col>
      <xdr:colOff>186299</xdr:colOff>
      <xdr:row>22</xdr:row>
      <xdr:rowOff>96932</xdr:rowOff>
    </xdr:from>
    <xdr:to>
      <xdr:col>3</xdr:col>
      <xdr:colOff>360035</xdr:colOff>
      <xdr:row>24</xdr:row>
      <xdr:rowOff>42068</xdr:rowOff>
    </xdr:to>
    <xdr:sp macro="CardButton_Click" textlink="">
      <xdr:nvSpPr>
        <xdr:cNvPr id="15" name="btn_2_S">
          <a:extLst>
            <a:ext uri="{FF2B5EF4-FFF2-40B4-BE49-F238E27FC236}">
              <a16:creationId xmlns:a16="http://schemas.microsoft.com/office/drawing/2014/main" id="{AA4E1040-8798-5C4E-1EE1-078CD4B9DB68}"/>
            </a:ext>
          </a:extLst>
        </xdr:cNvPr>
        <xdr:cNvSpPr/>
      </xdr:nvSpPr>
      <xdr:spPr>
        <a:xfrm>
          <a:off x="1548374" y="2611532"/>
          <a:ext cx="173736" cy="173736"/>
        </a:xfrm>
        <a:prstGeom prst="rect">
          <a:avLst/>
        </a:prstGeom>
        <a:solidFill>
          <a:srgbClr val="A6A6A6"/>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2</a:t>
          </a:r>
        </a:p>
      </xdr:txBody>
    </xdr:sp>
    <xdr:clientData/>
  </xdr:twoCellAnchor>
  <xdr:twoCellAnchor>
    <xdr:from>
      <xdr:col>4</xdr:col>
      <xdr:colOff>182094</xdr:colOff>
      <xdr:row>3</xdr:row>
      <xdr:rowOff>47625</xdr:rowOff>
    </xdr:from>
    <xdr:to>
      <xdr:col>4</xdr:col>
      <xdr:colOff>355830</xdr:colOff>
      <xdr:row>4</xdr:row>
      <xdr:rowOff>107061</xdr:rowOff>
    </xdr:to>
    <xdr:sp macro="CardButton_Click" textlink="">
      <xdr:nvSpPr>
        <xdr:cNvPr id="16" name="btn_A_H">
          <a:extLst>
            <a:ext uri="{FF2B5EF4-FFF2-40B4-BE49-F238E27FC236}">
              <a16:creationId xmlns:a16="http://schemas.microsoft.com/office/drawing/2014/main" id="{B7B6DE4E-C394-6526-AFB0-7D206A611B02}"/>
            </a:ext>
          </a:extLst>
        </xdr:cNvPr>
        <xdr:cNvSpPr/>
      </xdr:nvSpPr>
      <xdr:spPr>
        <a:xfrm>
          <a:off x="2115669" y="39052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A</a:t>
          </a:r>
        </a:p>
      </xdr:txBody>
    </xdr:sp>
    <xdr:clientData/>
  </xdr:twoCellAnchor>
  <xdr:twoCellAnchor>
    <xdr:from>
      <xdr:col>4</xdr:col>
      <xdr:colOff>182094</xdr:colOff>
      <xdr:row>5</xdr:row>
      <xdr:rowOff>3315</xdr:rowOff>
    </xdr:from>
    <xdr:to>
      <xdr:col>4</xdr:col>
      <xdr:colOff>355830</xdr:colOff>
      <xdr:row>6</xdr:row>
      <xdr:rowOff>62751</xdr:rowOff>
    </xdr:to>
    <xdr:sp macro="CardButton_Click" textlink="">
      <xdr:nvSpPr>
        <xdr:cNvPr id="17" name="btn_K_H">
          <a:extLst>
            <a:ext uri="{FF2B5EF4-FFF2-40B4-BE49-F238E27FC236}">
              <a16:creationId xmlns:a16="http://schemas.microsoft.com/office/drawing/2014/main" id="{CD02AEE8-2441-6496-4371-8E4C0034192F}"/>
            </a:ext>
          </a:extLst>
        </xdr:cNvPr>
        <xdr:cNvSpPr/>
      </xdr:nvSpPr>
      <xdr:spPr>
        <a:xfrm>
          <a:off x="2115669" y="57481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K</a:t>
          </a:r>
        </a:p>
      </xdr:txBody>
    </xdr:sp>
    <xdr:clientData/>
  </xdr:twoCellAnchor>
  <xdr:twoCellAnchor>
    <xdr:from>
      <xdr:col>4</xdr:col>
      <xdr:colOff>182094</xdr:colOff>
      <xdr:row>6</xdr:row>
      <xdr:rowOff>73305</xdr:rowOff>
    </xdr:from>
    <xdr:to>
      <xdr:col>4</xdr:col>
      <xdr:colOff>355830</xdr:colOff>
      <xdr:row>8</xdr:row>
      <xdr:rowOff>18441</xdr:rowOff>
    </xdr:to>
    <xdr:sp macro="CardButton_Click" textlink="">
      <xdr:nvSpPr>
        <xdr:cNvPr id="18" name="btn_Q_H">
          <a:extLst>
            <a:ext uri="{FF2B5EF4-FFF2-40B4-BE49-F238E27FC236}">
              <a16:creationId xmlns:a16="http://schemas.microsoft.com/office/drawing/2014/main" id="{821FC440-FCF3-315F-69EC-39FCE19D1419}"/>
            </a:ext>
          </a:extLst>
        </xdr:cNvPr>
        <xdr:cNvSpPr/>
      </xdr:nvSpPr>
      <xdr:spPr>
        <a:xfrm>
          <a:off x="2115669" y="75910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Q</a:t>
          </a:r>
        </a:p>
      </xdr:txBody>
    </xdr:sp>
    <xdr:clientData/>
  </xdr:twoCellAnchor>
  <xdr:twoCellAnchor>
    <xdr:from>
      <xdr:col>4</xdr:col>
      <xdr:colOff>182094</xdr:colOff>
      <xdr:row>8</xdr:row>
      <xdr:rowOff>28995</xdr:rowOff>
    </xdr:from>
    <xdr:to>
      <xdr:col>4</xdr:col>
      <xdr:colOff>355830</xdr:colOff>
      <xdr:row>9</xdr:row>
      <xdr:rowOff>88431</xdr:rowOff>
    </xdr:to>
    <xdr:sp macro="CardButton_Click" textlink="">
      <xdr:nvSpPr>
        <xdr:cNvPr id="19" name="btn_J_H">
          <a:extLst>
            <a:ext uri="{FF2B5EF4-FFF2-40B4-BE49-F238E27FC236}">
              <a16:creationId xmlns:a16="http://schemas.microsoft.com/office/drawing/2014/main" id="{44C73A7F-ACD5-FA34-B477-D8E3A62888FC}"/>
            </a:ext>
          </a:extLst>
        </xdr:cNvPr>
        <xdr:cNvSpPr/>
      </xdr:nvSpPr>
      <xdr:spPr>
        <a:xfrm>
          <a:off x="2115669" y="94339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J</a:t>
          </a:r>
        </a:p>
      </xdr:txBody>
    </xdr:sp>
    <xdr:clientData/>
  </xdr:twoCellAnchor>
  <xdr:twoCellAnchor>
    <xdr:from>
      <xdr:col>4</xdr:col>
      <xdr:colOff>182094</xdr:colOff>
      <xdr:row>9</xdr:row>
      <xdr:rowOff>98985</xdr:rowOff>
    </xdr:from>
    <xdr:to>
      <xdr:col>4</xdr:col>
      <xdr:colOff>355830</xdr:colOff>
      <xdr:row>11</xdr:row>
      <xdr:rowOff>44121</xdr:rowOff>
    </xdr:to>
    <xdr:sp macro="CardButton_Click" textlink="">
      <xdr:nvSpPr>
        <xdr:cNvPr id="20" name="btn_T_H">
          <a:extLst>
            <a:ext uri="{FF2B5EF4-FFF2-40B4-BE49-F238E27FC236}">
              <a16:creationId xmlns:a16="http://schemas.microsoft.com/office/drawing/2014/main" id="{565DE27C-602A-23CC-79E9-D4ED41443DAA}"/>
            </a:ext>
          </a:extLst>
        </xdr:cNvPr>
        <xdr:cNvSpPr/>
      </xdr:nvSpPr>
      <xdr:spPr>
        <a:xfrm>
          <a:off x="2115669" y="112768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T</a:t>
          </a:r>
        </a:p>
      </xdr:txBody>
    </xdr:sp>
    <xdr:clientData/>
  </xdr:twoCellAnchor>
  <xdr:twoCellAnchor>
    <xdr:from>
      <xdr:col>4</xdr:col>
      <xdr:colOff>182094</xdr:colOff>
      <xdr:row>11</xdr:row>
      <xdr:rowOff>54675</xdr:rowOff>
    </xdr:from>
    <xdr:to>
      <xdr:col>4</xdr:col>
      <xdr:colOff>355830</xdr:colOff>
      <xdr:row>12</xdr:row>
      <xdr:rowOff>114111</xdr:rowOff>
    </xdr:to>
    <xdr:sp macro="CardButton_Click" textlink="">
      <xdr:nvSpPr>
        <xdr:cNvPr id="21" name="btn_9_H">
          <a:extLst>
            <a:ext uri="{FF2B5EF4-FFF2-40B4-BE49-F238E27FC236}">
              <a16:creationId xmlns:a16="http://schemas.microsoft.com/office/drawing/2014/main" id="{DCD69DB5-2AE0-C8F3-AAC4-82AB06B3AE9C}"/>
            </a:ext>
          </a:extLst>
        </xdr:cNvPr>
        <xdr:cNvSpPr/>
      </xdr:nvSpPr>
      <xdr:spPr>
        <a:xfrm>
          <a:off x="2115669" y="131197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9</a:t>
          </a:r>
        </a:p>
      </xdr:txBody>
    </xdr:sp>
    <xdr:clientData/>
  </xdr:twoCellAnchor>
  <xdr:twoCellAnchor>
    <xdr:from>
      <xdr:col>4</xdr:col>
      <xdr:colOff>182094</xdr:colOff>
      <xdr:row>13</xdr:row>
      <xdr:rowOff>10365</xdr:rowOff>
    </xdr:from>
    <xdr:to>
      <xdr:col>4</xdr:col>
      <xdr:colOff>355830</xdr:colOff>
      <xdr:row>14</xdr:row>
      <xdr:rowOff>69801</xdr:rowOff>
    </xdr:to>
    <xdr:sp macro="CardButton_Click" textlink="">
      <xdr:nvSpPr>
        <xdr:cNvPr id="22" name="btn_8_H">
          <a:extLst>
            <a:ext uri="{FF2B5EF4-FFF2-40B4-BE49-F238E27FC236}">
              <a16:creationId xmlns:a16="http://schemas.microsoft.com/office/drawing/2014/main" id="{0408C579-395E-F2B8-CA73-63CC44AB1CDA}"/>
            </a:ext>
          </a:extLst>
        </xdr:cNvPr>
        <xdr:cNvSpPr/>
      </xdr:nvSpPr>
      <xdr:spPr>
        <a:xfrm>
          <a:off x="2115669" y="149626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8</a:t>
          </a:r>
        </a:p>
      </xdr:txBody>
    </xdr:sp>
    <xdr:clientData/>
  </xdr:twoCellAnchor>
  <xdr:twoCellAnchor>
    <xdr:from>
      <xdr:col>4</xdr:col>
      <xdr:colOff>182094</xdr:colOff>
      <xdr:row>14</xdr:row>
      <xdr:rowOff>80355</xdr:rowOff>
    </xdr:from>
    <xdr:to>
      <xdr:col>4</xdr:col>
      <xdr:colOff>355830</xdr:colOff>
      <xdr:row>16</xdr:row>
      <xdr:rowOff>25491</xdr:rowOff>
    </xdr:to>
    <xdr:sp macro="CardButton_Click" textlink="">
      <xdr:nvSpPr>
        <xdr:cNvPr id="23" name="btn_7_H">
          <a:extLst>
            <a:ext uri="{FF2B5EF4-FFF2-40B4-BE49-F238E27FC236}">
              <a16:creationId xmlns:a16="http://schemas.microsoft.com/office/drawing/2014/main" id="{95BB7903-87CB-DC25-F3FE-0B908BF6F324}"/>
            </a:ext>
          </a:extLst>
        </xdr:cNvPr>
        <xdr:cNvSpPr/>
      </xdr:nvSpPr>
      <xdr:spPr>
        <a:xfrm>
          <a:off x="2115669" y="168055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7</a:t>
          </a:r>
        </a:p>
      </xdr:txBody>
    </xdr:sp>
    <xdr:clientData/>
  </xdr:twoCellAnchor>
  <xdr:twoCellAnchor>
    <xdr:from>
      <xdr:col>4</xdr:col>
      <xdr:colOff>182094</xdr:colOff>
      <xdr:row>16</xdr:row>
      <xdr:rowOff>36045</xdr:rowOff>
    </xdr:from>
    <xdr:to>
      <xdr:col>4</xdr:col>
      <xdr:colOff>355830</xdr:colOff>
      <xdr:row>17</xdr:row>
      <xdr:rowOff>95481</xdr:rowOff>
    </xdr:to>
    <xdr:sp macro="CardButton_Click" textlink="">
      <xdr:nvSpPr>
        <xdr:cNvPr id="24" name="btn_6_H">
          <a:extLst>
            <a:ext uri="{FF2B5EF4-FFF2-40B4-BE49-F238E27FC236}">
              <a16:creationId xmlns:a16="http://schemas.microsoft.com/office/drawing/2014/main" id="{48B45349-516D-7A93-B000-1A8BEC7D5A7A}"/>
            </a:ext>
          </a:extLst>
        </xdr:cNvPr>
        <xdr:cNvSpPr/>
      </xdr:nvSpPr>
      <xdr:spPr>
        <a:xfrm>
          <a:off x="2115669" y="186484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6</a:t>
          </a:r>
        </a:p>
      </xdr:txBody>
    </xdr:sp>
    <xdr:clientData/>
  </xdr:twoCellAnchor>
  <xdr:twoCellAnchor>
    <xdr:from>
      <xdr:col>4</xdr:col>
      <xdr:colOff>182094</xdr:colOff>
      <xdr:row>17</xdr:row>
      <xdr:rowOff>106035</xdr:rowOff>
    </xdr:from>
    <xdr:to>
      <xdr:col>4</xdr:col>
      <xdr:colOff>355830</xdr:colOff>
      <xdr:row>19</xdr:row>
      <xdr:rowOff>51171</xdr:rowOff>
    </xdr:to>
    <xdr:sp macro="CardButton_Click" textlink="">
      <xdr:nvSpPr>
        <xdr:cNvPr id="25" name="btn_5_H">
          <a:extLst>
            <a:ext uri="{FF2B5EF4-FFF2-40B4-BE49-F238E27FC236}">
              <a16:creationId xmlns:a16="http://schemas.microsoft.com/office/drawing/2014/main" id="{F00E99F7-620A-1BA3-2429-BA93AD3B8F2F}"/>
            </a:ext>
          </a:extLst>
        </xdr:cNvPr>
        <xdr:cNvSpPr/>
      </xdr:nvSpPr>
      <xdr:spPr>
        <a:xfrm>
          <a:off x="2115669" y="204913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5</a:t>
          </a:r>
        </a:p>
      </xdr:txBody>
    </xdr:sp>
    <xdr:clientData/>
  </xdr:twoCellAnchor>
  <xdr:twoCellAnchor>
    <xdr:from>
      <xdr:col>4</xdr:col>
      <xdr:colOff>182094</xdr:colOff>
      <xdr:row>19</xdr:row>
      <xdr:rowOff>61725</xdr:rowOff>
    </xdr:from>
    <xdr:to>
      <xdr:col>4</xdr:col>
      <xdr:colOff>355830</xdr:colOff>
      <xdr:row>21</xdr:row>
      <xdr:rowOff>6861</xdr:rowOff>
    </xdr:to>
    <xdr:sp macro="CardButton_Click" textlink="">
      <xdr:nvSpPr>
        <xdr:cNvPr id="26" name="btn_4_H">
          <a:extLst>
            <a:ext uri="{FF2B5EF4-FFF2-40B4-BE49-F238E27FC236}">
              <a16:creationId xmlns:a16="http://schemas.microsoft.com/office/drawing/2014/main" id="{9DB06FD4-F1E3-3F7F-F2DE-6A59E5537887}"/>
            </a:ext>
          </a:extLst>
        </xdr:cNvPr>
        <xdr:cNvSpPr/>
      </xdr:nvSpPr>
      <xdr:spPr>
        <a:xfrm>
          <a:off x="2115669" y="223342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4</a:t>
          </a:r>
        </a:p>
      </xdr:txBody>
    </xdr:sp>
    <xdr:clientData/>
  </xdr:twoCellAnchor>
  <xdr:twoCellAnchor>
    <xdr:from>
      <xdr:col>4</xdr:col>
      <xdr:colOff>182094</xdr:colOff>
      <xdr:row>21</xdr:row>
      <xdr:rowOff>17415</xdr:rowOff>
    </xdr:from>
    <xdr:to>
      <xdr:col>4</xdr:col>
      <xdr:colOff>355830</xdr:colOff>
      <xdr:row>22</xdr:row>
      <xdr:rowOff>76851</xdr:rowOff>
    </xdr:to>
    <xdr:sp macro="CardButton_Click" textlink="">
      <xdr:nvSpPr>
        <xdr:cNvPr id="27" name="btn_3_H">
          <a:extLst>
            <a:ext uri="{FF2B5EF4-FFF2-40B4-BE49-F238E27FC236}">
              <a16:creationId xmlns:a16="http://schemas.microsoft.com/office/drawing/2014/main" id="{A8DB02BB-D305-06E1-1E2F-F63ACA0D7728}"/>
            </a:ext>
          </a:extLst>
        </xdr:cNvPr>
        <xdr:cNvSpPr/>
      </xdr:nvSpPr>
      <xdr:spPr>
        <a:xfrm>
          <a:off x="2115669" y="2417715"/>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3</a:t>
          </a:r>
        </a:p>
      </xdr:txBody>
    </xdr:sp>
    <xdr:clientData/>
  </xdr:twoCellAnchor>
  <xdr:twoCellAnchor>
    <xdr:from>
      <xdr:col>4</xdr:col>
      <xdr:colOff>182094</xdr:colOff>
      <xdr:row>22</xdr:row>
      <xdr:rowOff>87407</xdr:rowOff>
    </xdr:from>
    <xdr:to>
      <xdr:col>4</xdr:col>
      <xdr:colOff>355830</xdr:colOff>
      <xdr:row>24</xdr:row>
      <xdr:rowOff>32543</xdr:rowOff>
    </xdr:to>
    <xdr:sp macro="CardButton_Click" textlink="">
      <xdr:nvSpPr>
        <xdr:cNvPr id="28" name="btn_2_H">
          <a:extLst>
            <a:ext uri="{FF2B5EF4-FFF2-40B4-BE49-F238E27FC236}">
              <a16:creationId xmlns:a16="http://schemas.microsoft.com/office/drawing/2014/main" id="{9C9B3229-36C8-2BAF-C353-070CC9EC7585}"/>
            </a:ext>
          </a:extLst>
        </xdr:cNvPr>
        <xdr:cNvSpPr/>
      </xdr:nvSpPr>
      <xdr:spPr>
        <a:xfrm>
          <a:off x="2115669" y="2602007"/>
          <a:ext cx="173736" cy="173736"/>
        </a:xfrm>
        <a:prstGeom prst="rect">
          <a:avLst/>
        </a:prstGeom>
        <a:solidFill>
          <a:srgbClr val="FF6D6D"/>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2</a:t>
          </a:r>
        </a:p>
      </xdr:txBody>
    </xdr:sp>
    <xdr:clientData/>
  </xdr:twoCellAnchor>
  <xdr:twoCellAnchor>
    <xdr:from>
      <xdr:col>5</xdr:col>
      <xdr:colOff>170889</xdr:colOff>
      <xdr:row>3</xdr:row>
      <xdr:rowOff>57150</xdr:rowOff>
    </xdr:from>
    <xdr:to>
      <xdr:col>5</xdr:col>
      <xdr:colOff>344625</xdr:colOff>
      <xdr:row>5</xdr:row>
      <xdr:rowOff>2286</xdr:rowOff>
    </xdr:to>
    <xdr:sp macro="CardButton_Click" textlink="">
      <xdr:nvSpPr>
        <xdr:cNvPr id="29" name="btn_A_C">
          <a:extLst>
            <a:ext uri="{FF2B5EF4-FFF2-40B4-BE49-F238E27FC236}">
              <a16:creationId xmlns:a16="http://schemas.microsoft.com/office/drawing/2014/main" id="{207CEFA5-BAAA-3213-ABF6-45F241DD65CC}"/>
            </a:ext>
          </a:extLst>
        </xdr:cNvPr>
        <xdr:cNvSpPr/>
      </xdr:nvSpPr>
      <xdr:spPr>
        <a:xfrm>
          <a:off x="2675964" y="40005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A</a:t>
          </a:r>
        </a:p>
      </xdr:txBody>
    </xdr:sp>
    <xdr:clientData/>
  </xdr:twoCellAnchor>
  <xdr:twoCellAnchor>
    <xdr:from>
      <xdr:col>5</xdr:col>
      <xdr:colOff>170889</xdr:colOff>
      <xdr:row>5</xdr:row>
      <xdr:rowOff>12840</xdr:rowOff>
    </xdr:from>
    <xdr:to>
      <xdr:col>5</xdr:col>
      <xdr:colOff>344625</xdr:colOff>
      <xdr:row>6</xdr:row>
      <xdr:rowOff>72276</xdr:rowOff>
    </xdr:to>
    <xdr:sp macro="CardButton_Click" textlink="">
      <xdr:nvSpPr>
        <xdr:cNvPr id="30" name="btn_K_C">
          <a:extLst>
            <a:ext uri="{FF2B5EF4-FFF2-40B4-BE49-F238E27FC236}">
              <a16:creationId xmlns:a16="http://schemas.microsoft.com/office/drawing/2014/main" id="{1EF4800F-C459-E448-833F-085712FBF1C2}"/>
            </a:ext>
          </a:extLst>
        </xdr:cNvPr>
        <xdr:cNvSpPr/>
      </xdr:nvSpPr>
      <xdr:spPr>
        <a:xfrm>
          <a:off x="2675964" y="58434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K</a:t>
          </a:r>
        </a:p>
      </xdr:txBody>
    </xdr:sp>
    <xdr:clientData/>
  </xdr:twoCellAnchor>
  <xdr:twoCellAnchor>
    <xdr:from>
      <xdr:col>5</xdr:col>
      <xdr:colOff>170889</xdr:colOff>
      <xdr:row>6</xdr:row>
      <xdr:rowOff>82830</xdr:rowOff>
    </xdr:from>
    <xdr:to>
      <xdr:col>5</xdr:col>
      <xdr:colOff>344625</xdr:colOff>
      <xdr:row>8</xdr:row>
      <xdr:rowOff>27966</xdr:rowOff>
    </xdr:to>
    <xdr:sp macro="CardButton_Click" textlink="">
      <xdr:nvSpPr>
        <xdr:cNvPr id="31" name="btn_Q_C">
          <a:extLst>
            <a:ext uri="{FF2B5EF4-FFF2-40B4-BE49-F238E27FC236}">
              <a16:creationId xmlns:a16="http://schemas.microsoft.com/office/drawing/2014/main" id="{273B8E66-AC9E-63DB-AB42-F0BBE0F1E9DD}"/>
            </a:ext>
          </a:extLst>
        </xdr:cNvPr>
        <xdr:cNvSpPr/>
      </xdr:nvSpPr>
      <xdr:spPr>
        <a:xfrm>
          <a:off x="2675964" y="76863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Q</a:t>
          </a:r>
        </a:p>
      </xdr:txBody>
    </xdr:sp>
    <xdr:clientData/>
  </xdr:twoCellAnchor>
  <xdr:twoCellAnchor>
    <xdr:from>
      <xdr:col>5</xdr:col>
      <xdr:colOff>170889</xdr:colOff>
      <xdr:row>8</xdr:row>
      <xdr:rowOff>38520</xdr:rowOff>
    </xdr:from>
    <xdr:to>
      <xdr:col>5</xdr:col>
      <xdr:colOff>344625</xdr:colOff>
      <xdr:row>9</xdr:row>
      <xdr:rowOff>97956</xdr:rowOff>
    </xdr:to>
    <xdr:sp macro="CardButton_Click" textlink="">
      <xdr:nvSpPr>
        <xdr:cNvPr id="32" name="btn_J_C">
          <a:extLst>
            <a:ext uri="{FF2B5EF4-FFF2-40B4-BE49-F238E27FC236}">
              <a16:creationId xmlns:a16="http://schemas.microsoft.com/office/drawing/2014/main" id="{B5807F13-4FA9-C846-74D9-2C31F2BC2894}"/>
            </a:ext>
          </a:extLst>
        </xdr:cNvPr>
        <xdr:cNvSpPr/>
      </xdr:nvSpPr>
      <xdr:spPr>
        <a:xfrm>
          <a:off x="2675964" y="95292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J</a:t>
          </a:r>
        </a:p>
      </xdr:txBody>
    </xdr:sp>
    <xdr:clientData/>
  </xdr:twoCellAnchor>
  <xdr:twoCellAnchor>
    <xdr:from>
      <xdr:col>5</xdr:col>
      <xdr:colOff>170889</xdr:colOff>
      <xdr:row>9</xdr:row>
      <xdr:rowOff>108510</xdr:rowOff>
    </xdr:from>
    <xdr:to>
      <xdr:col>5</xdr:col>
      <xdr:colOff>344625</xdr:colOff>
      <xdr:row>11</xdr:row>
      <xdr:rowOff>53646</xdr:rowOff>
    </xdr:to>
    <xdr:sp macro="CardButton_Click" textlink="">
      <xdr:nvSpPr>
        <xdr:cNvPr id="33" name="btn_T_C">
          <a:extLst>
            <a:ext uri="{FF2B5EF4-FFF2-40B4-BE49-F238E27FC236}">
              <a16:creationId xmlns:a16="http://schemas.microsoft.com/office/drawing/2014/main" id="{352F3F65-7A7B-1886-60FE-DA768CF67393}"/>
            </a:ext>
          </a:extLst>
        </xdr:cNvPr>
        <xdr:cNvSpPr/>
      </xdr:nvSpPr>
      <xdr:spPr>
        <a:xfrm>
          <a:off x="2675964" y="113721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T</a:t>
          </a:r>
        </a:p>
      </xdr:txBody>
    </xdr:sp>
    <xdr:clientData/>
  </xdr:twoCellAnchor>
  <xdr:twoCellAnchor>
    <xdr:from>
      <xdr:col>5</xdr:col>
      <xdr:colOff>170889</xdr:colOff>
      <xdr:row>11</xdr:row>
      <xdr:rowOff>64200</xdr:rowOff>
    </xdr:from>
    <xdr:to>
      <xdr:col>5</xdr:col>
      <xdr:colOff>344625</xdr:colOff>
      <xdr:row>13</xdr:row>
      <xdr:rowOff>9336</xdr:rowOff>
    </xdr:to>
    <xdr:sp macro="CardButton_Click" textlink="">
      <xdr:nvSpPr>
        <xdr:cNvPr id="34" name="btn_9_C">
          <a:extLst>
            <a:ext uri="{FF2B5EF4-FFF2-40B4-BE49-F238E27FC236}">
              <a16:creationId xmlns:a16="http://schemas.microsoft.com/office/drawing/2014/main" id="{0E0E3D4C-2693-7875-9886-82EB8F64470C}"/>
            </a:ext>
          </a:extLst>
        </xdr:cNvPr>
        <xdr:cNvSpPr/>
      </xdr:nvSpPr>
      <xdr:spPr>
        <a:xfrm>
          <a:off x="2675964" y="132150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9</a:t>
          </a:r>
        </a:p>
      </xdr:txBody>
    </xdr:sp>
    <xdr:clientData/>
  </xdr:twoCellAnchor>
  <xdr:twoCellAnchor>
    <xdr:from>
      <xdr:col>5</xdr:col>
      <xdr:colOff>170889</xdr:colOff>
      <xdr:row>13</xdr:row>
      <xdr:rowOff>19890</xdr:rowOff>
    </xdr:from>
    <xdr:to>
      <xdr:col>5</xdr:col>
      <xdr:colOff>344625</xdr:colOff>
      <xdr:row>14</xdr:row>
      <xdr:rowOff>79326</xdr:rowOff>
    </xdr:to>
    <xdr:sp macro="CardButton_Click" textlink="">
      <xdr:nvSpPr>
        <xdr:cNvPr id="35" name="btn_8_C">
          <a:extLst>
            <a:ext uri="{FF2B5EF4-FFF2-40B4-BE49-F238E27FC236}">
              <a16:creationId xmlns:a16="http://schemas.microsoft.com/office/drawing/2014/main" id="{7B2272D4-B139-3667-8AA6-7BD7C7981734}"/>
            </a:ext>
          </a:extLst>
        </xdr:cNvPr>
        <xdr:cNvSpPr/>
      </xdr:nvSpPr>
      <xdr:spPr>
        <a:xfrm>
          <a:off x="2675964" y="150579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8</a:t>
          </a:r>
        </a:p>
      </xdr:txBody>
    </xdr:sp>
    <xdr:clientData/>
  </xdr:twoCellAnchor>
  <xdr:twoCellAnchor>
    <xdr:from>
      <xdr:col>5</xdr:col>
      <xdr:colOff>170889</xdr:colOff>
      <xdr:row>14</xdr:row>
      <xdr:rowOff>89880</xdr:rowOff>
    </xdr:from>
    <xdr:to>
      <xdr:col>5</xdr:col>
      <xdr:colOff>344625</xdr:colOff>
      <xdr:row>16</xdr:row>
      <xdr:rowOff>35016</xdr:rowOff>
    </xdr:to>
    <xdr:sp macro="CardButton_Click" textlink="">
      <xdr:nvSpPr>
        <xdr:cNvPr id="36" name="btn_7_C">
          <a:extLst>
            <a:ext uri="{FF2B5EF4-FFF2-40B4-BE49-F238E27FC236}">
              <a16:creationId xmlns:a16="http://schemas.microsoft.com/office/drawing/2014/main" id="{9EE305AA-CE37-215B-A519-733E198BBA73}"/>
            </a:ext>
          </a:extLst>
        </xdr:cNvPr>
        <xdr:cNvSpPr/>
      </xdr:nvSpPr>
      <xdr:spPr>
        <a:xfrm>
          <a:off x="2675964" y="169008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7</a:t>
          </a:r>
        </a:p>
      </xdr:txBody>
    </xdr:sp>
    <xdr:clientData/>
  </xdr:twoCellAnchor>
  <xdr:twoCellAnchor>
    <xdr:from>
      <xdr:col>5</xdr:col>
      <xdr:colOff>170889</xdr:colOff>
      <xdr:row>16</xdr:row>
      <xdr:rowOff>45570</xdr:rowOff>
    </xdr:from>
    <xdr:to>
      <xdr:col>5</xdr:col>
      <xdr:colOff>344625</xdr:colOff>
      <xdr:row>17</xdr:row>
      <xdr:rowOff>105006</xdr:rowOff>
    </xdr:to>
    <xdr:sp macro="CardButton_Click" textlink="">
      <xdr:nvSpPr>
        <xdr:cNvPr id="37" name="btn_6_C">
          <a:extLst>
            <a:ext uri="{FF2B5EF4-FFF2-40B4-BE49-F238E27FC236}">
              <a16:creationId xmlns:a16="http://schemas.microsoft.com/office/drawing/2014/main" id="{2BB7EA3B-60FF-0FE7-2B48-0CFAB4B5D6E5}"/>
            </a:ext>
          </a:extLst>
        </xdr:cNvPr>
        <xdr:cNvSpPr/>
      </xdr:nvSpPr>
      <xdr:spPr>
        <a:xfrm>
          <a:off x="2675964" y="187437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6</a:t>
          </a:r>
        </a:p>
      </xdr:txBody>
    </xdr:sp>
    <xdr:clientData/>
  </xdr:twoCellAnchor>
  <xdr:twoCellAnchor>
    <xdr:from>
      <xdr:col>5</xdr:col>
      <xdr:colOff>170889</xdr:colOff>
      <xdr:row>18</xdr:row>
      <xdr:rowOff>1260</xdr:rowOff>
    </xdr:from>
    <xdr:to>
      <xdr:col>5</xdr:col>
      <xdr:colOff>344625</xdr:colOff>
      <xdr:row>19</xdr:row>
      <xdr:rowOff>60696</xdr:rowOff>
    </xdr:to>
    <xdr:sp macro="CardButton_Click" textlink="">
      <xdr:nvSpPr>
        <xdr:cNvPr id="38" name="btn_5_C">
          <a:extLst>
            <a:ext uri="{FF2B5EF4-FFF2-40B4-BE49-F238E27FC236}">
              <a16:creationId xmlns:a16="http://schemas.microsoft.com/office/drawing/2014/main" id="{75E13899-B0E7-59CC-6764-17A581A4DDB2}"/>
            </a:ext>
          </a:extLst>
        </xdr:cNvPr>
        <xdr:cNvSpPr/>
      </xdr:nvSpPr>
      <xdr:spPr>
        <a:xfrm>
          <a:off x="2675964" y="205866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5</a:t>
          </a:r>
        </a:p>
      </xdr:txBody>
    </xdr:sp>
    <xdr:clientData/>
  </xdr:twoCellAnchor>
  <xdr:twoCellAnchor>
    <xdr:from>
      <xdr:col>5</xdr:col>
      <xdr:colOff>170889</xdr:colOff>
      <xdr:row>19</xdr:row>
      <xdr:rowOff>71250</xdr:rowOff>
    </xdr:from>
    <xdr:to>
      <xdr:col>5</xdr:col>
      <xdr:colOff>344625</xdr:colOff>
      <xdr:row>21</xdr:row>
      <xdr:rowOff>16386</xdr:rowOff>
    </xdr:to>
    <xdr:sp macro="CardButton_Click" textlink="">
      <xdr:nvSpPr>
        <xdr:cNvPr id="39" name="btn_4_C">
          <a:extLst>
            <a:ext uri="{FF2B5EF4-FFF2-40B4-BE49-F238E27FC236}">
              <a16:creationId xmlns:a16="http://schemas.microsoft.com/office/drawing/2014/main" id="{53010212-0526-0960-CD62-67B449ED2D57}"/>
            </a:ext>
          </a:extLst>
        </xdr:cNvPr>
        <xdr:cNvSpPr/>
      </xdr:nvSpPr>
      <xdr:spPr>
        <a:xfrm>
          <a:off x="2675964" y="224295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4</a:t>
          </a:r>
        </a:p>
      </xdr:txBody>
    </xdr:sp>
    <xdr:clientData/>
  </xdr:twoCellAnchor>
  <xdr:twoCellAnchor>
    <xdr:from>
      <xdr:col>5</xdr:col>
      <xdr:colOff>170889</xdr:colOff>
      <xdr:row>21</xdr:row>
      <xdr:rowOff>26940</xdr:rowOff>
    </xdr:from>
    <xdr:to>
      <xdr:col>5</xdr:col>
      <xdr:colOff>344625</xdr:colOff>
      <xdr:row>22</xdr:row>
      <xdr:rowOff>86376</xdr:rowOff>
    </xdr:to>
    <xdr:sp macro="CardButton_Click" textlink="">
      <xdr:nvSpPr>
        <xdr:cNvPr id="40" name="btn_3_C">
          <a:extLst>
            <a:ext uri="{FF2B5EF4-FFF2-40B4-BE49-F238E27FC236}">
              <a16:creationId xmlns:a16="http://schemas.microsoft.com/office/drawing/2014/main" id="{BB7F76C6-5449-2BA4-2D3C-23FD76D32455}"/>
            </a:ext>
          </a:extLst>
        </xdr:cNvPr>
        <xdr:cNvSpPr/>
      </xdr:nvSpPr>
      <xdr:spPr>
        <a:xfrm>
          <a:off x="2675964" y="2427240"/>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3</a:t>
          </a:r>
        </a:p>
      </xdr:txBody>
    </xdr:sp>
    <xdr:clientData/>
  </xdr:twoCellAnchor>
  <xdr:twoCellAnchor>
    <xdr:from>
      <xdr:col>5</xdr:col>
      <xdr:colOff>170889</xdr:colOff>
      <xdr:row>22</xdr:row>
      <xdr:rowOff>96932</xdr:rowOff>
    </xdr:from>
    <xdr:to>
      <xdr:col>5</xdr:col>
      <xdr:colOff>344625</xdr:colOff>
      <xdr:row>24</xdr:row>
      <xdr:rowOff>42068</xdr:rowOff>
    </xdr:to>
    <xdr:sp macro="CardButton_Click" textlink="">
      <xdr:nvSpPr>
        <xdr:cNvPr id="41" name="btn_2_C">
          <a:extLst>
            <a:ext uri="{FF2B5EF4-FFF2-40B4-BE49-F238E27FC236}">
              <a16:creationId xmlns:a16="http://schemas.microsoft.com/office/drawing/2014/main" id="{20F7B822-EA9B-29E0-A385-80A9396BBD47}"/>
            </a:ext>
          </a:extLst>
        </xdr:cNvPr>
        <xdr:cNvSpPr/>
      </xdr:nvSpPr>
      <xdr:spPr>
        <a:xfrm>
          <a:off x="2675964" y="2611532"/>
          <a:ext cx="173736" cy="173736"/>
        </a:xfrm>
        <a:prstGeom prst="rect">
          <a:avLst/>
        </a:prstGeom>
        <a:solidFill>
          <a:srgbClr val="8EA9DB"/>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2</a:t>
          </a:r>
        </a:p>
      </xdr:txBody>
    </xdr:sp>
    <xdr:clientData/>
  </xdr:twoCellAnchor>
  <xdr:twoCellAnchor>
    <xdr:from>
      <xdr:col>6</xdr:col>
      <xdr:colOff>187139</xdr:colOff>
      <xdr:row>3</xdr:row>
      <xdr:rowOff>57150</xdr:rowOff>
    </xdr:from>
    <xdr:to>
      <xdr:col>6</xdr:col>
      <xdr:colOff>360875</xdr:colOff>
      <xdr:row>5</xdr:row>
      <xdr:rowOff>2286</xdr:rowOff>
    </xdr:to>
    <xdr:sp macro="CardButton_Click" textlink="">
      <xdr:nvSpPr>
        <xdr:cNvPr id="42" name="btn_A_D">
          <a:extLst>
            <a:ext uri="{FF2B5EF4-FFF2-40B4-BE49-F238E27FC236}">
              <a16:creationId xmlns:a16="http://schemas.microsoft.com/office/drawing/2014/main" id="{DBE6458A-0A84-38D7-3200-7151590F2B19}"/>
            </a:ext>
          </a:extLst>
        </xdr:cNvPr>
        <xdr:cNvSpPr/>
      </xdr:nvSpPr>
      <xdr:spPr>
        <a:xfrm>
          <a:off x="3263714" y="40005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A</a:t>
          </a:r>
        </a:p>
      </xdr:txBody>
    </xdr:sp>
    <xdr:clientData/>
  </xdr:twoCellAnchor>
  <xdr:twoCellAnchor>
    <xdr:from>
      <xdr:col>6</xdr:col>
      <xdr:colOff>187139</xdr:colOff>
      <xdr:row>5</xdr:row>
      <xdr:rowOff>12840</xdr:rowOff>
    </xdr:from>
    <xdr:to>
      <xdr:col>6</xdr:col>
      <xdr:colOff>360875</xdr:colOff>
      <xdr:row>6</xdr:row>
      <xdr:rowOff>72276</xdr:rowOff>
    </xdr:to>
    <xdr:sp macro="CardButton_Click" textlink="">
      <xdr:nvSpPr>
        <xdr:cNvPr id="43" name="btn_K_D">
          <a:extLst>
            <a:ext uri="{FF2B5EF4-FFF2-40B4-BE49-F238E27FC236}">
              <a16:creationId xmlns:a16="http://schemas.microsoft.com/office/drawing/2014/main" id="{38001E21-94B2-4EAE-1926-6FCB34414FF7}"/>
            </a:ext>
          </a:extLst>
        </xdr:cNvPr>
        <xdr:cNvSpPr/>
      </xdr:nvSpPr>
      <xdr:spPr>
        <a:xfrm>
          <a:off x="3263714" y="58434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K</a:t>
          </a:r>
        </a:p>
      </xdr:txBody>
    </xdr:sp>
    <xdr:clientData/>
  </xdr:twoCellAnchor>
  <xdr:twoCellAnchor>
    <xdr:from>
      <xdr:col>6</xdr:col>
      <xdr:colOff>187139</xdr:colOff>
      <xdr:row>6</xdr:row>
      <xdr:rowOff>82830</xdr:rowOff>
    </xdr:from>
    <xdr:to>
      <xdr:col>6</xdr:col>
      <xdr:colOff>360875</xdr:colOff>
      <xdr:row>8</xdr:row>
      <xdr:rowOff>27966</xdr:rowOff>
    </xdr:to>
    <xdr:sp macro="CardButton_Click" textlink="">
      <xdr:nvSpPr>
        <xdr:cNvPr id="44" name="btn_Q_D">
          <a:extLst>
            <a:ext uri="{FF2B5EF4-FFF2-40B4-BE49-F238E27FC236}">
              <a16:creationId xmlns:a16="http://schemas.microsoft.com/office/drawing/2014/main" id="{36C7FE5A-E588-85ED-EBEA-D55E8E8CE3D7}"/>
            </a:ext>
          </a:extLst>
        </xdr:cNvPr>
        <xdr:cNvSpPr/>
      </xdr:nvSpPr>
      <xdr:spPr>
        <a:xfrm>
          <a:off x="3263714" y="76863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Q</a:t>
          </a:r>
        </a:p>
      </xdr:txBody>
    </xdr:sp>
    <xdr:clientData/>
  </xdr:twoCellAnchor>
  <xdr:twoCellAnchor>
    <xdr:from>
      <xdr:col>6</xdr:col>
      <xdr:colOff>187139</xdr:colOff>
      <xdr:row>8</xdr:row>
      <xdr:rowOff>38520</xdr:rowOff>
    </xdr:from>
    <xdr:to>
      <xdr:col>6</xdr:col>
      <xdr:colOff>360875</xdr:colOff>
      <xdr:row>9</xdr:row>
      <xdr:rowOff>97956</xdr:rowOff>
    </xdr:to>
    <xdr:sp macro="CardButton_Click" textlink="">
      <xdr:nvSpPr>
        <xdr:cNvPr id="45" name="btn_J_D">
          <a:extLst>
            <a:ext uri="{FF2B5EF4-FFF2-40B4-BE49-F238E27FC236}">
              <a16:creationId xmlns:a16="http://schemas.microsoft.com/office/drawing/2014/main" id="{34B525AB-446E-230E-DDFA-11201C5C788A}"/>
            </a:ext>
          </a:extLst>
        </xdr:cNvPr>
        <xdr:cNvSpPr/>
      </xdr:nvSpPr>
      <xdr:spPr>
        <a:xfrm>
          <a:off x="3263714" y="95292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J</a:t>
          </a:r>
        </a:p>
      </xdr:txBody>
    </xdr:sp>
    <xdr:clientData/>
  </xdr:twoCellAnchor>
  <xdr:twoCellAnchor>
    <xdr:from>
      <xdr:col>6</xdr:col>
      <xdr:colOff>187139</xdr:colOff>
      <xdr:row>9</xdr:row>
      <xdr:rowOff>108510</xdr:rowOff>
    </xdr:from>
    <xdr:to>
      <xdr:col>6</xdr:col>
      <xdr:colOff>360875</xdr:colOff>
      <xdr:row>11</xdr:row>
      <xdr:rowOff>53646</xdr:rowOff>
    </xdr:to>
    <xdr:sp macro="CardButton_Click" textlink="">
      <xdr:nvSpPr>
        <xdr:cNvPr id="46" name="btn_T_D">
          <a:extLst>
            <a:ext uri="{FF2B5EF4-FFF2-40B4-BE49-F238E27FC236}">
              <a16:creationId xmlns:a16="http://schemas.microsoft.com/office/drawing/2014/main" id="{C1825870-C33B-D169-96F3-EC9FAE02F01D}"/>
            </a:ext>
          </a:extLst>
        </xdr:cNvPr>
        <xdr:cNvSpPr/>
      </xdr:nvSpPr>
      <xdr:spPr>
        <a:xfrm>
          <a:off x="3263714" y="113721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T</a:t>
          </a:r>
        </a:p>
      </xdr:txBody>
    </xdr:sp>
    <xdr:clientData/>
  </xdr:twoCellAnchor>
  <xdr:twoCellAnchor>
    <xdr:from>
      <xdr:col>6</xdr:col>
      <xdr:colOff>187139</xdr:colOff>
      <xdr:row>11</xdr:row>
      <xdr:rowOff>64200</xdr:rowOff>
    </xdr:from>
    <xdr:to>
      <xdr:col>6</xdr:col>
      <xdr:colOff>360875</xdr:colOff>
      <xdr:row>13</xdr:row>
      <xdr:rowOff>9336</xdr:rowOff>
    </xdr:to>
    <xdr:sp macro="CardButton_Click" textlink="">
      <xdr:nvSpPr>
        <xdr:cNvPr id="47" name="btn_9_D">
          <a:extLst>
            <a:ext uri="{FF2B5EF4-FFF2-40B4-BE49-F238E27FC236}">
              <a16:creationId xmlns:a16="http://schemas.microsoft.com/office/drawing/2014/main" id="{7E27B480-F26C-E48B-35FF-0342ED863E79}"/>
            </a:ext>
          </a:extLst>
        </xdr:cNvPr>
        <xdr:cNvSpPr/>
      </xdr:nvSpPr>
      <xdr:spPr>
        <a:xfrm>
          <a:off x="3263714" y="132150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9</a:t>
          </a:r>
        </a:p>
      </xdr:txBody>
    </xdr:sp>
    <xdr:clientData/>
  </xdr:twoCellAnchor>
  <xdr:twoCellAnchor>
    <xdr:from>
      <xdr:col>6</xdr:col>
      <xdr:colOff>187139</xdr:colOff>
      <xdr:row>13</xdr:row>
      <xdr:rowOff>19890</xdr:rowOff>
    </xdr:from>
    <xdr:to>
      <xdr:col>6</xdr:col>
      <xdr:colOff>360875</xdr:colOff>
      <xdr:row>14</xdr:row>
      <xdr:rowOff>79326</xdr:rowOff>
    </xdr:to>
    <xdr:sp macro="CardButton_Click" textlink="">
      <xdr:nvSpPr>
        <xdr:cNvPr id="48" name="btn_8_D">
          <a:extLst>
            <a:ext uri="{FF2B5EF4-FFF2-40B4-BE49-F238E27FC236}">
              <a16:creationId xmlns:a16="http://schemas.microsoft.com/office/drawing/2014/main" id="{CE5D9A64-2733-D872-19D9-0EC99E1C2005}"/>
            </a:ext>
          </a:extLst>
        </xdr:cNvPr>
        <xdr:cNvSpPr/>
      </xdr:nvSpPr>
      <xdr:spPr>
        <a:xfrm>
          <a:off x="3263714" y="150579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8</a:t>
          </a:r>
        </a:p>
      </xdr:txBody>
    </xdr:sp>
    <xdr:clientData/>
  </xdr:twoCellAnchor>
  <xdr:twoCellAnchor>
    <xdr:from>
      <xdr:col>6</xdr:col>
      <xdr:colOff>187139</xdr:colOff>
      <xdr:row>14</xdr:row>
      <xdr:rowOff>89880</xdr:rowOff>
    </xdr:from>
    <xdr:to>
      <xdr:col>6</xdr:col>
      <xdr:colOff>360875</xdr:colOff>
      <xdr:row>16</xdr:row>
      <xdr:rowOff>35016</xdr:rowOff>
    </xdr:to>
    <xdr:sp macro="CardButton_Click" textlink="">
      <xdr:nvSpPr>
        <xdr:cNvPr id="49" name="btn_7_D">
          <a:extLst>
            <a:ext uri="{FF2B5EF4-FFF2-40B4-BE49-F238E27FC236}">
              <a16:creationId xmlns:a16="http://schemas.microsoft.com/office/drawing/2014/main" id="{3FBFCF24-046E-480B-A167-ACC4495A85EF}"/>
            </a:ext>
          </a:extLst>
        </xdr:cNvPr>
        <xdr:cNvSpPr/>
      </xdr:nvSpPr>
      <xdr:spPr>
        <a:xfrm>
          <a:off x="3263714" y="169008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7</a:t>
          </a:r>
        </a:p>
      </xdr:txBody>
    </xdr:sp>
    <xdr:clientData/>
  </xdr:twoCellAnchor>
  <xdr:twoCellAnchor>
    <xdr:from>
      <xdr:col>6</xdr:col>
      <xdr:colOff>187139</xdr:colOff>
      <xdr:row>16</xdr:row>
      <xdr:rowOff>45570</xdr:rowOff>
    </xdr:from>
    <xdr:to>
      <xdr:col>6</xdr:col>
      <xdr:colOff>360875</xdr:colOff>
      <xdr:row>17</xdr:row>
      <xdr:rowOff>105006</xdr:rowOff>
    </xdr:to>
    <xdr:sp macro="CardButton_Click" textlink="">
      <xdr:nvSpPr>
        <xdr:cNvPr id="50" name="btn_6_D">
          <a:extLst>
            <a:ext uri="{FF2B5EF4-FFF2-40B4-BE49-F238E27FC236}">
              <a16:creationId xmlns:a16="http://schemas.microsoft.com/office/drawing/2014/main" id="{62E2F9EE-827B-4C22-6E95-2617F2470ECF}"/>
            </a:ext>
          </a:extLst>
        </xdr:cNvPr>
        <xdr:cNvSpPr/>
      </xdr:nvSpPr>
      <xdr:spPr>
        <a:xfrm>
          <a:off x="3263714" y="187437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6</a:t>
          </a:r>
        </a:p>
      </xdr:txBody>
    </xdr:sp>
    <xdr:clientData/>
  </xdr:twoCellAnchor>
  <xdr:twoCellAnchor>
    <xdr:from>
      <xdr:col>6</xdr:col>
      <xdr:colOff>187139</xdr:colOff>
      <xdr:row>18</xdr:row>
      <xdr:rowOff>1260</xdr:rowOff>
    </xdr:from>
    <xdr:to>
      <xdr:col>6</xdr:col>
      <xdr:colOff>360875</xdr:colOff>
      <xdr:row>19</xdr:row>
      <xdr:rowOff>60696</xdr:rowOff>
    </xdr:to>
    <xdr:sp macro="CardButton_Click" textlink="">
      <xdr:nvSpPr>
        <xdr:cNvPr id="51" name="btn_5_D">
          <a:extLst>
            <a:ext uri="{FF2B5EF4-FFF2-40B4-BE49-F238E27FC236}">
              <a16:creationId xmlns:a16="http://schemas.microsoft.com/office/drawing/2014/main" id="{1EC0455B-4AC0-F1D9-2A6E-30FB6686C994}"/>
            </a:ext>
          </a:extLst>
        </xdr:cNvPr>
        <xdr:cNvSpPr/>
      </xdr:nvSpPr>
      <xdr:spPr>
        <a:xfrm>
          <a:off x="3263714" y="205866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5</a:t>
          </a:r>
        </a:p>
      </xdr:txBody>
    </xdr:sp>
    <xdr:clientData/>
  </xdr:twoCellAnchor>
  <xdr:twoCellAnchor>
    <xdr:from>
      <xdr:col>6</xdr:col>
      <xdr:colOff>187139</xdr:colOff>
      <xdr:row>19</xdr:row>
      <xdr:rowOff>71250</xdr:rowOff>
    </xdr:from>
    <xdr:to>
      <xdr:col>6</xdr:col>
      <xdr:colOff>360875</xdr:colOff>
      <xdr:row>21</xdr:row>
      <xdr:rowOff>16386</xdr:rowOff>
    </xdr:to>
    <xdr:sp macro="CardButton_Click" textlink="">
      <xdr:nvSpPr>
        <xdr:cNvPr id="52" name="btn_4_D">
          <a:extLst>
            <a:ext uri="{FF2B5EF4-FFF2-40B4-BE49-F238E27FC236}">
              <a16:creationId xmlns:a16="http://schemas.microsoft.com/office/drawing/2014/main" id="{DB578AEC-9386-FCD6-AB61-51D3EC6EE112}"/>
            </a:ext>
          </a:extLst>
        </xdr:cNvPr>
        <xdr:cNvSpPr/>
      </xdr:nvSpPr>
      <xdr:spPr>
        <a:xfrm>
          <a:off x="3263714" y="224295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4</a:t>
          </a:r>
        </a:p>
      </xdr:txBody>
    </xdr:sp>
    <xdr:clientData/>
  </xdr:twoCellAnchor>
  <xdr:twoCellAnchor>
    <xdr:from>
      <xdr:col>6</xdr:col>
      <xdr:colOff>187139</xdr:colOff>
      <xdr:row>21</xdr:row>
      <xdr:rowOff>26940</xdr:rowOff>
    </xdr:from>
    <xdr:to>
      <xdr:col>6</xdr:col>
      <xdr:colOff>360875</xdr:colOff>
      <xdr:row>22</xdr:row>
      <xdr:rowOff>86376</xdr:rowOff>
    </xdr:to>
    <xdr:sp macro="CardButton_Click" textlink="">
      <xdr:nvSpPr>
        <xdr:cNvPr id="53" name="btn_3_D">
          <a:extLst>
            <a:ext uri="{FF2B5EF4-FFF2-40B4-BE49-F238E27FC236}">
              <a16:creationId xmlns:a16="http://schemas.microsoft.com/office/drawing/2014/main" id="{85460804-ABB5-E3CA-9A25-2D8B454D5CFA}"/>
            </a:ext>
          </a:extLst>
        </xdr:cNvPr>
        <xdr:cNvSpPr/>
      </xdr:nvSpPr>
      <xdr:spPr>
        <a:xfrm>
          <a:off x="3263714" y="2427240"/>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3</a:t>
          </a:r>
        </a:p>
      </xdr:txBody>
    </xdr:sp>
    <xdr:clientData/>
  </xdr:twoCellAnchor>
  <xdr:twoCellAnchor>
    <xdr:from>
      <xdr:col>6</xdr:col>
      <xdr:colOff>187139</xdr:colOff>
      <xdr:row>22</xdr:row>
      <xdr:rowOff>96932</xdr:rowOff>
    </xdr:from>
    <xdr:to>
      <xdr:col>6</xdr:col>
      <xdr:colOff>360875</xdr:colOff>
      <xdr:row>24</xdr:row>
      <xdr:rowOff>42068</xdr:rowOff>
    </xdr:to>
    <xdr:sp macro="CardButton_Click" textlink="">
      <xdr:nvSpPr>
        <xdr:cNvPr id="54" name="btn_2_D">
          <a:extLst>
            <a:ext uri="{FF2B5EF4-FFF2-40B4-BE49-F238E27FC236}">
              <a16:creationId xmlns:a16="http://schemas.microsoft.com/office/drawing/2014/main" id="{DA3C13FA-A336-52B8-5F99-3B7AE4B8C262}"/>
            </a:ext>
          </a:extLst>
        </xdr:cNvPr>
        <xdr:cNvSpPr/>
      </xdr:nvSpPr>
      <xdr:spPr>
        <a:xfrm>
          <a:off x="3263714" y="2611532"/>
          <a:ext cx="173736" cy="173736"/>
        </a:xfrm>
        <a:prstGeom prst="rect">
          <a:avLst/>
        </a:prstGeom>
        <a:solidFill>
          <a:srgbClr val="A9D08E"/>
        </a:solidFill>
        <a:ln>
          <a:solidFill>
            <a:srgbClr val="C8C8C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000000"/>
              </a:solidFill>
            </a:rPr>
            <a:t>2</a:t>
          </a:r>
        </a:p>
      </xdr:txBody>
    </xdr:sp>
    <xdr:clientData/>
  </xdr:twoCellAnchor>
  <xdr:twoCellAnchor>
    <xdr:from>
      <xdr:col>1</xdr:col>
      <xdr:colOff>381000</xdr:colOff>
      <xdr:row>29</xdr:row>
      <xdr:rowOff>28575</xdr:rowOff>
    </xdr:from>
    <xdr:to>
      <xdr:col>7</xdr:col>
      <xdr:colOff>103632</xdr:colOff>
      <xdr:row>40</xdr:row>
      <xdr:rowOff>69723</xdr:rowOff>
    </xdr:to>
    <xdr:sp macro="" textlink="">
      <xdr:nvSpPr>
        <xdr:cNvPr id="2050" name="9Table">
          <a:extLst>
            <a:ext uri="{FF2B5EF4-FFF2-40B4-BE49-F238E27FC236}">
              <a16:creationId xmlns:a16="http://schemas.microsoft.com/office/drawing/2014/main" id="{2C258042-133C-9010-7EF8-1E6193658D4C}"/>
            </a:ext>
          </a:extLst>
        </xdr:cNvPr>
        <xdr:cNvSpPr/>
      </xdr:nvSpPr>
      <xdr:spPr>
        <a:xfrm>
          <a:off x="752475" y="3343275"/>
          <a:ext cx="2999232" cy="1298448"/>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95251</xdr:colOff>
      <xdr:row>39</xdr:row>
      <xdr:rowOff>19051</xdr:rowOff>
    </xdr:from>
    <xdr:to>
      <xdr:col>4</xdr:col>
      <xdr:colOff>543307</xdr:colOff>
      <xdr:row>41</xdr:row>
      <xdr:rowOff>64771</xdr:rowOff>
    </xdr:to>
    <xdr:sp macro="[0]!PositionShape_Click" textlink="">
      <xdr:nvSpPr>
        <xdr:cNvPr id="57" name="9Pos1">
          <a:extLst>
            <a:ext uri="{FF2B5EF4-FFF2-40B4-BE49-F238E27FC236}">
              <a16:creationId xmlns:a16="http://schemas.microsoft.com/office/drawing/2014/main" id="{D899119D-13A4-695B-3DF5-BF533B2C6994}"/>
            </a:ext>
          </a:extLst>
        </xdr:cNvPr>
        <xdr:cNvSpPr/>
      </xdr:nvSpPr>
      <xdr:spPr>
        <a:xfrm>
          <a:off x="2028826" y="4476751"/>
          <a:ext cx="448056" cy="274320"/>
        </a:xfrm>
        <a:prstGeom prst="roundRect">
          <a:avLst/>
        </a:prstGeom>
        <a:solidFill>
          <a:srgbClr val="0D0D0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BT</a:t>
          </a:r>
        </a:p>
      </xdr:txBody>
    </xdr:sp>
    <xdr:clientData/>
  </xdr:twoCellAnchor>
  <xdr:twoCellAnchor>
    <xdr:from>
      <xdr:col>2</xdr:col>
      <xdr:colOff>390526</xdr:colOff>
      <xdr:row>38</xdr:row>
      <xdr:rowOff>9526</xdr:rowOff>
    </xdr:from>
    <xdr:to>
      <xdr:col>3</xdr:col>
      <xdr:colOff>324232</xdr:colOff>
      <xdr:row>40</xdr:row>
      <xdr:rowOff>55246</xdr:rowOff>
    </xdr:to>
    <xdr:sp macro="[0]!PositionShape_Click" textlink="">
      <xdr:nvSpPr>
        <xdr:cNvPr id="58" name="9Pos2">
          <a:extLst>
            <a:ext uri="{FF2B5EF4-FFF2-40B4-BE49-F238E27FC236}">
              <a16:creationId xmlns:a16="http://schemas.microsoft.com/office/drawing/2014/main" id="{718C7C78-8D18-4352-B5C1-BC45A6E3DFDC}"/>
            </a:ext>
          </a:extLst>
        </xdr:cNvPr>
        <xdr:cNvSpPr/>
      </xdr:nvSpPr>
      <xdr:spPr>
        <a:xfrm>
          <a:off x="1238251" y="4352926"/>
          <a:ext cx="448056" cy="274320"/>
        </a:xfrm>
        <a:prstGeom prst="roundRect">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SB</a:t>
          </a:r>
        </a:p>
      </xdr:txBody>
    </xdr:sp>
    <xdr:clientData/>
  </xdr:twoCellAnchor>
  <xdr:twoCellAnchor>
    <xdr:from>
      <xdr:col>1</xdr:col>
      <xdr:colOff>295276</xdr:colOff>
      <xdr:row>34</xdr:row>
      <xdr:rowOff>28575</xdr:rowOff>
    </xdr:from>
    <xdr:to>
      <xdr:col>2</xdr:col>
      <xdr:colOff>267082</xdr:colOff>
      <xdr:row>36</xdr:row>
      <xdr:rowOff>74295</xdr:rowOff>
    </xdr:to>
    <xdr:sp macro="[0]!PositionShape_Click" textlink="">
      <xdr:nvSpPr>
        <xdr:cNvPr id="59" name="9Pos3">
          <a:extLst>
            <a:ext uri="{FF2B5EF4-FFF2-40B4-BE49-F238E27FC236}">
              <a16:creationId xmlns:a16="http://schemas.microsoft.com/office/drawing/2014/main" id="{882FF489-D41A-42F6-90E1-E2FA95A2AADC}"/>
            </a:ext>
          </a:extLst>
        </xdr:cNvPr>
        <xdr:cNvSpPr/>
      </xdr:nvSpPr>
      <xdr:spPr>
        <a:xfrm>
          <a:off x="666751" y="3914775"/>
          <a:ext cx="448056" cy="274320"/>
        </a:xfrm>
        <a:prstGeom prst="roundRect">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BB</a:t>
          </a:r>
        </a:p>
      </xdr:txBody>
    </xdr:sp>
    <xdr:clientData/>
  </xdr:twoCellAnchor>
  <xdr:twoCellAnchor>
    <xdr:from>
      <xdr:col>2</xdr:col>
      <xdr:colOff>209551</xdr:colOff>
      <xdr:row>30</xdr:row>
      <xdr:rowOff>38100</xdr:rowOff>
    </xdr:from>
    <xdr:to>
      <xdr:col>3</xdr:col>
      <xdr:colOff>143257</xdr:colOff>
      <xdr:row>32</xdr:row>
      <xdr:rowOff>83820</xdr:rowOff>
    </xdr:to>
    <xdr:sp macro="[0]!PositionShape_Click" textlink="">
      <xdr:nvSpPr>
        <xdr:cNvPr id="60" name="9Pos4">
          <a:extLst>
            <a:ext uri="{FF2B5EF4-FFF2-40B4-BE49-F238E27FC236}">
              <a16:creationId xmlns:a16="http://schemas.microsoft.com/office/drawing/2014/main" id="{F0E35372-965B-4AE2-A876-D13CE749573D}"/>
            </a:ext>
          </a:extLst>
        </xdr:cNvPr>
        <xdr:cNvSpPr/>
      </xdr:nvSpPr>
      <xdr:spPr>
        <a:xfrm>
          <a:off x="1057276" y="3467100"/>
          <a:ext cx="448056" cy="274320"/>
        </a:xfrm>
        <a:prstGeom prst="roundRect">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UTG</a:t>
          </a:r>
        </a:p>
      </xdr:txBody>
    </xdr:sp>
    <xdr:clientData/>
  </xdr:twoCellAnchor>
  <xdr:twoCellAnchor>
    <xdr:from>
      <xdr:col>3</xdr:col>
      <xdr:colOff>304801</xdr:colOff>
      <xdr:row>29</xdr:row>
      <xdr:rowOff>19050</xdr:rowOff>
    </xdr:from>
    <xdr:to>
      <xdr:col>4</xdr:col>
      <xdr:colOff>181357</xdr:colOff>
      <xdr:row>31</xdr:row>
      <xdr:rowOff>64770</xdr:rowOff>
    </xdr:to>
    <xdr:sp macro="[0]!PositionShape_Click" textlink="">
      <xdr:nvSpPr>
        <xdr:cNvPr id="61" name="9Pos5">
          <a:extLst>
            <a:ext uri="{FF2B5EF4-FFF2-40B4-BE49-F238E27FC236}">
              <a16:creationId xmlns:a16="http://schemas.microsoft.com/office/drawing/2014/main" id="{73EFABF5-20F3-40CD-9B22-437E59FEBE82}"/>
            </a:ext>
          </a:extLst>
        </xdr:cNvPr>
        <xdr:cNvSpPr/>
      </xdr:nvSpPr>
      <xdr:spPr>
        <a:xfrm>
          <a:off x="1666876" y="3333750"/>
          <a:ext cx="448056" cy="274320"/>
        </a:xfrm>
        <a:prstGeom prst="roundRect">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EP</a:t>
          </a:r>
        </a:p>
      </xdr:txBody>
    </xdr:sp>
    <xdr:clientData/>
  </xdr:twoCellAnchor>
  <xdr:twoCellAnchor>
    <xdr:from>
      <xdr:col>4</xdr:col>
      <xdr:colOff>533401</xdr:colOff>
      <xdr:row>29</xdr:row>
      <xdr:rowOff>19050</xdr:rowOff>
    </xdr:from>
    <xdr:to>
      <xdr:col>5</xdr:col>
      <xdr:colOff>409957</xdr:colOff>
      <xdr:row>31</xdr:row>
      <xdr:rowOff>64770</xdr:rowOff>
    </xdr:to>
    <xdr:sp macro="[0]!PositionShape_Click" textlink="">
      <xdr:nvSpPr>
        <xdr:cNvPr id="62" name="9Pos6">
          <a:extLst>
            <a:ext uri="{FF2B5EF4-FFF2-40B4-BE49-F238E27FC236}">
              <a16:creationId xmlns:a16="http://schemas.microsoft.com/office/drawing/2014/main" id="{11198199-94B3-407F-B9CB-C812B8B16B3E}"/>
            </a:ext>
          </a:extLst>
        </xdr:cNvPr>
        <xdr:cNvSpPr/>
      </xdr:nvSpPr>
      <xdr:spPr>
        <a:xfrm>
          <a:off x="2466976" y="3333750"/>
          <a:ext cx="448056" cy="274320"/>
        </a:xfrm>
        <a:prstGeom prst="roundRect">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MP</a:t>
          </a:r>
        </a:p>
      </xdr:txBody>
    </xdr:sp>
    <xdr:clientData/>
  </xdr:twoCellAnchor>
  <xdr:twoCellAnchor>
    <xdr:from>
      <xdr:col>6</xdr:col>
      <xdr:colOff>38101</xdr:colOff>
      <xdr:row>30</xdr:row>
      <xdr:rowOff>95250</xdr:rowOff>
    </xdr:from>
    <xdr:to>
      <xdr:col>6</xdr:col>
      <xdr:colOff>486157</xdr:colOff>
      <xdr:row>33</xdr:row>
      <xdr:rowOff>26670</xdr:rowOff>
    </xdr:to>
    <xdr:sp macro="[0]!PositionShape_Click" textlink="">
      <xdr:nvSpPr>
        <xdr:cNvPr id="63" name="9Pos7">
          <a:extLst>
            <a:ext uri="{FF2B5EF4-FFF2-40B4-BE49-F238E27FC236}">
              <a16:creationId xmlns:a16="http://schemas.microsoft.com/office/drawing/2014/main" id="{71D91D04-B940-4F75-9273-BF29C239C4C8}"/>
            </a:ext>
          </a:extLst>
        </xdr:cNvPr>
        <xdr:cNvSpPr/>
      </xdr:nvSpPr>
      <xdr:spPr>
        <a:xfrm>
          <a:off x="3114676" y="3524250"/>
          <a:ext cx="448056" cy="274320"/>
        </a:xfrm>
        <a:prstGeom prst="roundRect">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LJ</a:t>
          </a:r>
        </a:p>
      </xdr:txBody>
    </xdr:sp>
    <xdr:clientData/>
  </xdr:twoCellAnchor>
  <xdr:twoCellAnchor>
    <xdr:from>
      <xdr:col>5</xdr:col>
      <xdr:colOff>314326</xdr:colOff>
      <xdr:row>37</xdr:row>
      <xdr:rowOff>85726</xdr:rowOff>
    </xdr:from>
    <xdr:to>
      <xdr:col>6</xdr:col>
      <xdr:colOff>190882</xdr:colOff>
      <xdr:row>40</xdr:row>
      <xdr:rowOff>17146</xdr:rowOff>
    </xdr:to>
    <xdr:sp macro="[0]!PositionShape_Click" textlink="">
      <xdr:nvSpPr>
        <xdr:cNvPr id="2048" name="9Pos9">
          <a:extLst>
            <a:ext uri="{FF2B5EF4-FFF2-40B4-BE49-F238E27FC236}">
              <a16:creationId xmlns:a16="http://schemas.microsoft.com/office/drawing/2014/main" id="{5B2E9C2F-6B82-4321-8A5B-813604DFBF9F}"/>
            </a:ext>
          </a:extLst>
        </xdr:cNvPr>
        <xdr:cNvSpPr/>
      </xdr:nvSpPr>
      <xdr:spPr>
        <a:xfrm>
          <a:off x="2819401" y="4314826"/>
          <a:ext cx="448056" cy="274320"/>
        </a:xfrm>
        <a:prstGeom prst="roundRect">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CO</a:t>
          </a:r>
        </a:p>
      </xdr:txBody>
    </xdr:sp>
    <xdr:clientData/>
  </xdr:twoCellAnchor>
  <xdr:twoCellAnchor>
    <xdr:from>
      <xdr:col>6</xdr:col>
      <xdr:colOff>238126</xdr:colOff>
      <xdr:row>34</xdr:row>
      <xdr:rowOff>28576</xdr:rowOff>
    </xdr:from>
    <xdr:to>
      <xdr:col>7</xdr:col>
      <xdr:colOff>151258</xdr:colOff>
      <xdr:row>36</xdr:row>
      <xdr:rowOff>74296</xdr:rowOff>
    </xdr:to>
    <xdr:sp macro="[0]!PositionShape_Click" textlink="">
      <xdr:nvSpPr>
        <xdr:cNvPr id="2049" name="9Pos8">
          <a:extLst>
            <a:ext uri="{FF2B5EF4-FFF2-40B4-BE49-F238E27FC236}">
              <a16:creationId xmlns:a16="http://schemas.microsoft.com/office/drawing/2014/main" id="{69D8EC52-7627-4A72-97A0-F9724D0AD439}"/>
            </a:ext>
          </a:extLst>
        </xdr:cNvPr>
        <xdr:cNvSpPr/>
      </xdr:nvSpPr>
      <xdr:spPr>
        <a:xfrm>
          <a:off x="3314701" y="3914776"/>
          <a:ext cx="484632" cy="274320"/>
        </a:xfrm>
        <a:prstGeom prst="roundRect">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HJ</a:t>
          </a:r>
        </a:p>
      </xdr:txBody>
    </xdr:sp>
    <xdr:clientData/>
  </xdr:twoCellAnchor>
  <xdr:twoCellAnchor>
    <xdr:from>
      <xdr:col>1</xdr:col>
      <xdr:colOff>400050</xdr:colOff>
      <xdr:row>29</xdr:row>
      <xdr:rowOff>34178</xdr:rowOff>
    </xdr:from>
    <xdr:to>
      <xdr:col>7</xdr:col>
      <xdr:colOff>123826</xdr:colOff>
      <xdr:row>40</xdr:row>
      <xdr:rowOff>79002</xdr:rowOff>
    </xdr:to>
    <xdr:sp macro="" textlink="">
      <xdr:nvSpPr>
        <xdr:cNvPr id="2054" name="8Table" hidden="1">
          <a:extLst>
            <a:ext uri="{FF2B5EF4-FFF2-40B4-BE49-F238E27FC236}">
              <a16:creationId xmlns:a16="http://schemas.microsoft.com/office/drawing/2014/main" id="{305DB62D-BC89-79D3-0593-2F3B71177E41}"/>
            </a:ext>
          </a:extLst>
        </xdr:cNvPr>
        <xdr:cNvSpPr/>
      </xdr:nvSpPr>
      <xdr:spPr>
        <a:xfrm>
          <a:off x="771525" y="3348878"/>
          <a:ext cx="3000376" cy="1302124"/>
        </a:xfrm>
        <a:prstGeom prst="ellips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62193</xdr:colOff>
      <xdr:row>38</xdr:row>
      <xdr:rowOff>29136</xdr:rowOff>
    </xdr:from>
    <xdr:to>
      <xdr:col>4</xdr:col>
      <xdr:colOff>510249</xdr:colOff>
      <xdr:row>40</xdr:row>
      <xdr:rowOff>74856</xdr:rowOff>
    </xdr:to>
    <xdr:sp macro="[0]!PositionShape_Click" textlink="">
      <xdr:nvSpPr>
        <xdr:cNvPr id="2055" name="8Pos1" hidden="1">
          <a:extLst>
            <a:ext uri="{FF2B5EF4-FFF2-40B4-BE49-F238E27FC236}">
              <a16:creationId xmlns:a16="http://schemas.microsoft.com/office/drawing/2014/main" id="{74D088DD-CA63-23E5-53D9-FCA824EB3ABF}"/>
            </a:ext>
          </a:extLst>
        </xdr:cNvPr>
        <xdr:cNvSpPr/>
      </xdr:nvSpPr>
      <xdr:spPr>
        <a:xfrm>
          <a:off x="1995768" y="4372536"/>
          <a:ext cx="448056" cy="274320"/>
        </a:xfrm>
        <a:prstGeom prst="flowChartTerminator">
          <a:avLst/>
        </a:prstGeom>
        <a:solidFill>
          <a:srgbClr val="0D0D0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BT</a:t>
          </a:r>
        </a:p>
      </xdr:txBody>
    </xdr:sp>
    <xdr:clientData/>
  </xdr:twoCellAnchor>
  <xdr:twoCellAnchor>
    <xdr:from>
      <xdr:col>2</xdr:col>
      <xdr:colOff>306482</xdr:colOff>
      <xdr:row>37</xdr:row>
      <xdr:rowOff>42023</xdr:rowOff>
    </xdr:from>
    <xdr:to>
      <xdr:col>3</xdr:col>
      <xdr:colOff>240188</xdr:colOff>
      <xdr:row>39</xdr:row>
      <xdr:rowOff>87743</xdr:rowOff>
    </xdr:to>
    <xdr:sp macro="[0]!PositionShape_Click" textlink="">
      <xdr:nvSpPr>
        <xdr:cNvPr id="2056" name="8Pos2" hidden="1">
          <a:extLst>
            <a:ext uri="{FF2B5EF4-FFF2-40B4-BE49-F238E27FC236}">
              <a16:creationId xmlns:a16="http://schemas.microsoft.com/office/drawing/2014/main" id="{0AA9C04A-508F-EAB7-742F-35F16BC07C59}"/>
            </a:ext>
          </a:extLst>
        </xdr:cNvPr>
        <xdr:cNvSpPr/>
      </xdr:nvSpPr>
      <xdr:spPr>
        <a:xfrm>
          <a:off x="1154207" y="4271123"/>
          <a:ext cx="448056" cy="274320"/>
        </a:xfrm>
        <a:prstGeom prst="flowChartTerminator">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SB</a:t>
          </a:r>
        </a:p>
      </xdr:txBody>
    </xdr:sp>
    <xdr:clientData/>
  </xdr:twoCellAnchor>
  <xdr:twoCellAnchor>
    <xdr:from>
      <xdr:col>1</xdr:col>
      <xdr:colOff>371476</xdr:colOff>
      <xdr:row>33</xdr:row>
      <xdr:rowOff>75078</xdr:rowOff>
    </xdr:from>
    <xdr:to>
      <xdr:col>2</xdr:col>
      <xdr:colOff>343282</xdr:colOff>
      <xdr:row>36</xdr:row>
      <xdr:rowOff>6498</xdr:rowOff>
    </xdr:to>
    <xdr:sp macro="[0]!PositionShape_Click" textlink="">
      <xdr:nvSpPr>
        <xdr:cNvPr id="2058" name="8Pos3" hidden="1">
          <a:extLst>
            <a:ext uri="{FF2B5EF4-FFF2-40B4-BE49-F238E27FC236}">
              <a16:creationId xmlns:a16="http://schemas.microsoft.com/office/drawing/2014/main" id="{FCC4ED89-5858-7D73-B07F-E57E34724511}"/>
            </a:ext>
          </a:extLst>
        </xdr:cNvPr>
        <xdr:cNvSpPr/>
      </xdr:nvSpPr>
      <xdr:spPr>
        <a:xfrm>
          <a:off x="742951" y="3846978"/>
          <a:ext cx="448056" cy="274320"/>
        </a:xfrm>
        <a:prstGeom prst="flowChartTerminator">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BB</a:t>
          </a:r>
        </a:p>
      </xdr:txBody>
    </xdr:sp>
    <xdr:clientData/>
  </xdr:twoCellAnchor>
  <xdr:twoCellAnchor>
    <xdr:from>
      <xdr:col>2</xdr:col>
      <xdr:colOff>388844</xdr:colOff>
      <xdr:row>29</xdr:row>
      <xdr:rowOff>110378</xdr:rowOff>
    </xdr:from>
    <xdr:to>
      <xdr:col>3</xdr:col>
      <xdr:colOff>322550</xdr:colOff>
      <xdr:row>32</xdr:row>
      <xdr:rowOff>41798</xdr:rowOff>
    </xdr:to>
    <xdr:sp macro="[0]!PositionShape_Click" textlink="">
      <xdr:nvSpPr>
        <xdr:cNvPr id="2074" name="8Pos4" hidden="1">
          <a:extLst>
            <a:ext uri="{FF2B5EF4-FFF2-40B4-BE49-F238E27FC236}">
              <a16:creationId xmlns:a16="http://schemas.microsoft.com/office/drawing/2014/main" id="{B97EA029-F2E0-892C-A378-D3DB2FDE7F8E}"/>
            </a:ext>
          </a:extLst>
        </xdr:cNvPr>
        <xdr:cNvSpPr/>
      </xdr:nvSpPr>
      <xdr:spPr>
        <a:xfrm>
          <a:off x="1236569" y="3425078"/>
          <a:ext cx="448056" cy="274320"/>
        </a:xfrm>
        <a:prstGeom prst="flowChartTerminator">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EP</a:t>
          </a:r>
        </a:p>
      </xdr:txBody>
    </xdr:sp>
    <xdr:clientData/>
  </xdr:twoCellAnchor>
  <xdr:twoCellAnchor>
    <xdr:from>
      <xdr:col>4</xdr:col>
      <xdr:colOff>97492</xdr:colOff>
      <xdr:row>29</xdr:row>
      <xdr:rowOff>32497</xdr:rowOff>
    </xdr:from>
    <xdr:to>
      <xdr:col>4</xdr:col>
      <xdr:colOff>545548</xdr:colOff>
      <xdr:row>31</xdr:row>
      <xdr:rowOff>78217</xdr:rowOff>
    </xdr:to>
    <xdr:sp macro="[0]!PositionShape_Click" textlink="">
      <xdr:nvSpPr>
        <xdr:cNvPr id="2075" name="8Pos5" hidden="1">
          <a:extLst>
            <a:ext uri="{FF2B5EF4-FFF2-40B4-BE49-F238E27FC236}">
              <a16:creationId xmlns:a16="http://schemas.microsoft.com/office/drawing/2014/main" id="{CF0C0A5A-F265-C88B-6026-2756598A8CA7}"/>
            </a:ext>
          </a:extLst>
        </xdr:cNvPr>
        <xdr:cNvSpPr/>
      </xdr:nvSpPr>
      <xdr:spPr>
        <a:xfrm>
          <a:off x="2031067" y="3347197"/>
          <a:ext cx="448056" cy="274320"/>
        </a:xfrm>
        <a:prstGeom prst="flowChartTerminator">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MP</a:t>
          </a:r>
        </a:p>
      </xdr:txBody>
    </xdr:sp>
    <xdr:clientData/>
  </xdr:twoCellAnchor>
  <xdr:twoCellAnchor>
    <xdr:from>
      <xdr:col>5</xdr:col>
      <xdr:colOff>304801</xdr:colOff>
      <xdr:row>30</xdr:row>
      <xdr:rowOff>18489</xdr:rowOff>
    </xdr:from>
    <xdr:to>
      <xdr:col>6</xdr:col>
      <xdr:colOff>181357</xdr:colOff>
      <xdr:row>32</xdr:row>
      <xdr:rowOff>64209</xdr:rowOff>
    </xdr:to>
    <xdr:sp macro="[0]!PositionShape_Click" textlink="">
      <xdr:nvSpPr>
        <xdr:cNvPr id="2115" name="8Pos6" hidden="1">
          <a:extLst>
            <a:ext uri="{FF2B5EF4-FFF2-40B4-BE49-F238E27FC236}">
              <a16:creationId xmlns:a16="http://schemas.microsoft.com/office/drawing/2014/main" id="{6FE68F62-7B47-4174-6464-C1459F4B0373}"/>
            </a:ext>
          </a:extLst>
        </xdr:cNvPr>
        <xdr:cNvSpPr/>
      </xdr:nvSpPr>
      <xdr:spPr>
        <a:xfrm>
          <a:off x="2809876" y="3447489"/>
          <a:ext cx="448056" cy="274320"/>
        </a:xfrm>
        <a:prstGeom prst="flowChartTerminator">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LJ</a:t>
          </a:r>
        </a:p>
      </xdr:txBody>
    </xdr:sp>
    <xdr:clientData/>
  </xdr:twoCellAnchor>
  <xdr:twoCellAnchor>
    <xdr:from>
      <xdr:col>5</xdr:col>
      <xdr:colOff>305922</xdr:colOff>
      <xdr:row>37</xdr:row>
      <xdr:rowOff>29136</xdr:rowOff>
    </xdr:from>
    <xdr:to>
      <xdr:col>6</xdr:col>
      <xdr:colOff>182478</xdr:colOff>
      <xdr:row>39</xdr:row>
      <xdr:rowOff>74856</xdr:rowOff>
    </xdr:to>
    <xdr:sp macro="[0]!PositionShape_Click" textlink="">
      <xdr:nvSpPr>
        <xdr:cNvPr id="2116" name="8pos8" hidden="1">
          <a:extLst>
            <a:ext uri="{FF2B5EF4-FFF2-40B4-BE49-F238E27FC236}">
              <a16:creationId xmlns:a16="http://schemas.microsoft.com/office/drawing/2014/main" id="{678ED096-ECD4-4B86-78A2-DB04C4437956}"/>
            </a:ext>
          </a:extLst>
        </xdr:cNvPr>
        <xdr:cNvSpPr/>
      </xdr:nvSpPr>
      <xdr:spPr>
        <a:xfrm>
          <a:off x="2810997" y="4258236"/>
          <a:ext cx="448056" cy="274320"/>
        </a:xfrm>
        <a:prstGeom prst="flowChartTerminator">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CO</a:t>
          </a:r>
        </a:p>
      </xdr:txBody>
    </xdr:sp>
    <xdr:clientData/>
  </xdr:twoCellAnchor>
  <xdr:twoCellAnchor>
    <xdr:from>
      <xdr:col>6</xdr:col>
      <xdr:colOff>260538</xdr:colOff>
      <xdr:row>33</xdr:row>
      <xdr:rowOff>110938</xdr:rowOff>
    </xdr:from>
    <xdr:to>
      <xdr:col>7</xdr:col>
      <xdr:colOff>137094</xdr:colOff>
      <xdr:row>36</xdr:row>
      <xdr:rowOff>42358</xdr:rowOff>
    </xdr:to>
    <xdr:sp macro="[0]!PositionShape_Click" textlink="">
      <xdr:nvSpPr>
        <xdr:cNvPr id="2117" name="8Pos7" hidden="1">
          <a:extLst>
            <a:ext uri="{FF2B5EF4-FFF2-40B4-BE49-F238E27FC236}">
              <a16:creationId xmlns:a16="http://schemas.microsoft.com/office/drawing/2014/main" id="{698C01C5-5501-436B-8564-E75904A6C942}"/>
            </a:ext>
          </a:extLst>
        </xdr:cNvPr>
        <xdr:cNvSpPr/>
      </xdr:nvSpPr>
      <xdr:spPr>
        <a:xfrm>
          <a:off x="3337113" y="3882838"/>
          <a:ext cx="448056" cy="274320"/>
        </a:xfrm>
        <a:prstGeom prst="flowChartTerminator">
          <a:avLst/>
        </a:prstGeom>
        <a:solidFill>
          <a:srgbClr val="B4C6E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HJ</a:t>
          </a:r>
        </a:p>
      </xdr:txBody>
    </xdr:sp>
    <xdr:clientData/>
  </xdr:twoCellAnchor>
  <xdr:twoCellAnchor>
    <xdr:from>
      <xdr:col>0</xdr:col>
      <xdr:colOff>200025</xdr:colOff>
      <xdr:row>39</xdr:row>
      <xdr:rowOff>9525</xdr:rowOff>
    </xdr:from>
    <xdr:to>
      <xdr:col>1</xdr:col>
      <xdr:colOff>352425</xdr:colOff>
      <xdr:row>42</xdr:row>
      <xdr:rowOff>104775</xdr:rowOff>
    </xdr:to>
    <xdr:sp macro="[0]!Clear_Bets" textlink="">
      <xdr:nvSpPr>
        <xdr:cNvPr id="2100" name="Rectangle 2099">
          <a:extLst>
            <a:ext uri="{FF2B5EF4-FFF2-40B4-BE49-F238E27FC236}">
              <a16:creationId xmlns:a16="http://schemas.microsoft.com/office/drawing/2014/main" id="{6254B274-D8B9-99AD-B7C5-1FA263DFAE6B}"/>
            </a:ext>
          </a:extLst>
        </xdr:cNvPr>
        <xdr:cNvSpPr/>
      </xdr:nvSpPr>
      <xdr:spPr>
        <a:xfrm>
          <a:off x="200025" y="4467225"/>
          <a:ext cx="523875" cy="4381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Clear Bets</a:t>
          </a:r>
        </a:p>
      </xdr:txBody>
    </xdr:sp>
    <xdr:clientData/>
  </xdr:twoCellAnchor>
  <xdr:twoCellAnchor>
    <xdr:from>
      <xdr:col>51</xdr:col>
      <xdr:colOff>123825</xdr:colOff>
      <xdr:row>37</xdr:row>
      <xdr:rowOff>95250</xdr:rowOff>
    </xdr:from>
    <xdr:to>
      <xdr:col>53</xdr:col>
      <xdr:colOff>190500</xdr:colOff>
      <xdr:row>42</xdr:row>
      <xdr:rowOff>47625</xdr:rowOff>
    </xdr:to>
    <xdr:sp macro="[0]!highlight_grid_based_on_source" textlink="">
      <xdr:nvSpPr>
        <xdr:cNvPr id="55" name="Rectangle 54">
          <a:extLst>
            <a:ext uri="{FF2B5EF4-FFF2-40B4-BE49-F238E27FC236}">
              <a16:creationId xmlns:a16="http://schemas.microsoft.com/office/drawing/2014/main" id="{857AC9A3-A078-F8E9-4D34-72D6B78553B2}"/>
            </a:ext>
          </a:extLst>
        </xdr:cNvPr>
        <xdr:cNvSpPr/>
      </xdr:nvSpPr>
      <xdr:spPr>
        <a:xfrm>
          <a:off x="9153525" y="4324350"/>
          <a:ext cx="819150" cy="52387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Copy Range</a:t>
          </a:r>
        </a:p>
      </xdr:txBody>
    </xdr:sp>
    <xdr:clientData/>
  </xdr:twoCellAnchor>
  <xdr:twoCellAnchor>
    <xdr:from>
      <xdr:col>51</xdr:col>
      <xdr:colOff>134470</xdr:colOff>
      <xdr:row>46</xdr:row>
      <xdr:rowOff>11206</xdr:rowOff>
    </xdr:from>
    <xdr:to>
      <xdr:col>53</xdr:col>
      <xdr:colOff>179294</xdr:colOff>
      <xdr:row>50</xdr:row>
      <xdr:rowOff>11206</xdr:rowOff>
    </xdr:to>
    <xdr:sp macro="[0]!clear_destination_highlights" textlink="">
      <xdr:nvSpPr>
        <xdr:cNvPr id="56" name="Rectangle 55">
          <a:extLst>
            <a:ext uri="{FF2B5EF4-FFF2-40B4-BE49-F238E27FC236}">
              <a16:creationId xmlns:a16="http://schemas.microsoft.com/office/drawing/2014/main" id="{D821970B-38DB-088D-CCAE-44A4BA830E5D}"/>
            </a:ext>
          </a:extLst>
        </xdr:cNvPr>
        <xdr:cNvSpPr/>
      </xdr:nvSpPr>
      <xdr:spPr>
        <a:xfrm>
          <a:off x="9009529" y="5165912"/>
          <a:ext cx="795618" cy="44823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Clear Range</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308ED4-31C2-4580-BD06-ADB42C047D12}">
  <dimension ref="B1:D9"/>
  <sheetViews>
    <sheetView showGridLines="0" showRowColHeaders="0" tabSelected="1" workbookViewId="0">
      <selection activeCell="C2" sqref="C2"/>
    </sheetView>
  </sheetViews>
  <sheetFormatPr defaultRowHeight="15" x14ac:dyDescent="0.25"/>
  <cols>
    <col min="1" max="2" width="2.28515625" style="95" customWidth="1"/>
    <col min="3" max="3" width="124.42578125" style="95" customWidth="1"/>
    <col min="4" max="4" width="1.85546875" style="95" customWidth="1"/>
    <col min="5" max="16384" width="9.140625" style="95"/>
  </cols>
  <sheetData>
    <row r="1" spans="2:4" ht="15.75" thickBot="1" x14ac:dyDescent="0.3"/>
    <row r="2" spans="2:4" ht="304.5" customHeight="1" x14ac:dyDescent="0.25">
      <c r="B2" s="96"/>
      <c r="C2" s="97" t="s">
        <v>277</v>
      </c>
      <c r="D2" s="98"/>
    </row>
    <row r="3" spans="2:4" x14ac:dyDescent="0.25">
      <c r="B3" s="99"/>
      <c r="C3" s="100"/>
      <c r="D3" s="101"/>
    </row>
    <row r="4" spans="2:4" x14ac:dyDescent="0.25">
      <c r="B4" s="99"/>
      <c r="C4" s="100" t="s">
        <v>274</v>
      </c>
      <c r="D4" s="101"/>
    </row>
    <row r="5" spans="2:4" x14ac:dyDescent="0.25">
      <c r="B5" s="99"/>
      <c r="C5" s="100" t="s">
        <v>275</v>
      </c>
      <c r="D5" s="101"/>
    </row>
    <row r="6" spans="2:4" x14ac:dyDescent="0.25">
      <c r="B6" s="99"/>
      <c r="C6" s="100" t="s">
        <v>276</v>
      </c>
      <c r="D6" s="101"/>
    </row>
    <row r="7" spans="2:4" x14ac:dyDescent="0.25">
      <c r="B7" s="99"/>
      <c r="C7" s="100"/>
      <c r="D7" s="101"/>
    </row>
    <row r="8" spans="2:4" x14ac:dyDescent="0.25">
      <c r="B8" s="99"/>
      <c r="C8" s="100"/>
      <c r="D8" s="101"/>
    </row>
    <row r="9" spans="2:4" ht="15.75" thickBot="1" x14ac:dyDescent="0.3">
      <c r="B9" s="102"/>
      <c r="C9" s="103"/>
      <c r="D9" s="104"/>
    </row>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O1019"/>
  <sheetViews>
    <sheetView showGridLines="0" zoomScale="130" zoomScaleNormal="130" workbookViewId="0">
      <selection activeCell="F52" sqref="F52"/>
    </sheetView>
  </sheetViews>
  <sheetFormatPr defaultColWidth="14.42578125" defaultRowHeight="15" customHeight="1" x14ac:dyDescent="0.25"/>
  <cols>
    <col min="1" max="1" width="6.140625" customWidth="1"/>
    <col min="2" max="2" width="7.140625" customWidth="1"/>
    <col min="3" max="3" width="7.7109375" customWidth="1"/>
    <col min="4" max="7" width="8.5703125" customWidth="1"/>
    <col min="8" max="8" width="7.7109375" customWidth="1"/>
    <col min="9" max="9" width="3.42578125" customWidth="1"/>
    <col min="10" max="10" width="3.5703125" customWidth="1"/>
    <col min="11" max="11" width="2.85546875" customWidth="1"/>
    <col min="12" max="50" width="1.5703125" customWidth="1"/>
    <col min="51" max="51" width="1.85546875" customWidth="1"/>
    <col min="52" max="52" width="3.5703125" customWidth="1"/>
    <col min="53" max="53" width="7.7109375" customWidth="1"/>
    <col min="54" max="67" width="5" customWidth="1"/>
  </cols>
  <sheetData>
    <row r="1" spans="2:52" ht="9" customHeight="1" x14ac:dyDescent="0.25">
      <c r="D1" s="64" t="s">
        <v>16</v>
      </c>
      <c r="E1" s="65" t="str">
        <f>IF(PFVar!B2=100, "Bluff Raise", "All In")</f>
        <v>Bluff Raise</v>
      </c>
      <c r="F1" s="66" t="s">
        <v>6</v>
      </c>
      <c r="G1" s="67" t="s">
        <v>5</v>
      </c>
      <c r="X1" s="19" t="s">
        <v>228</v>
      </c>
    </row>
    <row r="2" spans="2:52" ht="9" customHeight="1" thickBot="1" x14ac:dyDescent="0.3">
      <c r="K2" s="44"/>
      <c r="L2" s="91" t="s">
        <v>0</v>
      </c>
      <c r="M2" s="91"/>
      <c r="N2" s="91"/>
      <c r="O2" s="90" t="s">
        <v>1</v>
      </c>
      <c r="P2" s="90"/>
      <c r="Q2" s="90"/>
      <c r="R2" s="90" t="s">
        <v>2</v>
      </c>
      <c r="S2" s="90"/>
      <c r="T2" s="90"/>
      <c r="U2" s="90" t="s">
        <v>3</v>
      </c>
      <c r="V2" s="90"/>
      <c r="W2" s="90"/>
      <c r="X2" s="90" t="s">
        <v>4</v>
      </c>
      <c r="Y2" s="90"/>
      <c r="Z2" s="90"/>
      <c r="AA2" s="90">
        <v>9</v>
      </c>
      <c r="AB2" s="90"/>
      <c r="AC2" s="90"/>
      <c r="AD2" s="90">
        <v>8</v>
      </c>
      <c r="AE2" s="90"/>
      <c r="AF2" s="90"/>
      <c r="AG2" s="90">
        <v>7</v>
      </c>
      <c r="AH2" s="90"/>
      <c r="AI2" s="90"/>
      <c r="AJ2" s="90">
        <v>6</v>
      </c>
      <c r="AK2" s="90"/>
      <c r="AL2" s="90"/>
      <c r="AM2" s="90">
        <v>5</v>
      </c>
      <c r="AN2" s="90"/>
      <c r="AO2" s="90"/>
      <c r="AP2" s="90">
        <v>4</v>
      </c>
      <c r="AQ2" s="90"/>
      <c r="AR2" s="90"/>
      <c r="AS2" s="90">
        <v>3</v>
      </c>
      <c r="AT2" s="90"/>
      <c r="AU2" s="90"/>
      <c r="AV2" s="90">
        <v>2</v>
      </c>
      <c r="AW2" s="90"/>
      <c r="AX2" s="90"/>
    </row>
    <row r="3" spans="2:52" ht="9" customHeight="1" x14ac:dyDescent="0.25">
      <c r="B3" s="63" t="s">
        <v>186</v>
      </c>
      <c r="D3" s="29" t="s">
        <v>238</v>
      </c>
      <c r="E3" s="30" t="s">
        <v>236</v>
      </c>
      <c r="F3" s="31" t="s">
        <v>195</v>
      </c>
      <c r="G3" s="32" t="s">
        <v>237</v>
      </c>
      <c r="K3" s="45" t="s">
        <v>0</v>
      </c>
      <c r="L3" s="92" t="s">
        <v>17</v>
      </c>
      <c r="M3" s="93"/>
      <c r="N3" s="94"/>
      <c r="O3" s="92" t="s">
        <v>18</v>
      </c>
      <c r="P3" s="93"/>
      <c r="Q3" s="94"/>
      <c r="R3" s="92" t="s">
        <v>19</v>
      </c>
      <c r="S3" s="93"/>
      <c r="T3" s="94"/>
      <c r="U3" s="92" t="s">
        <v>20</v>
      </c>
      <c r="V3" s="93"/>
      <c r="W3" s="94"/>
      <c r="X3" s="92" t="s">
        <v>21</v>
      </c>
      <c r="Y3" s="93"/>
      <c r="Z3" s="94"/>
      <c r="AA3" s="92" t="s">
        <v>22</v>
      </c>
      <c r="AB3" s="93"/>
      <c r="AC3" s="94"/>
      <c r="AD3" s="92" t="s">
        <v>23</v>
      </c>
      <c r="AE3" s="93"/>
      <c r="AF3" s="94"/>
      <c r="AG3" s="92" t="s">
        <v>24</v>
      </c>
      <c r="AH3" s="93"/>
      <c r="AI3" s="94"/>
      <c r="AJ3" s="92" t="s">
        <v>25</v>
      </c>
      <c r="AK3" s="93"/>
      <c r="AL3" s="94"/>
      <c r="AM3" s="92" t="s">
        <v>26</v>
      </c>
      <c r="AN3" s="93"/>
      <c r="AO3" s="94"/>
      <c r="AP3" s="92" t="s">
        <v>27</v>
      </c>
      <c r="AQ3" s="93"/>
      <c r="AR3" s="94"/>
      <c r="AS3" s="92" t="s">
        <v>28</v>
      </c>
      <c r="AT3" s="93"/>
      <c r="AU3" s="94"/>
      <c r="AV3" s="92" t="s">
        <v>29</v>
      </c>
      <c r="AW3" s="93"/>
      <c r="AX3" s="94"/>
    </row>
    <row r="4" spans="2:52" s="46" customFormat="1" ht="9" customHeight="1" thickBot="1" x14ac:dyDescent="0.3">
      <c r="B4" s="60">
        <v>9</v>
      </c>
      <c r="D4" s="28"/>
      <c r="E4" s="33"/>
      <c r="F4" s="35"/>
      <c r="G4" s="34"/>
      <c r="K4" s="45"/>
      <c r="L4" s="57">
        <f>_xlfn.XLOOKUP(L3,PFVar!$I$35:$FU$35,PFVar!$I$40:$FU$40)</f>
        <v>1</v>
      </c>
      <c r="M4" s="58">
        <f>_xlfn.XLOOKUP(L3,PFVar!$I$35:$FU$35,PFVar!$I$37:$FU$37)</f>
        <v>0</v>
      </c>
      <c r="N4" s="59">
        <f>_xlfn.XLOOKUP(L3,PFVar!$I$35:$FU$35,PFVar!$I$38:$FU$38)</f>
        <v>0</v>
      </c>
      <c r="O4" s="57">
        <f>_xlfn.XLOOKUP(O3,PFVar!$I$35:$FU$35,PFVar!$I$40:$FU$40)</f>
        <v>1</v>
      </c>
      <c r="P4" s="58">
        <f>_xlfn.XLOOKUP(O3,PFVar!$I$35:$FU$35,PFVar!$I$37:$FU$37)</f>
        <v>0</v>
      </c>
      <c r="Q4" s="59">
        <f>_xlfn.XLOOKUP(O3,PFVar!$I$35:$FU$35,PFVar!$I$38:$FU$38)</f>
        <v>0</v>
      </c>
      <c r="R4" s="57">
        <f>_xlfn.XLOOKUP(R3,PFVar!$I$35:$FU$35,PFVar!$I$40:$FU$40)</f>
        <v>1</v>
      </c>
      <c r="S4" s="58">
        <f>_xlfn.XLOOKUP(R3,PFVar!$I$35:$FU$35,PFVar!$I$37:$FU$37)</f>
        <v>0</v>
      </c>
      <c r="T4" s="59">
        <f>_xlfn.XLOOKUP(R3,PFVar!$I$35:$FU$35,PFVar!$I$38:$FU$38)</f>
        <v>0</v>
      </c>
      <c r="U4" s="57">
        <f>_xlfn.XLOOKUP(U3,PFVar!$I$35:$FU$35,PFVar!$I$40:$FU$40)</f>
        <v>1</v>
      </c>
      <c r="V4" s="58">
        <f>_xlfn.XLOOKUP(U3,PFVar!$I$35:$FU$35,PFVar!$I$37:$FU$37)</f>
        <v>0</v>
      </c>
      <c r="W4" s="59">
        <f>_xlfn.XLOOKUP(U3,PFVar!$I$35:$FU$35,PFVar!$I$38:$FU$38)</f>
        <v>0</v>
      </c>
      <c r="X4" s="57">
        <f>_xlfn.XLOOKUP(X3,PFVar!$I$35:$FU$35,PFVar!$I$40:$FU$40)</f>
        <v>1</v>
      </c>
      <c r="Y4" s="58">
        <f>_xlfn.XLOOKUP(X3,PFVar!$I$35:$FU$35,PFVar!$I$37:$FU$37)</f>
        <v>0</v>
      </c>
      <c r="Z4" s="59">
        <f>_xlfn.XLOOKUP(X3,PFVar!$I$35:$FU$35,PFVar!$I$38:$FU$38)</f>
        <v>0</v>
      </c>
      <c r="AA4" s="57">
        <f>_xlfn.XLOOKUP(AA3,PFVar!$I$35:$FU$35,PFVar!$I$40:$FU$40)</f>
        <v>1</v>
      </c>
      <c r="AB4" s="58">
        <f>_xlfn.XLOOKUP(AA3,PFVar!$I$35:$FU$35,PFVar!$I$37:$FU$37)</f>
        <v>0</v>
      </c>
      <c r="AC4" s="59">
        <f>_xlfn.XLOOKUP(AA3,PFVar!$I$35:$FU$35,PFVar!$I$38:$FU$38)</f>
        <v>0</v>
      </c>
      <c r="AD4" s="57">
        <f>_xlfn.XLOOKUP(AD3,PFVar!$I$35:$FU$35,PFVar!$I$40:$FU$40)</f>
        <v>1</v>
      </c>
      <c r="AE4" s="58">
        <f>_xlfn.XLOOKUP(AD3,PFVar!$I$35:$FU$35,PFVar!$I$37:$FU$37)</f>
        <v>0</v>
      </c>
      <c r="AF4" s="59">
        <f>_xlfn.XLOOKUP(AD3,PFVar!$I$35:$FU$35,PFVar!$I$38:$FU$38)</f>
        <v>0</v>
      </c>
      <c r="AG4" s="57">
        <f>_xlfn.XLOOKUP(AG3,PFVar!$I$35:$FU$35,PFVar!$I$40:$FU$40)</f>
        <v>1</v>
      </c>
      <c r="AH4" s="58">
        <f>_xlfn.XLOOKUP(AG3,PFVar!$I$35:$FU$35,PFVar!$I$37:$FU$37)</f>
        <v>0</v>
      </c>
      <c r="AI4" s="59">
        <f>_xlfn.XLOOKUP(AG3,PFVar!$I$35:$FU$35,PFVar!$I$38:$FU$38)</f>
        <v>0</v>
      </c>
      <c r="AJ4" s="57">
        <f>_xlfn.XLOOKUP(AJ3,PFVar!$I$35:$FU$35,PFVar!$I$40:$FU$40)</f>
        <v>1</v>
      </c>
      <c r="AK4" s="58">
        <f>_xlfn.XLOOKUP(AJ3,PFVar!$I$35:$FU$35,PFVar!$I$37:$FU$37)</f>
        <v>0</v>
      </c>
      <c r="AL4" s="59">
        <f>_xlfn.XLOOKUP(AJ3,PFVar!$I$35:$FU$35,PFVar!$I$38:$FU$38)</f>
        <v>0</v>
      </c>
      <c r="AM4" s="57">
        <f>_xlfn.XLOOKUP(AM3,PFVar!$I$35:$FU$35,PFVar!$I$40:$FU$40)</f>
        <v>1</v>
      </c>
      <c r="AN4" s="58">
        <f>_xlfn.XLOOKUP(AM3,PFVar!$I$35:$FU$35,PFVar!$I$37:$FU$37)</f>
        <v>0</v>
      </c>
      <c r="AO4" s="59">
        <f>_xlfn.XLOOKUP(AM3,PFVar!$I$35:$FU$35,PFVar!$I$38:$FU$38)</f>
        <v>0</v>
      </c>
      <c r="AP4" s="57">
        <f>_xlfn.XLOOKUP(AP3,PFVar!$I$35:$FU$35,PFVar!$I$40:$FU$40)</f>
        <v>1</v>
      </c>
      <c r="AQ4" s="58">
        <f>_xlfn.XLOOKUP(AP3,PFVar!$I$35:$FU$35,PFVar!$I$37:$FU$37)</f>
        <v>0</v>
      </c>
      <c r="AR4" s="59">
        <f>_xlfn.XLOOKUP(AP3,PFVar!$I$35:$FU$35,PFVar!$I$38:$FU$38)</f>
        <v>0</v>
      </c>
      <c r="AS4" s="57">
        <f>_xlfn.XLOOKUP(AS3,PFVar!$I$35:$FU$35,PFVar!$I$40:$FU$40)</f>
        <v>1</v>
      </c>
      <c r="AT4" s="58">
        <f>_xlfn.XLOOKUP(AS3,PFVar!$I$35:$FU$35,PFVar!$I$37:$FU$37)</f>
        <v>0</v>
      </c>
      <c r="AU4" s="59">
        <f>_xlfn.XLOOKUP(AS3,PFVar!$I$35:$FU$35,PFVar!$I$38:$FU$38)</f>
        <v>0</v>
      </c>
      <c r="AV4" s="57">
        <f>_xlfn.XLOOKUP(AV3,PFVar!$I$35:$FU$35,PFVar!$I$40:$FU$40)</f>
        <v>1</v>
      </c>
      <c r="AW4" s="58">
        <f>_xlfn.XLOOKUP(AV3,PFVar!$I$35:$FU$35,PFVar!$I$37:$FU$37)</f>
        <v>0</v>
      </c>
      <c r="AX4" s="59">
        <f>_xlfn.XLOOKUP(AV3,PFVar!$I$35:$FU$35,PFVar!$I$38:$FU$38)</f>
        <v>0</v>
      </c>
    </row>
    <row r="5" spans="2:52" ht="9" customHeight="1" x14ac:dyDescent="0.25">
      <c r="D5" s="50"/>
      <c r="E5" s="51"/>
      <c r="F5" s="52"/>
      <c r="G5" s="53"/>
      <c r="H5" s="44"/>
      <c r="K5" s="45" t="s">
        <v>1</v>
      </c>
      <c r="L5" s="92" t="s">
        <v>30</v>
      </c>
      <c r="M5" s="93"/>
      <c r="N5" s="94"/>
      <c r="O5" s="92" t="s">
        <v>31</v>
      </c>
      <c r="P5" s="93"/>
      <c r="Q5" s="94"/>
      <c r="R5" s="92" t="s">
        <v>32</v>
      </c>
      <c r="S5" s="93"/>
      <c r="T5" s="94"/>
      <c r="U5" s="92" t="s">
        <v>33</v>
      </c>
      <c r="V5" s="93"/>
      <c r="W5" s="94"/>
      <c r="X5" s="92" t="s">
        <v>34</v>
      </c>
      <c r="Y5" s="93"/>
      <c r="Z5" s="94"/>
      <c r="AA5" s="92" t="s">
        <v>35</v>
      </c>
      <c r="AB5" s="93"/>
      <c r="AC5" s="94"/>
      <c r="AD5" s="92" t="s">
        <v>36</v>
      </c>
      <c r="AE5" s="93"/>
      <c r="AF5" s="94"/>
      <c r="AG5" s="92" t="s">
        <v>37</v>
      </c>
      <c r="AH5" s="93"/>
      <c r="AI5" s="94"/>
      <c r="AJ5" s="92" t="s">
        <v>38</v>
      </c>
      <c r="AK5" s="93"/>
      <c r="AL5" s="94"/>
      <c r="AM5" s="92" t="s">
        <v>39</v>
      </c>
      <c r="AN5" s="93"/>
      <c r="AO5" s="94"/>
      <c r="AP5" s="92" t="s">
        <v>40</v>
      </c>
      <c r="AQ5" s="93"/>
      <c r="AR5" s="94"/>
      <c r="AS5" s="92" t="s">
        <v>41</v>
      </c>
      <c r="AT5" s="93"/>
      <c r="AU5" s="94"/>
      <c r="AV5" s="92" t="s">
        <v>42</v>
      </c>
      <c r="AW5" s="93"/>
      <c r="AX5" s="94"/>
    </row>
    <row r="6" spans="2:52" s="46" customFormat="1" ht="9" customHeight="1" thickBot="1" x14ac:dyDescent="0.3">
      <c r="B6" s="63" t="s">
        <v>187</v>
      </c>
      <c r="D6" s="28"/>
      <c r="E6" s="33"/>
      <c r="F6" s="35"/>
      <c r="G6" s="34"/>
      <c r="K6" s="45"/>
      <c r="L6" s="57">
        <f>_xlfn.XLOOKUP(L5,PFVar!$I$35:$FU$35,PFVar!$I$40:$FU$40)</f>
        <v>1</v>
      </c>
      <c r="M6" s="58">
        <f>_xlfn.XLOOKUP(L5,PFVar!$I$35:$FU$35,PFVar!$I$37:$FU$37)</f>
        <v>0</v>
      </c>
      <c r="N6" s="59">
        <f>_xlfn.XLOOKUP(L5,PFVar!$I$35:$FU$35,PFVar!$I$38:$FU$38)</f>
        <v>0</v>
      </c>
      <c r="O6" s="57">
        <f>_xlfn.XLOOKUP(O5,PFVar!$I$35:$FU$35,PFVar!$I$40:$FU$40)</f>
        <v>1</v>
      </c>
      <c r="P6" s="58">
        <f>_xlfn.XLOOKUP(O5,PFVar!$I$35:$FU$35,PFVar!$I$37:$FU$37)</f>
        <v>0</v>
      </c>
      <c r="Q6" s="59">
        <f>_xlfn.XLOOKUP(O5,PFVar!$I$35:$FU$35,PFVar!$I$38:$FU$38)</f>
        <v>0</v>
      </c>
      <c r="R6" s="57">
        <f>_xlfn.XLOOKUP(R5,PFVar!$I$35:$FU$35,PFVar!$I$40:$FU$40)</f>
        <v>1</v>
      </c>
      <c r="S6" s="58">
        <f>_xlfn.XLOOKUP(R5,PFVar!$I$35:$FU$35,PFVar!$I$37:$FU$37)</f>
        <v>0</v>
      </c>
      <c r="T6" s="59">
        <f>_xlfn.XLOOKUP(R5,PFVar!$I$35:$FU$35,PFVar!$I$38:$FU$38)</f>
        <v>0</v>
      </c>
      <c r="U6" s="57">
        <f>_xlfn.XLOOKUP(U5,PFVar!$I$35:$FU$35,PFVar!$I$40:$FU$40)</f>
        <v>1</v>
      </c>
      <c r="V6" s="58">
        <f>_xlfn.XLOOKUP(U5,PFVar!$I$35:$FU$35,PFVar!$I$37:$FU$37)</f>
        <v>0</v>
      </c>
      <c r="W6" s="59">
        <f>_xlfn.XLOOKUP(U5,PFVar!$I$35:$FU$35,PFVar!$I$38:$FU$38)</f>
        <v>0</v>
      </c>
      <c r="X6" s="57">
        <f>_xlfn.XLOOKUP(X5,PFVar!$I$35:$FU$35,PFVar!$I$40:$FU$40)</f>
        <v>1</v>
      </c>
      <c r="Y6" s="58">
        <f>_xlfn.XLOOKUP(X5,PFVar!$I$35:$FU$35,PFVar!$I$37:$FU$37)</f>
        <v>0</v>
      </c>
      <c r="Z6" s="59">
        <f>_xlfn.XLOOKUP(X5,PFVar!$I$35:$FU$35,PFVar!$I$38:$FU$38)</f>
        <v>0</v>
      </c>
      <c r="AA6" s="57">
        <f>_xlfn.XLOOKUP(AA5,PFVar!$I$35:$FU$35,PFVar!$I$40:$FU$40)</f>
        <v>1</v>
      </c>
      <c r="AB6" s="58">
        <f>_xlfn.XLOOKUP(AA5,PFVar!$I$35:$FU$35,PFVar!$I$37:$FU$37)</f>
        <v>0</v>
      </c>
      <c r="AC6" s="59">
        <f>_xlfn.XLOOKUP(AA5,PFVar!$I$35:$FU$35,PFVar!$I$38:$FU$38)</f>
        <v>0</v>
      </c>
      <c r="AD6" s="57">
        <f>_xlfn.XLOOKUP(AD5,PFVar!$I$35:$FU$35,PFVar!$I$40:$FU$40)</f>
        <v>1</v>
      </c>
      <c r="AE6" s="58">
        <f>_xlfn.XLOOKUP(AD5,PFVar!$I$35:$FU$35,PFVar!$I$37:$FU$37)</f>
        <v>0</v>
      </c>
      <c r="AF6" s="59">
        <f>_xlfn.XLOOKUP(AD5,PFVar!$I$35:$FU$35,PFVar!$I$38:$FU$38)</f>
        <v>0</v>
      </c>
      <c r="AG6" s="57">
        <f>_xlfn.XLOOKUP(AG5,PFVar!$I$35:$FU$35,PFVar!$I$40:$FU$40)</f>
        <v>1</v>
      </c>
      <c r="AH6" s="58">
        <f>_xlfn.XLOOKUP(AG5,PFVar!$I$35:$FU$35,PFVar!$I$37:$FU$37)</f>
        <v>0</v>
      </c>
      <c r="AI6" s="59">
        <f>_xlfn.XLOOKUP(AG5,PFVar!$I$35:$FU$35,PFVar!$I$38:$FU$38)</f>
        <v>0</v>
      </c>
      <c r="AJ6" s="57">
        <f>_xlfn.XLOOKUP(AJ5,PFVar!$I$35:$FU$35,PFVar!$I$40:$FU$40)</f>
        <v>1</v>
      </c>
      <c r="AK6" s="58">
        <f>_xlfn.XLOOKUP(AJ5,PFVar!$I$35:$FU$35,PFVar!$I$37:$FU$37)</f>
        <v>0</v>
      </c>
      <c r="AL6" s="59">
        <f>_xlfn.XLOOKUP(AJ5,PFVar!$I$35:$FU$35,PFVar!$I$38:$FU$38)</f>
        <v>0</v>
      </c>
      <c r="AM6" s="57">
        <f>_xlfn.XLOOKUP(AM5,PFVar!$I$35:$FU$35,PFVar!$I$40:$FU$40)</f>
        <v>1</v>
      </c>
      <c r="AN6" s="58">
        <f>_xlfn.XLOOKUP(AM5,PFVar!$I$35:$FU$35,PFVar!$I$37:$FU$37)</f>
        <v>0</v>
      </c>
      <c r="AO6" s="59">
        <f>_xlfn.XLOOKUP(AM5,PFVar!$I$35:$FU$35,PFVar!$I$38:$FU$38)</f>
        <v>0</v>
      </c>
      <c r="AP6" s="57">
        <f>_xlfn.XLOOKUP(AP5,PFVar!$I$35:$FU$35,PFVar!$I$40:$FU$40)</f>
        <v>1</v>
      </c>
      <c r="AQ6" s="58">
        <f>_xlfn.XLOOKUP(AP5,PFVar!$I$35:$FU$35,PFVar!$I$37:$FU$37)</f>
        <v>0</v>
      </c>
      <c r="AR6" s="59">
        <f>_xlfn.XLOOKUP(AP5,PFVar!$I$35:$FU$35,PFVar!$I$38:$FU$38)</f>
        <v>0</v>
      </c>
      <c r="AS6" s="57">
        <f>_xlfn.XLOOKUP(AS5,PFVar!$I$35:$FU$35,PFVar!$I$40:$FU$40)</f>
        <v>1</v>
      </c>
      <c r="AT6" s="58">
        <f>_xlfn.XLOOKUP(AS5,PFVar!$I$35:$FU$35,PFVar!$I$37:$FU$37)</f>
        <v>0</v>
      </c>
      <c r="AU6" s="59">
        <f>_xlfn.XLOOKUP(AS5,PFVar!$I$35:$FU$35,PFVar!$I$38:$FU$38)</f>
        <v>0</v>
      </c>
      <c r="AV6" s="57">
        <f>_xlfn.XLOOKUP(AV5,PFVar!$I$35:$FU$35,PFVar!$I$40:$FU$40)</f>
        <v>1</v>
      </c>
      <c r="AW6" s="58">
        <f>_xlfn.XLOOKUP(AV5,PFVar!$I$35:$FU$35,PFVar!$I$37:$FU$37)</f>
        <v>0</v>
      </c>
      <c r="AX6" s="59">
        <f>_xlfn.XLOOKUP(AV5,PFVar!$I$35:$FU$35,PFVar!$I$38:$FU$38)</f>
        <v>0</v>
      </c>
    </row>
    <row r="7" spans="2:52" ht="9" customHeight="1" x14ac:dyDescent="0.25">
      <c r="B7" s="60" t="s">
        <v>273</v>
      </c>
      <c r="D7" s="50"/>
      <c r="E7" s="51"/>
      <c r="F7" s="52"/>
      <c r="G7" s="53"/>
      <c r="K7" s="45" t="s">
        <v>2</v>
      </c>
      <c r="L7" s="92" t="s">
        <v>43</v>
      </c>
      <c r="M7" s="93"/>
      <c r="N7" s="94"/>
      <c r="O7" s="92" t="s">
        <v>44</v>
      </c>
      <c r="P7" s="93"/>
      <c r="Q7" s="94"/>
      <c r="R7" s="92" t="s">
        <v>45</v>
      </c>
      <c r="S7" s="93"/>
      <c r="T7" s="94"/>
      <c r="U7" s="92" t="s">
        <v>46</v>
      </c>
      <c r="V7" s="93"/>
      <c r="W7" s="94"/>
      <c r="X7" s="92" t="s">
        <v>47</v>
      </c>
      <c r="Y7" s="93"/>
      <c r="Z7" s="94"/>
      <c r="AA7" s="92" t="s">
        <v>48</v>
      </c>
      <c r="AB7" s="93"/>
      <c r="AC7" s="94"/>
      <c r="AD7" s="92" t="s">
        <v>49</v>
      </c>
      <c r="AE7" s="93"/>
      <c r="AF7" s="94"/>
      <c r="AG7" s="92" t="s">
        <v>50</v>
      </c>
      <c r="AH7" s="93"/>
      <c r="AI7" s="94"/>
      <c r="AJ7" s="92" t="s">
        <v>51</v>
      </c>
      <c r="AK7" s="93"/>
      <c r="AL7" s="94"/>
      <c r="AM7" s="92" t="s">
        <v>52</v>
      </c>
      <c r="AN7" s="93"/>
      <c r="AO7" s="94"/>
      <c r="AP7" s="92" t="s">
        <v>53</v>
      </c>
      <c r="AQ7" s="93"/>
      <c r="AR7" s="94"/>
      <c r="AS7" s="92" t="s">
        <v>54</v>
      </c>
      <c r="AT7" s="93"/>
      <c r="AU7" s="94"/>
      <c r="AV7" s="92" t="s">
        <v>55</v>
      </c>
      <c r="AW7" s="93"/>
      <c r="AX7" s="94"/>
    </row>
    <row r="8" spans="2:52" s="46" customFormat="1" ht="9" customHeight="1" thickBot="1" x14ac:dyDescent="0.3">
      <c r="D8" s="28"/>
      <c r="E8" s="33"/>
      <c r="F8" s="35"/>
      <c r="G8" s="34"/>
      <c r="K8" s="45"/>
      <c r="L8" s="57">
        <f>_xlfn.XLOOKUP(L7,PFVar!$I$35:$FU$35,PFVar!$I$40:$FU$40)</f>
        <v>1</v>
      </c>
      <c r="M8" s="58">
        <f>_xlfn.XLOOKUP(L7,PFVar!$I$35:$FU$35,PFVar!$I$37:$FU$37)</f>
        <v>0</v>
      </c>
      <c r="N8" s="59">
        <f>_xlfn.XLOOKUP(L7,PFVar!$I$35:$FU$35,PFVar!$I$38:$FU$38)</f>
        <v>0</v>
      </c>
      <c r="O8" s="57">
        <f>_xlfn.XLOOKUP(O7,PFVar!$I$35:$FU$35,PFVar!$I$40:$FU$40)</f>
        <v>1</v>
      </c>
      <c r="P8" s="58">
        <f>_xlfn.XLOOKUP(O7,PFVar!$I$35:$FU$35,PFVar!$I$37:$FU$37)</f>
        <v>0</v>
      </c>
      <c r="Q8" s="59">
        <f>_xlfn.XLOOKUP(O7,PFVar!$I$35:$FU$35,PFVar!$I$38:$FU$38)</f>
        <v>0</v>
      </c>
      <c r="R8" s="57">
        <f>_xlfn.XLOOKUP(R7,PFVar!$I$35:$FU$35,PFVar!$I$40:$FU$40)</f>
        <v>1</v>
      </c>
      <c r="S8" s="58">
        <f>_xlfn.XLOOKUP(R7,PFVar!$I$35:$FU$35,PFVar!$I$37:$FU$37)</f>
        <v>0</v>
      </c>
      <c r="T8" s="59">
        <f>_xlfn.XLOOKUP(R7,PFVar!$I$35:$FU$35,PFVar!$I$38:$FU$38)</f>
        <v>0</v>
      </c>
      <c r="U8" s="57">
        <f>_xlfn.XLOOKUP(U7,PFVar!$I$35:$FU$35,PFVar!$I$40:$FU$40)</f>
        <v>1</v>
      </c>
      <c r="V8" s="58">
        <f>_xlfn.XLOOKUP(U7,PFVar!$I$35:$FU$35,PFVar!$I$37:$FU$37)</f>
        <v>0</v>
      </c>
      <c r="W8" s="59">
        <f>_xlfn.XLOOKUP(U7,PFVar!$I$35:$FU$35,PFVar!$I$38:$FU$38)</f>
        <v>0</v>
      </c>
      <c r="X8" s="57">
        <f>_xlfn.XLOOKUP(X7,PFVar!$I$35:$FU$35,PFVar!$I$40:$FU$40)</f>
        <v>1</v>
      </c>
      <c r="Y8" s="58">
        <f>_xlfn.XLOOKUP(X7,PFVar!$I$35:$FU$35,PFVar!$I$37:$FU$37)</f>
        <v>0</v>
      </c>
      <c r="Z8" s="59">
        <f>_xlfn.XLOOKUP(X7,PFVar!$I$35:$FU$35,PFVar!$I$38:$FU$38)</f>
        <v>0</v>
      </c>
      <c r="AA8" s="57">
        <f>_xlfn.XLOOKUP(AA7,PFVar!$I$35:$FU$35,PFVar!$I$40:$FU$40)</f>
        <v>1</v>
      </c>
      <c r="AB8" s="58">
        <f>_xlfn.XLOOKUP(AA7,PFVar!$I$35:$FU$35,PFVar!$I$37:$FU$37)</f>
        <v>0</v>
      </c>
      <c r="AC8" s="59">
        <f>_xlfn.XLOOKUP(AA7,PFVar!$I$35:$FU$35,PFVar!$I$38:$FU$38)</f>
        <v>0</v>
      </c>
      <c r="AD8" s="57">
        <f>_xlfn.XLOOKUP(AD7,PFVar!$I$35:$FU$35,PFVar!$I$40:$FU$40)</f>
        <v>1</v>
      </c>
      <c r="AE8" s="58">
        <f>_xlfn.XLOOKUP(AD7,PFVar!$I$35:$FU$35,PFVar!$I$37:$FU$37)</f>
        <v>0</v>
      </c>
      <c r="AF8" s="59">
        <f>_xlfn.XLOOKUP(AD7,PFVar!$I$35:$FU$35,PFVar!$I$38:$FU$38)</f>
        <v>0</v>
      </c>
      <c r="AG8" s="57">
        <f>_xlfn.XLOOKUP(AG7,PFVar!$I$35:$FU$35,PFVar!$I$40:$FU$40)</f>
        <v>1</v>
      </c>
      <c r="AH8" s="58">
        <f>_xlfn.XLOOKUP(AG7,PFVar!$I$35:$FU$35,PFVar!$I$37:$FU$37)</f>
        <v>0</v>
      </c>
      <c r="AI8" s="59">
        <f>_xlfn.XLOOKUP(AG7,PFVar!$I$35:$FU$35,PFVar!$I$38:$FU$38)</f>
        <v>0</v>
      </c>
      <c r="AJ8" s="57">
        <f>_xlfn.XLOOKUP(AJ7,PFVar!$I$35:$FU$35,PFVar!$I$40:$FU$40)</f>
        <v>1</v>
      </c>
      <c r="AK8" s="58">
        <f>_xlfn.XLOOKUP(AJ7,PFVar!$I$35:$FU$35,PFVar!$I$37:$FU$37)</f>
        <v>0</v>
      </c>
      <c r="AL8" s="59">
        <f>_xlfn.XLOOKUP(AJ7,PFVar!$I$35:$FU$35,PFVar!$I$38:$FU$38)</f>
        <v>0</v>
      </c>
      <c r="AM8" s="57">
        <f>_xlfn.XLOOKUP(AM7,PFVar!$I$35:$FU$35,PFVar!$I$40:$FU$40)</f>
        <v>1</v>
      </c>
      <c r="AN8" s="58">
        <f>_xlfn.XLOOKUP(AM7,PFVar!$I$35:$FU$35,PFVar!$I$37:$FU$37)</f>
        <v>0</v>
      </c>
      <c r="AO8" s="59">
        <f>_xlfn.XLOOKUP(AM7,PFVar!$I$35:$FU$35,PFVar!$I$38:$FU$38)</f>
        <v>0</v>
      </c>
      <c r="AP8" s="57">
        <f>_xlfn.XLOOKUP(AP7,PFVar!$I$35:$FU$35,PFVar!$I$40:$FU$40)</f>
        <v>1</v>
      </c>
      <c r="AQ8" s="58">
        <f>_xlfn.XLOOKUP(AP7,PFVar!$I$35:$FU$35,PFVar!$I$37:$FU$37)</f>
        <v>0</v>
      </c>
      <c r="AR8" s="59">
        <f>_xlfn.XLOOKUP(AP7,PFVar!$I$35:$FU$35,PFVar!$I$38:$FU$38)</f>
        <v>0</v>
      </c>
      <c r="AS8" s="57">
        <f>_xlfn.XLOOKUP(AS7,PFVar!$I$35:$FU$35,PFVar!$I$40:$FU$40)</f>
        <v>1</v>
      </c>
      <c r="AT8" s="58">
        <f>_xlfn.XLOOKUP(AS7,PFVar!$I$35:$FU$35,PFVar!$I$37:$FU$37)</f>
        <v>0</v>
      </c>
      <c r="AU8" s="59">
        <f>_xlfn.XLOOKUP(AS7,PFVar!$I$35:$FU$35,PFVar!$I$38:$FU$38)</f>
        <v>0</v>
      </c>
      <c r="AV8" s="57">
        <f>_xlfn.XLOOKUP(AV7,PFVar!$I$35:$FU$35,PFVar!$I$40:$FU$40)</f>
        <v>1</v>
      </c>
      <c r="AW8" s="58">
        <f>_xlfn.XLOOKUP(AV7,PFVar!$I$35:$FU$35,PFVar!$I$37:$FU$37)</f>
        <v>0</v>
      </c>
      <c r="AX8" s="59">
        <f>_xlfn.XLOOKUP(AV7,PFVar!$I$35:$FU$35,PFVar!$I$38:$FU$38)</f>
        <v>0</v>
      </c>
      <c r="AY8" s="56"/>
    </row>
    <row r="9" spans="2:52" ht="9" customHeight="1" x14ac:dyDescent="0.25">
      <c r="B9" s="63" t="s">
        <v>188</v>
      </c>
      <c r="D9" s="50"/>
      <c r="E9" s="51"/>
      <c r="F9" s="52"/>
      <c r="G9" s="53"/>
      <c r="K9" s="45" t="s">
        <v>3</v>
      </c>
      <c r="L9" s="92" t="s">
        <v>56</v>
      </c>
      <c r="M9" s="93"/>
      <c r="N9" s="94"/>
      <c r="O9" s="92" t="s">
        <v>57</v>
      </c>
      <c r="P9" s="93"/>
      <c r="Q9" s="94"/>
      <c r="R9" s="92" t="s">
        <v>58</v>
      </c>
      <c r="S9" s="93"/>
      <c r="T9" s="94"/>
      <c r="U9" s="92" t="s">
        <v>59</v>
      </c>
      <c r="V9" s="93"/>
      <c r="W9" s="94"/>
      <c r="X9" s="92" t="s">
        <v>60</v>
      </c>
      <c r="Y9" s="93"/>
      <c r="Z9" s="94"/>
      <c r="AA9" s="92" t="s">
        <v>61</v>
      </c>
      <c r="AB9" s="93"/>
      <c r="AC9" s="94"/>
      <c r="AD9" s="92" t="s">
        <v>62</v>
      </c>
      <c r="AE9" s="93"/>
      <c r="AF9" s="94"/>
      <c r="AG9" s="92" t="s">
        <v>63</v>
      </c>
      <c r="AH9" s="93"/>
      <c r="AI9" s="94"/>
      <c r="AJ9" s="92" t="s">
        <v>64</v>
      </c>
      <c r="AK9" s="93"/>
      <c r="AL9" s="94"/>
      <c r="AM9" s="92" t="s">
        <v>65</v>
      </c>
      <c r="AN9" s="93"/>
      <c r="AO9" s="94"/>
      <c r="AP9" s="92" t="s">
        <v>66</v>
      </c>
      <c r="AQ9" s="93"/>
      <c r="AR9" s="94"/>
      <c r="AS9" s="92" t="s">
        <v>67</v>
      </c>
      <c r="AT9" s="93"/>
      <c r="AU9" s="94"/>
      <c r="AV9" s="92" t="s">
        <v>68</v>
      </c>
      <c r="AW9" s="93"/>
      <c r="AX9" s="94"/>
    </row>
    <row r="10" spans="2:52" s="46" customFormat="1" ht="9" customHeight="1" thickBot="1" x14ac:dyDescent="0.3">
      <c r="B10" s="60">
        <v>100</v>
      </c>
      <c r="D10" s="28"/>
      <c r="E10" s="33"/>
      <c r="F10" s="35"/>
      <c r="G10" s="34"/>
      <c r="K10" s="45"/>
      <c r="L10" s="57">
        <f>_xlfn.XLOOKUP(L9,PFVar!$I$35:$FU$35,PFVar!$I$40:$FU$40)</f>
        <v>1</v>
      </c>
      <c r="M10" s="58">
        <f>_xlfn.XLOOKUP(L9,PFVar!$I$35:$FU$35,PFVar!$I$37:$FU$37)</f>
        <v>0</v>
      </c>
      <c r="N10" s="59">
        <f>_xlfn.XLOOKUP(L9,PFVar!$I$35:$FU$35,PFVar!$I$38:$FU$38)</f>
        <v>0</v>
      </c>
      <c r="O10" s="57">
        <f>_xlfn.XLOOKUP(O9,PFVar!$I$35:$FU$35,PFVar!$I$40:$FU$40)</f>
        <v>1</v>
      </c>
      <c r="P10" s="58">
        <f>_xlfn.XLOOKUP(O9,PFVar!$I$35:$FU$35,PFVar!$I$37:$FU$37)</f>
        <v>0</v>
      </c>
      <c r="Q10" s="59">
        <f>_xlfn.XLOOKUP(O9,PFVar!$I$35:$FU$35,PFVar!$I$38:$FU$38)</f>
        <v>0</v>
      </c>
      <c r="R10" s="57">
        <f>_xlfn.XLOOKUP(R9,PFVar!$I$35:$FU$35,PFVar!$I$40:$FU$40)</f>
        <v>1</v>
      </c>
      <c r="S10" s="58">
        <f>_xlfn.XLOOKUP(R9,PFVar!$I$35:$FU$35,PFVar!$I$37:$FU$37)</f>
        <v>0</v>
      </c>
      <c r="T10" s="59">
        <f>_xlfn.XLOOKUP(R9,PFVar!$I$35:$FU$35,PFVar!$I$38:$FU$38)</f>
        <v>0</v>
      </c>
      <c r="U10" s="57">
        <f>_xlfn.XLOOKUP(U9,PFVar!$I$35:$FU$35,PFVar!$I$40:$FU$40)</f>
        <v>1</v>
      </c>
      <c r="V10" s="58">
        <f>_xlfn.XLOOKUP(U9,PFVar!$I$35:$FU$35,PFVar!$I$37:$FU$37)</f>
        <v>0</v>
      </c>
      <c r="W10" s="59">
        <f>_xlfn.XLOOKUP(U9,PFVar!$I$35:$FU$35,PFVar!$I$38:$FU$38)</f>
        <v>0</v>
      </c>
      <c r="X10" s="57">
        <f>_xlfn.XLOOKUP(X9,PFVar!$I$35:$FU$35,PFVar!$I$40:$FU$40)</f>
        <v>1</v>
      </c>
      <c r="Y10" s="58">
        <f>_xlfn.XLOOKUP(X9,PFVar!$I$35:$FU$35,PFVar!$I$37:$FU$37)</f>
        <v>0</v>
      </c>
      <c r="Z10" s="59">
        <f>_xlfn.XLOOKUP(X9,PFVar!$I$35:$FU$35,PFVar!$I$38:$FU$38)</f>
        <v>0</v>
      </c>
      <c r="AA10" s="57">
        <f>_xlfn.XLOOKUP(AA9,PFVar!$I$35:$FU$35,PFVar!$I$40:$FU$40)</f>
        <v>1</v>
      </c>
      <c r="AB10" s="58">
        <f>_xlfn.XLOOKUP(AA9,PFVar!$I$35:$FU$35,PFVar!$I$37:$FU$37)</f>
        <v>0</v>
      </c>
      <c r="AC10" s="59">
        <f>_xlfn.XLOOKUP(AA9,PFVar!$I$35:$FU$35,PFVar!$I$38:$FU$38)</f>
        <v>0</v>
      </c>
      <c r="AD10" s="57">
        <f>_xlfn.XLOOKUP(AD9,PFVar!$I$35:$FU$35,PFVar!$I$40:$FU$40)</f>
        <v>1</v>
      </c>
      <c r="AE10" s="58">
        <f>_xlfn.XLOOKUP(AD9,PFVar!$I$35:$FU$35,PFVar!$I$37:$FU$37)</f>
        <v>0</v>
      </c>
      <c r="AF10" s="59">
        <f>_xlfn.XLOOKUP(AD9,PFVar!$I$35:$FU$35,PFVar!$I$38:$FU$38)</f>
        <v>0</v>
      </c>
      <c r="AG10" s="57">
        <f>_xlfn.XLOOKUP(AG9,PFVar!$I$35:$FU$35,PFVar!$I$40:$FU$40)</f>
        <v>1</v>
      </c>
      <c r="AH10" s="58">
        <f>_xlfn.XLOOKUP(AG9,PFVar!$I$35:$FU$35,PFVar!$I$37:$FU$37)</f>
        <v>0</v>
      </c>
      <c r="AI10" s="59">
        <f>_xlfn.XLOOKUP(AG9,PFVar!$I$35:$FU$35,PFVar!$I$38:$FU$38)</f>
        <v>0</v>
      </c>
      <c r="AJ10" s="57">
        <f>_xlfn.XLOOKUP(AJ9,PFVar!$I$35:$FU$35,PFVar!$I$40:$FU$40)</f>
        <v>1</v>
      </c>
      <c r="AK10" s="58">
        <f>_xlfn.XLOOKUP(AJ9,PFVar!$I$35:$FU$35,PFVar!$I$37:$FU$37)</f>
        <v>0</v>
      </c>
      <c r="AL10" s="59">
        <f>_xlfn.XLOOKUP(AJ9,PFVar!$I$35:$FU$35,PFVar!$I$38:$FU$38)</f>
        <v>0</v>
      </c>
      <c r="AM10" s="57">
        <f>_xlfn.XLOOKUP(AM9,PFVar!$I$35:$FU$35,PFVar!$I$40:$FU$40)</f>
        <v>0</v>
      </c>
      <c r="AN10" s="58">
        <f>_xlfn.XLOOKUP(AM9,PFVar!$I$35:$FU$35,PFVar!$I$37:$FU$37)</f>
        <v>0</v>
      </c>
      <c r="AO10" s="59">
        <f>_xlfn.XLOOKUP(AM9,PFVar!$I$35:$FU$35,PFVar!$I$38:$FU$38)</f>
        <v>0</v>
      </c>
      <c r="AP10" s="57">
        <f>_xlfn.XLOOKUP(AP9,PFVar!$I$35:$FU$35,PFVar!$I$40:$FU$40)</f>
        <v>0</v>
      </c>
      <c r="AQ10" s="58">
        <f>_xlfn.XLOOKUP(AP9,PFVar!$I$35:$FU$35,PFVar!$I$37:$FU$37)</f>
        <v>0</v>
      </c>
      <c r="AR10" s="59">
        <f>_xlfn.XLOOKUP(AP9,PFVar!$I$35:$FU$35,PFVar!$I$38:$FU$38)</f>
        <v>0</v>
      </c>
      <c r="AS10" s="57">
        <f>_xlfn.XLOOKUP(AS9,PFVar!$I$35:$FU$35,PFVar!$I$40:$FU$40)</f>
        <v>0</v>
      </c>
      <c r="AT10" s="58">
        <f>_xlfn.XLOOKUP(AS9,PFVar!$I$35:$FU$35,PFVar!$I$37:$FU$37)</f>
        <v>0</v>
      </c>
      <c r="AU10" s="59">
        <f>_xlfn.XLOOKUP(AS9,PFVar!$I$35:$FU$35,PFVar!$I$38:$FU$38)</f>
        <v>0</v>
      </c>
      <c r="AV10" s="57">
        <f>_xlfn.XLOOKUP(AV9,PFVar!$I$35:$FU$35,PFVar!$I$40:$FU$40)</f>
        <v>0</v>
      </c>
      <c r="AW10" s="58">
        <f>_xlfn.XLOOKUP(AV9,PFVar!$I$35:$FU$35,PFVar!$I$37:$FU$37)</f>
        <v>0</v>
      </c>
      <c r="AX10" s="59">
        <f>_xlfn.XLOOKUP(AV9,PFVar!$I$35:$FU$35,PFVar!$I$38:$FU$38)</f>
        <v>0</v>
      </c>
    </row>
    <row r="11" spans="2:52" ht="9" customHeight="1" x14ac:dyDescent="0.25">
      <c r="D11" s="50"/>
      <c r="E11" s="51"/>
      <c r="F11" s="52"/>
      <c r="G11" s="53"/>
      <c r="K11" s="45" t="s">
        <v>4</v>
      </c>
      <c r="L11" s="92" t="s">
        <v>69</v>
      </c>
      <c r="M11" s="93"/>
      <c r="N11" s="94"/>
      <c r="O11" s="92" t="s">
        <v>70</v>
      </c>
      <c r="P11" s="93"/>
      <c r="Q11" s="94"/>
      <c r="R11" s="92" t="s">
        <v>71</v>
      </c>
      <c r="S11" s="93"/>
      <c r="T11" s="94"/>
      <c r="U11" s="92" t="s">
        <v>72</v>
      </c>
      <c r="V11" s="93"/>
      <c r="W11" s="94"/>
      <c r="X11" s="92" t="s">
        <v>73</v>
      </c>
      <c r="Y11" s="93"/>
      <c r="Z11" s="94"/>
      <c r="AA11" s="92" t="s">
        <v>74</v>
      </c>
      <c r="AB11" s="93"/>
      <c r="AC11" s="94"/>
      <c r="AD11" s="92" t="s">
        <v>75</v>
      </c>
      <c r="AE11" s="93"/>
      <c r="AF11" s="94"/>
      <c r="AG11" s="92" t="s">
        <v>76</v>
      </c>
      <c r="AH11" s="93"/>
      <c r="AI11" s="94"/>
      <c r="AJ11" s="92" t="s">
        <v>77</v>
      </c>
      <c r="AK11" s="93"/>
      <c r="AL11" s="94"/>
      <c r="AM11" s="92" t="s">
        <v>78</v>
      </c>
      <c r="AN11" s="93"/>
      <c r="AO11" s="94"/>
      <c r="AP11" s="92" t="s">
        <v>79</v>
      </c>
      <c r="AQ11" s="93"/>
      <c r="AR11" s="94"/>
      <c r="AS11" s="92" t="s">
        <v>80</v>
      </c>
      <c r="AT11" s="93"/>
      <c r="AU11" s="94"/>
      <c r="AV11" s="92" t="s">
        <v>81</v>
      </c>
      <c r="AW11" s="93"/>
      <c r="AX11" s="94"/>
    </row>
    <row r="12" spans="2:52" s="46" customFormat="1" ht="9" customHeight="1" thickBot="1" x14ac:dyDescent="0.3">
      <c r="B12" s="63" t="s">
        <v>189</v>
      </c>
      <c r="D12" s="28"/>
      <c r="E12" s="33"/>
      <c r="F12" s="35"/>
      <c r="G12" s="34"/>
      <c r="K12" s="45"/>
      <c r="L12" s="57">
        <f>_xlfn.XLOOKUP(L11,PFVar!$I$35:$FU$35,PFVar!$I$40:$FU$40)</f>
        <v>1</v>
      </c>
      <c r="M12" s="58">
        <f>_xlfn.XLOOKUP(L11,PFVar!$I$35:$FU$35,PFVar!$I$37:$FU$37)</f>
        <v>0</v>
      </c>
      <c r="N12" s="59">
        <f>_xlfn.XLOOKUP(L11,PFVar!$I$35:$FU$35,PFVar!$I$38:$FU$38)</f>
        <v>0</v>
      </c>
      <c r="O12" s="57">
        <f>_xlfn.XLOOKUP(O11,PFVar!$I$35:$FU$35,PFVar!$I$40:$FU$40)</f>
        <v>1</v>
      </c>
      <c r="P12" s="58">
        <f>_xlfn.XLOOKUP(O11,PFVar!$I$35:$FU$35,PFVar!$I$37:$FU$37)</f>
        <v>0</v>
      </c>
      <c r="Q12" s="59">
        <f>_xlfn.XLOOKUP(O11,PFVar!$I$35:$FU$35,PFVar!$I$38:$FU$38)</f>
        <v>0</v>
      </c>
      <c r="R12" s="57">
        <f>_xlfn.XLOOKUP(R11,PFVar!$I$35:$FU$35,PFVar!$I$40:$FU$40)</f>
        <v>1</v>
      </c>
      <c r="S12" s="58">
        <f>_xlfn.XLOOKUP(R11,PFVar!$I$35:$FU$35,PFVar!$I$37:$FU$37)</f>
        <v>0</v>
      </c>
      <c r="T12" s="59">
        <f>_xlfn.XLOOKUP(R11,PFVar!$I$35:$FU$35,PFVar!$I$38:$FU$38)</f>
        <v>0</v>
      </c>
      <c r="U12" s="57">
        <f>_xlfn.XLOOKUP(U11,PFVar!$I$35:$FU$35,PFVar!$I$40:$FU$40)</f>
        <v>1</v>
      </c>
      <c r="V12" s="58">
        <f>_xlfn.XLOOKUP(U11,PFVar!$I$35:$FU$35,PFVar!$I$37:$FU$37)</f>
        <v>0</v>
      </c>
      <c r="W12" s="59">
        <f>_xlfn.XLOOKUP(U11,PFVar!$I$35:$FU$35,PFVar!$I$38:$FU$38)</f>
        <v>0</v>
      </c>
      <c r="X12" s="57">
        <f>_xlfn.XLOOKUP(X11,PFVar!$I$35:$FU$35,PFVar!$I$40:$FU$40)</f>
        <v>1</v>
      </c>
      <c r="Y12" s="58">
        <f>_xlfn.XLOOKUP(X11,PFVar!$I$35:$FU$35,PFVar!$I$37:$FU$37)</f>
        <v>0</v>
      </c>
      <c r="Z12" s="59">
        <f>_xlfn.XLOOKUP(X11,PFVar!$I$35:$FU$35,PFVar!$I$38:$FU$38)</f>
        <v>0</v>
      </c>
      <c r="AA12" s="57">
        <f>_xlfn.XLOOKUP(AA11,PFVar!$I$35:$FU$35,PFVar!$I$40:$FU$40)</f>
        <v>1</v>
      </c>
      <c r="AB12" s="58">
        <f>_xlfn.XLOOKUP(AA11,PFVar!$I$35:$FU$35,PFVar!$I$37:$FU$37)</f>
        <v>0</v>
      </c>
      <c r="AC12" s="59">
        <f>_xlfn.XLOOKUP(AA11,PFVar!$I$35:$FU$35,PFVar!$I$38:$FU$38)</f>
        <v>0</v>
      </c>
      <c r="AD12" s="57">
        <f>_xlfn.XLOOKUP(AD11,PFVar!$I$35:$FU$35,PFVar!$I$40:$FU$40)</f>
        <v>1</v>
      </c>
      <c r="AE12" s="58">
        <f>_xlfn.XLOOKUP(AD11,PFVar!$I$35:$FU$35,PFVar!$I$37:$FU$37)</f>
        <v>0</v>
      </c>
      <c r="AF12" s="59">
        <f>_xlfn.XLOOKUP(AD11,PFVar!$I$35:$FU$35,PFVar!$I$38:$FU$38)</f>
        <v>0</v>
      </c>
      <c r="AG12" s="57">
        <f>_xlfn.XLOOKUP(AG11,PFVar!$I$35:$FU$35,PFVar!$I$40:$FU$40)</f>
        <v>1</v>
      </c>
      <c r="AH12" s="58">
        <f>_xlfn.XLOOKUP(AG11,PFVar!$I$35:$FU$35,PFVar!$I$37:$FU$37)</f>
        <v>0</v>
      </c>
      <c r="AI12" s="59">
        <f>_xlfn.XLOOKUP(AG11,PFVar!$I$35:$FU$35,PFVar!$I$38:$FU$38)</f>
        <v>0</v>
      </c>
      <c r="AJ12" s="57">
        <f>_xlfn.XLOOKUP(AJ11,PFVar!$I$35:$FU$35,PFVar!$I$40:$FU$40)</f>
        <v>1</v>
      </c>
      <c r="AK12" s="58">
        <f>_xlfn.XLOOKUP(AJ11,PFVar!$I$35:$FU$35,PFVar!$I$37:$FU$37)</f>
        <v>0</v>
      </c>
      <c r="AL12" s="59">
        <f>_xlfn.XLOOKUP(AJ11,PFVar!$I$35:$FU$35,PFVar!$I$38:$FU$38)</f>
        <v>0</v>
      </c>
      <c r="AM12" s="57">
        <f>_xlfn.XLOOKUP(AM11,PFVar!$I$35:$FU$35,PFVar!$I$40:$FU$40)</f>
        <v>0</v>
      </c>
      <c r="AN12" s="58">
        <f>_xlfn.XLOOKUP(AM11,PFVar!$I$35:$FU$35,PFVar!$I$37:$FU$37)</f>
        <v>0</v>
      </c>
      <c r="AO12" s="59">
        <f>_xlfn.XLOOKUP(AM11,PFVar!$I$35:$FU$35,PFVar!$I$38:$FU$38)</f>
        <v>0</v>
      </c>
      <c r="AP12" s="57">
        <f>_xlfn.XLOOKUP(AP11,PFVar!$I$35:$FU$35,PFVar!$I$40:$FU$40)</f>
        <v>0</v>
      </c>
      <c r="AQ12" s="58">
        <f>_xlfn.XLOOKUP(AP11,PFVar!$I$35:$FU$35,PFVar!$I$37:$FU$37)</f>
        <v>0</v>
      </c>
      <c r="AR12" s="59">
        <f>_xlfn.XLOOKUP(AP11,PFVar!$I$35:$FU$35,PFVar!$I$38:$FU$38)</f>
        <v>0</v>
      </c>
      <c r="AS12" s="57">
        <f>_xlfn.XLOOKUP(AS11,PFVar!$I$35:$FU$35,PFVar!$I$40:$FU$40)</f>
        <v>0</v>
      </c>
      <c r="AT12" s="58">
        <f>_xlfn.XLOOKUP(AS11,PFVar!$I$35:$FU$35,PFVar!$I$37:$FU$37)</f>
        <v>0</v>
      </c>
      <c r="AU12" s="59">
        <f>_xlfn.XLOOKUP(AS11,PFVar!$I$35:$FU$35,PFVar!$I$38:$FU$38)</f>
        <v>0</v>
      </c>
      <c r="AV12" s="57">
        <f>_xlfn.XLOOKUP(AV11,PFVar!$I$35:$FU$35,PFVar!$I$40:$FU$40)</f>
        <v>0</v>
      </c>
      <c r="AW12" s="58">
        <f>_xlfn.XLOOKUP(AV11,PFVar!$I$35:$FU$35,PFVar!$I$37:$FU$37)</f>
        <v>0</v>
      </c>
      <c r="AX12" s="59">
        <f>_xlfn.XLOOKUP(AV11,PFVar!$I$35:$FU$35,PFVar!$I$38:$FU$38)</f>
        <v>0</v>
      </c>
    </row>
    <row r="13" spans="2:52" ht="9" customHeight="1" x14ac:dyDescent="0.25">
      <c r="B13" s="60" t="s">
        <v>10</v>
      </c>
      <c r="D13" s="50"/>
      <c r="E13" s="51"/>
      <c r="F13" s="52"/>
      <c r="G13" s="53"/>
      <c r="K13" s="45">
        <v>9</v>
      </c>
      <c r="L13" s="92" t="s">
        <v>82</v>
      </c>
      <c r="M13" s="93"/>
      <c r="N13" s="94"/>
      <c r="O13" s="92" t="s">
        <v>83</v>
      </c>
      <c r="P13" s="93"/>
      <c r="Q13" s="94"/>
      <c r="R13" s="92" t="s">
        <v>84</v>
      </c>
      <c r="S13" s="93"/>
      <c r="T13" s="94"/>
      <c r="U13" s="92" t="s">
        <v>85</v>
      </c>
      <c r="V13" s="93"/>
      <c r="W13" s="94"/>
      <c r="X13" s="92" t="s">
        <v>86</v>
      </c>
      <c r="Y13" s="93"/>
      <c r="Z13" s="94"/>
      <c r="AA13" s="92">
        <v>99</v>
      </c>
      <c r="AB13" s="93"/>
      <c r="AC13" s="94"/>
      <c r="AD13" s="92" t="s">
        <v>88</v>
      </c>
      <c r="AE13" s="93"/>
      <c r="AF13" s="94"/>
      <c r="AG13" s="92" t="s">
        <v>89</v>
      </c>
      <c r="AH13" s="93"/>
      <c r="AI13" s="94"/>
      <c r="AJ13" s="92" t="s">
        <v>90</v>
      </c>
      <c r="AK13" s="93"/>
      <c r="AL13" s="94"/>
      <c r="AM13" s="92" t="s">
        <v>91</v>
      </c>
      <c r="AN13" s="93"/>
      <c r="AO13" s="94"/>
      <c r="AP13" s="92" t="s">
        <v>92</v>
      </c>
      <c r="AQ13" s="93"/>
      <c r="AR13" s="94"/>
      <c r="AS13" s="92" t="s">
        <v>93</v>
      </c>
      <c r="AT13" s="93"/>
      <c r="AU13" s="94"/>
      <c r="AV13" s="92" t="s">
        <v>94</v>
      </c>
      <c r="AW13" s="93"/>
      <c r="AX13" s="94"/>
    </row>
    <row r="14" spans="2:52" s="46" customFormat="1" ht="9" customHeight="1" thickBot="1" x14ac:dyDescent="0.3">
      <c r="D14" s="28"/>
      <c r="E14" s="33"/>
      <c r="F14" s="35"/>
      <c r="G14" s="34"/>
      <c r="K14" s="45"/>
      <c r="L14" s="57">
        <f>_xlfn.XLOOKUP(L13,PFVar!$I$35:$FU$35,PFVar!$I$40:$FU$40)</f>
        <v>1</v>
      </c>
      <c r="M14" s="58">
        <f>_xlfn.XLOOKUP(L13,PFVar!$I$35:$FU$35,PFVar!$I$37:$FU$37)</f>
        <v>0</v>
      </c>
      <c r="N14" s="59">
        <f>_xlfn.XLOOKUP(L13,PFVar!$I$35:$FU$35,PFVar!$I$38:$FU$38)</f>
        <v>0</v>
      </c>
      <c r="O14" s="57">
        <f>_xlfn.XLOOKUP(O13,PFVar!$I$35:$FU$35,PFVar!$I$40:$FU$40)</f>
        <v>1</v>
      </c>
      <c r="P14" s="58">
        <f>_xlfn.XLOOKUP(O13,PFVar!$I$35:$FU$35,PFVar!$I$37:$FU$37)</f>
        <v>0</v>
      </c>
      <c r="Q14" s="59">
        <f>_xlfn.XLOOKUP(O13,PFVar!$I$35:$FU$35,PFVar!$I$38:$FU$38)</f>
        <v>0</v>
      </c>
      <c r="R14" s="57">
        <f>_xlfn.XLOOKUP(R13,PFVar!$I$35:$FU$35,PFVar!$I$40:$FU$40)</f>
        <v>1</v>
      </c>
      <c r="S14" s="58">
        <f>_xlfn.XLOOKUP(R13,PFVar!$I$35:$FU$35,PFVar!$I$37:$FU$37)</f>
        <v>0</v>
      </c>
      <c r="T14" s="59">
        <f>_xlfn.XLOOKUP(R13,PFVar!$I$35:$FU$35,PFVar!$I$38:$FU$38)</f>
        <v>0</v>
      </c>
      <c r="U14" s="57">
        <f>_xlfn.XLOOKUP(U13,PFVar!$I$35:$FU$35,PFVar!$I$40:$FU$40)</f>
        <v>1</v>
      </c>
      <c r="V14" s="58">
        <f>_xlfn.XLOOKUP(U13,PFVar!$I$35:$FU$35,PFVar!$I$37:$FU$37)</f>
        <v>0</v>
      </c>
      <c r="W14" s="59">
        <f>_xlfn.XLOOKUP(U13,PFVar!$I$35:$FU$35,PFVar!$I$38:$FU$38)</f>
        <v>0</v>
      </c>
      <c r="X14" s="57">
        <f>_xlfn.XLOOKUP(X13,PFVar!$I$35:$FU$35,PFVar!$I$40:$FU$40)</f>
        <v>1</v>
      </c>
      <c r="Y14" s="58">
        <f>_xlfn.XLOOKUP(X13,PFVar!$I$35:$FU$35,PFVar!$I$37:$FU$37)</f>
        <v>0</v>
      </c>
      <c r="Z14" s="59">
        <f>_xlfn.XLOOKUP(X13,PFVar!$I$35:$FU$35,PFVar!$I$38:$FU$38)</f>
        <v>0</v>
      </c>
      <c r="AA14" s="57">
        <f>_xlfn.XLOOKUP(AA13,PFVar!$I$35:$FU$35,PFVar!$I$40:$FU$40)</f>
        <v>1</v>
      </c>
      <c r="AB14" s="58">
        <f>_xlfn.XLOOKUP(AA13,PFVar!$I$35:$FU$35,PFVar!$I$37:$FU$37)</f>
        <v>0</v>
      </c>
      <c r="AC14" s="59">
        <f>_xlfn.XLOOKUP(AA13,PFVar!$I$35:$FU$35,PFVar!$I$38:$FU$38)</f>
        <v>0</v>
      </c>
      <c r="AD14" s="57">
        <f>_xlfn.XLOOKUP(AD13,PFVar!$I$35:$FU$35,PFVar!$I$40:$FU$40)</f>
        <v>1</v>
      </c>
      <c r="AE14" s="58">
        <f>_xlfn.XLOOKUP(AD13,PFVar!$I$35:$FU$35,PFVar!$I$37:$FU$37)</f>
        <v>0</v>
      </c>
      <c r="AF14" s="59">
        <f>_xlfn.XLOOKUP(AD13,PFVar!$I$35:$FU$35,PFVar!$I$38:$FU$38)</f>
        <v>0</v>
      </c>
      <c r="AG14" s="57">
        <f>_xlfn.XLOOKUP(AG13,PFVar!$I$35:$FU$35,PFVar!$I$40:$FU$40)</f>
        <v>1</v>
      </c>
      <c r="AH14" s="58">
        <f>_xlfn.XLOOKUP(AG13,PFVar!$I$35:$FU$35,PFVar!$I$37:$FU$37)</f>
        <v>0</v>
      </c>
      <c r="AI14" s="59">
        <f>_xlfn.XLOOKUP(AG13,PFVar!$I$35:$FU$35,PFVar!$I$38:$FU$38)</f>
        <v>0</v>
      </c>
      <c r="AJ14" s="57">
        <f>_xlfn.XLOOKUP(AJ13,PFVar!$I$35:$FU$35,PFVar!$I$40:$FU$40)</f>
        <v>1</v>
      </c>
      <c r="AK14" s="58">
        <f>_xlfn.XLOOKUP(AJ13,PFVar!$I$35:$FU$35,PFVar!$I$37:$FU$37)</f>
        <v>0</v>
      </c>
      <c r="AL14" s="59">
        <f>_xlfn.XLOOKUP(AJ13,PFVar!$I$35:$FU$35,PFVar!$I$38:$FU$38)</f>
        <v>0</v>
      </c>
      <c r="AM14" s="57">
        <f>_xlfn.XLOOKUP(AM13,PFVar!$I$35:$FU$35,PFVar!$I$40:$FU$40)</f>
        <v>0</v>
      </c>
      <c r="AN14" s="58">
        <f>_xlfn.XLOOKUP(AM13,PFVar!$I$35:$FU$35,PFVar!$I$37:$FU$37)</f>
        <v>0</v>
      </c>
      <c r="AO14" s="59">
        <f>_xlfn.XLOOKUP(AM13,PFVar!$I$35:$FU$35,PFVar!$I$38:$FU$38)</f>
        <v>0</v>
      </c>
      <c r="AP14" s="57">
        <f>_xlfn.XLOOKUP(AP13,PFVar!$I$35:$FU$35,PFVar!$I$40:$FU$40)</f>
        <v>0</v>
      </c>
      <c r="AQ14" s="58">
        <f>_xlfn.XLOOKUP(AP13,PFVar!$I$35:$FU$35,PFVar!$I$37:$FU$37)</f>
        <v>0</v>
      </c>
      <c r="AR14" s="59">
        <f>_xlfn.XLOOKUP(AP13,PFVar!$I$35:$FU$35,PFVar!$I$38:$FU$38)</f>
        <v>0</v>
      </c>
      <c r="AS14" s="57">
        <f>_xlfn.XLOOKUP(AS13,PFVar!$I$35:$FU$35,PFVar!$I$40:$FU$40)</f>
        <v>0</v>
      </c>
      <c r="AT14" s="58">
        <f>_xlfn.XLOOKUP(AS13,PFVar!$I$35:$FU$35,PFVar!$I$37:$FU$37)</f>
        <v>0</v>
      </c>
      <c r="AU14" s="59">
        <f>_xlfn.XLOOKUP(AS13,PFVar!$I$35:$FU$35,PFVar!$I$38:$FU$38)</f>
        <v>0</v>
      </c>
      <c r="AV14" s="57">
        <f>_xlfn.XLOOKUP(AV13,PFVar!$I$35:$FU$35,PFVar!$I$40:$FU$40)</f>
        <v>0</v>
      </c>
      <c r="AW14" s="58">
        <f>_xlfn.XLOOKUP(AV13,PFVar!$I$35:$FU$35,PFVar!$I$37:$FU$37)</f>
        <v>0</v>
      </c>
      <c r="AX14" s="59">
        <f>_xlfn.XLOOKUP(AV13,PFVar!$I$35:$FU$35,PFVar!$I$38:$FU$38)</f>
        <v>0</v>
      </c>
    </row>
    <row r="15" spans="2:52" ht="9" customHeight="1" x14ac:dyDescent="0.25">
      <c r="D15" s="50"/>
      <c r="E15" s="51"/>
      <c r="F15" s="52"/>
      <c r="G15" s="53"/>
      <c r="K15" s="45">
        <v>8</v>
      </c>
      <c r="L15" s="92" t="s">
        <v>95</v>
      </c>
      <c r="M15" s="93"/>
      <c r="N15" s="94"/>
      <c r="O15" s="92" t="s">
        <v>96</v>
      </c>
      <c r="P15" s="93"/>
      <c r="Q15" s="94"/>
      <c r="R15" s="92" t="s">
        <v>97</v>
      </c>
      <c r="S15" s="93"/>
      <c r="T15" s="94"/>
      <c r="U15" s="92" t="s">
        <v>98</v>
      </c>
      <c r="V15" s="93"/>
      <c r="W15" s="94"/>
      <c r="X15" s="92" t="s">
        <v>99</v>
      </c>
      <c r="Y15" s="93"/>
      <c r="Z15" s="94"/>
      <c r="AA15" s="92" t="s">
        <v>100</v>
      </c>
      <c r="AB15" s="93"/>
      <c r="AC15" s="94"/>
      <c r="AD15" s="92">
        <v>88</v>
      </c>
      <c r="AE15" s="93"/>
      <c r="AF15" s="94"/>
      <c r="AG15" s="92" t="s">
        <v>102</v>
      </c>
      <c r="AH15" s="93"/>
      <c r="AI15" s="94"/>
      <c r="AJ15" s="92" t="s">
        <v>103</v>
      </c>
      <c r="AK15" s="93"/>
      <c r="AL15" s="94"/>
      <c r="AM15" s="92" t="s">
        <v>104</v>
      </c>
      <c r="AN15" s="93"/>
      <c r="AO15" s="94"/>
      <c r="AP15" s="92" t="s">
        <v>105</v>
      </c>
      <c r="AQ15" s="93"/>
      <c r="AR15" s="94"/>
      <c r="AS15" s="92" t="s">
        <v>106</v>
      </c>
      <c r="AT15" s="93"/>
      <c r="AU15" s="94"/>
      <c r="AV15" s="92" t="s">
        <v>107</v>
      </c>
      <c r="AW15" s="93"/>
      <c r="AX15" s="94"/>
    </row>
    <row r="16" spans="2:52" s="46" customFormat="1" ht="9" customHeight="1" thickBot="1" x14ac:dyDescent="0.3">
      <c r="D16" s="28"/>
      <c r="E16" s="33"/>
      <c r="F16" s="35"/>
      <c r="G16" s="34"/>
      <c r="K16" s="45"/>
      <c r="L16" s="57">
        <f>_xlfn.XLOOKUP(L15,PFVar!$I$35:$FU$35,PFVar!$I$40:$FU$40)</f>
        <v>1</v>
      </c>
      <c r="M16" s="58">
        <f>_xlfn.XLOOKUP(L15,PFVar!$I$35:$FU$35,PFVar!$I$37:$FU$37)</f>
        <v>0</v>
      </c>
      <c r="N16" s="59">
        <f>_xlfn.XLOOKUP(L15,PFVar!$I$35:$FU$35,PFVar!$I$38:$FU$38)</f>
        <v>0</v>
      </c>
      <c r="O16" s="57">
        <f>_xlfn.XLOOKUP(O15,PFVar!$I$35:$FU$35,PFVar!$I$40:$FU$40)</f>
        <v>1</v>
      </c>
      <c r="P16" s="58">
        <f>_xlfn.XLOOKUP(O15,PFVar!$I$35:$FU$35,PFVar!$I$37:$FU$37)</f>
        <v>0</v>
      </c>
      <c r="Q16" s="59">
        <f>_xlfn.XLOOKUP(O15,PFVar!$I$35:$FU$35,PFVar!$I$38:$FU$38)</f>
        <v>0</v>
      </c>
      <c r="R16" s="57">
        <f>_xlfn.XLOOKUP(R15,PFVar!$I$35:$FU$35,PFVar!$I$40:$FU$40)</f>
        <v>1</v>
      </c>
      <c r="S16" s="58">
        <f>_xlfn.XLOOKUP(R15,PFVar!$I$35:$FU$35,PFVar!$I$37:$FU$37)</f>
        <v>0</v>
      </c>
      <c r="T16" s="59">
        <f>_xlfn.XLOOKUP(R15,PFVar!$I$35:$FU$35,PFVar!$I$38:$FU$38)</f>
        <v>0</v>
      </c>
      <c r="U16" s="57">
        <f>_xlfn.XLOOKUP(U15,PFVar!$I$35:$FU$35,PFVar!$I$40:$FU$40)</f>
        <v>1</v>
      </c>
      <c r="V16" s="58">
        <f>_xlfn.XLOOKUP(U15,PFVar!$I$35:$FU$35,PFVar!$I$37:$FU$37)</f>
        <v>0</v>
      </c>
      <c r="W16" s="59">
        <f>_xlfn.XLOOKUP(U15,PFVar!$I$35:$FU$35,PFVar!$I$38:$FU$38)</f>
        <v>0</v>
      </c>
      <c r="X16" s="57">
        <f>_xlfn.XLOOKUP(X15,PFVar!$I$35:$FU$35,PFVar!$I$40:$FU$40)</f>
        <v>1</v>
      </c>
      <c r="Y16" s="58">
        <f>_xlfn.XLOOKUP(X15,PFVar!$I$35:$FU$35,PFVar!$I$37:$FU$37)</f>
        <v>0</v>
      </c>
      <c r="Z16" s="59">
        <f>_xlfn.XLOOKUP(X15,PFVar!$I$35:$FU$35,PFVar!$I$38:$FU$38)</f>
        <v>0</v>
      </c>
      <c r="AA16" s="57">
        <f>_xlfn.XLOOKUP(AA15,PFVar!$I$35:$FU$35,PFVar!$I$40:$FU$40)</f>
        <v>1</v>
      </c>
      <c r="AB16" s="58">
        <f>_xlfn.XLOOKUP(AA15,PFVar!$I$35:$FU$35,PFVar!$I$37:$FU$37)</f>
        <v>0</v>
      </c>
      <c r="AC16" s="59">
        <f>_xlfn.XLOOKUP(AA15,PFVar!$I$35:$FU$35,PFVar!$I$38:$FU$38)</f>
        <v>0</v>
      </c>
      <c r="AD16" s="57">
        <f>_xlfn.XLOOKUP(AD15,PFVar!$I$35:$FU$35,PFVar!$I$40:$FU$40)</f>
        <v>1</v>
      </c>
      <c r="AE16" s="58">
        <f>_xlfn.XLOOKUP(AD15,PFVar!$I$35:$FU$35,PFVar!$I$37:$FU$37)</f>
        <v>0</v>
      </c>
      <c r="AF16" s="59">
        <f>_xlfn.XLOOKUP(AD15,PFVar!$I$35:$FU$35,PFVar!$I$38:$FU$38)</f>
        <v>0</v>
      </c>
      <c r="AG16" s="57">
        <f>_xlfn.XLOOKUP(AG15,PFVar!$I$35:$FU$35,PFVar!$I$40:$FU$40)</f>
        <v>1</v>
      </c>
      <c r="AH16" s="58">
        <f>_xlfn.XLOOKUP(AG15,PFVar!$I$35:$FU$35,PFVar!$I$37:$FU$37)</f>
        <v>0</v>
      </c>
      <c r="AI16" s="59">
        <f>_xlfn.XLOOKUP(AG15,PFVar!$I$35:$FU$35,PFVar!$I$38:$FU$38)</f>
        <v>0</v>
      </c>
      <c r="AJ16" s="57">
        <f>_xlfn.XLOOKUP(AJ15,PFVar!$I$35:$FU$35,PFVar!$I$40:$FU$40)</f>
        <v>1</v>
      </c>
      <c r="AK16" s="58">
        <f>_xlfn.XLOOKUP(AJ15,PFVar!$I$35:$FU$35,PFVar!$I$37:$FU$37)</f>
        <v>0</v>
      </c>
      <c r="AL16" s="59">
        <f>_xlfn.XLOOKUP(AJ15,PFVar!$I$35:$FU$35,PFVar!$I$38:$FU$38)</f>
        <v>0</v>
      </c>
      <c r="AM16" s="57">
        <f>_xlfn.XLOOKUP(AM15,PFVar!$I$35:$FU$35,PFVar!$I$40:$FU$40)</f>
        <v>1</v>
      </c>
      <c r="AN16" s="58">
        <f>_xlfn.XLOOKUP(AM15,PFVar!$I$35:$FU$35,PFVar!$I$37:$FU$37)</f>
        <v>0</v>
      </c>
      <c r="AO16" s="59">
        <f>_xlfn.XLOOKUP(AM15,PFVar!$I$35:$FU$35,PFVar!$I$38:$FU$38)</f>
        <v>0</v>
      </c>
      <c r="AP16" s="57">
        <f>_xlfn.XLOOKUP(AP15,PFVar!$I$35:$FU$35,PFVar!$I$40:$FU$40)</f>
        <v>0</v>
      </c>
      <c r="AQ16" s="58">
        <f>_xlfn.XLOOKUP(AP15,PFVar!$I$35:$FU$35,PFVar!$I$37:$FU$37)</f>
        <v>0</v>
      </c>
      <c r="AR16" s="59">
        <f>_xlfn.XLOOKUP(AP15,PFVar!$I$35:$FU$35,PFVar!$I$38:$FU$38)</f>
        <v>0</v>
      </c>
      <c r="AS16" s="57">
        <f>_xlfn.XLOOKUP(AS15,PFVar!$I$35:$FU$35,PFVar!$I$40:$FU$40)</f>
        <v>0</v>
      </c>
      <c r="AT16" s="58">
        <f>_xlfn.XLOOKUP(AS15,PFVar!$I$35:$FU$35,PFVar!$I$37:$FU$37)</f>
        <v>0</v>
      </c>
      <c r="AU16" s="59">
        <f>_xlfn.XLOOKUP(AS15,PFVar!$I$35:$FU$35,PFVar!$I$38:$FU$38)</f>
        <v>0</v>
      </c>
      <c r="AV16" s="57">
        <f>_xlfn.XLOOKUP(AV15,PFVar!$I$35:$FU$35,PFVar!$I$40:$FU$40)</f>
        <v>0</v>
      </c>
      <c r="AW16" s="58">
        <f>_xlfn.XLOOKUP(AV15,PFVar!$I$35:$FU$35,PFVar!$I$37:$FU$37)</f>
        <v>0</v>
      </c>
      <c r="AX16" s="59">
        <f>_xlfn.XLOOKUP(AV15,PFVar!$I$35:$FU$35,PFVar!$I$38:$FU$38)</f>
        <v>0</v>
      </c>
      <c r="AZ16" s="49"/>
    </row>
    <row r="17" spans="1:67" ht="9" customHeight="1" x14ac:dyDescent="0.25">
      <c r="D17" s="50"/>
      <c r="E17" s="51"/>
      <c r="F17" s="52"/>
      <c r="G17" s="53"/>
      <c r="K17" s="45">
        <v>7</v>
      </c>
      <c r="L17" s="92" t="s">
        <v>108</v>
      </c>
      <c r="M17" s="93"/>
      <c r="N17" s="94"/>
      <c r="O17" s="92" t="s">
        <v>109</v>
      </c>
      <c r="P17" s="93"/>
      <c r="Q17" s="94"/>
      <c r="R17" s="92" t="s">
        <v>110</v>
      </c>
      <c r="S17" s="93"/>
      <c r="T17" s="94"/>
      <c r="U17" s="92" t="s">
        <v>111</v>
      </c>
      <c r="V17" s="93"/>
      <c r="W17" s="94"/>
      <c r="X17" s="92" t="s">
        <v>112</v>
      </c>
      <c r="Y17" s="93"/>
      <c r="Z17" s="94"/>
      <c r="AA17" s="92" t="s">
        <v>113</v>
      </c>
      <c r="AB17" s="93"/>
      <c r="AC17" s="94"/>
      <c r="AD17" s="92" t="s">
        <v>114</v>
      </c>
      <c r="AE17" s="93"/>
      <c r="AF17" s="94"/>
      <c r="AG17" s="92">
        <v>77</v>
      </c>
      <c r="AH17" s="93"/>
      <c r="AI17" s="94"/>
      <c r="AJ17" s="92" t="s">
        <v>116</v>
      </c>
      <c r="AK17" s="93"/>
      <c r="AL17" s="94"/>
      <c r="AM17" s="92" t="s">
        <v>117</v>
      </c>
      <c r="AN17" s="93"/>
      <c r="AO17" s="94"/>
      <c r="AP17" s="92" t="s">
        <v>118</v>
      </c>
      <c r="AQ17" s="93"/>
      <c r="AR17" s="94"/>
      <c r="AS17" s="92" t="s">
        <v>119</v>
      </c>
      <c r="AT17" s="93"/>
      <c r="AU17" s="94"/>
      <c r="AV17" s="92" t="s">
        <v>120</v>
      </c>
      <c r="AW17" s="93"/>
      <c r="AX17" s="94"/>
      <c r="AZ17" s="3"/>
      <c r="BA17" s="13"/>
      <c r="BB17" s="6"/>
      <c r="BD17" s="46"/>
      <c r="BE17" s="46"/>
      <c r="BF17" s="46"/>
      <c r="BG17" s="46"/>
      <c r="BH17" s="46"/>
      <c r="BI17" s="46"/>
    </row>
    <row r="18" spans="1:67" s="46" customFormat="1" ht="9" customHeight="1" thickBot="1" x14ac:dyDescent="0.3">
      <c r="D18" s="50"/>
      <c r="E18" s="33"/>
      <c r="F18" s="35"/>
      <c r="G18" s="53"/>
      <c r="K18" s="45"/>
      <c r="L18" s="57">
        <f>_xlfn.XLOOKUP(L17,PFVar!$I$35:$FU$35,PFVar!$I$40:$FU$40)</f>
        <v>1</v>
      </c>
      <c r="M18" s="58">
        <f>_xlfn.XLOOKUP(L17,PFVar!$I$35:$FU$35,PFVar!$I$37:$FU$37)</f>
        <v>0</v>
      </c>
      <c r="N18" s="59">
        <f>_xlfn.XLOOKUP(L17,PFVar!$I$35:$FU$35,PFVar!$I$38:$FU$38)</f>
        <v>0</v>
      </c>
      <c r="O18" s="57">
        <f>_xlfn.XLOOKUP(O17,PFVar!$I$35:$FU$35,PFVar!$I$40:$FU$40)</f>
        <v>1</v>
      </c>
      <c r="P18" s="58">
        <f>_xlfn.XLOOKUP(O17,PFVar!$I$35:$FU$35,PFVar!$I$37:$FU$37)</f>
        <v>0</v>
      </c>
      <c r="Q18" s="59">
        <f>_xlfn.XLOOKUP(O17,PFVar!$I$35:$FU$35,PFVar!$I$38:$FU$38)</f>
        <v>0</v>
      </c>
      <c r="R18" s="57">
        <f>_xlfn.XLOOKUP(R17,PFVar!$I$35:$FU$35,PFVar!$I$40:$FU$40)</f>
        <v>0</v>
      </c>
      <c r="S18" s="58">
        <f>_xlfn.XLOOKUP(R17,PFVar!$I$35:$FU$35,PFVar!$I$37:$FU$37)</f>
        <v>0</v>
      </c>
      <c r="T18" s="59">
        <f>_xlfn.XLOOKUP(R17,PFVar!$I$35:$FU$35,PFVar!$I$38:$FU$38)</f>
        <v>0</v>
      </c>
      <c r="U18" s="57">
        <f>_xlfn.XLOOKUP(U17,PFVar!$I$35:$FU$35,PFVar!$I$40:$FU$40)</f>
        <v>0</v>
      </c>
      <c r="V18" s="58">
        <f>_xlfn.XLOOKUP(U17,PFVar!$I$35:$FU$35,PFVar!$I$37:$FU$37)</f>
        <v>0</v>
      </c>
      <c r="W18" s="59">
        <f>_xlfn.XLOOKUP(U17,PFVar!$I$35:$FU$35,PFVar!$I$38:$FU$38)</f>
        <v>0</v>
      </c>
      <c r="X18" s="57">
        <f>_xlfn.XLOOKUP(X17,PFVar!$I$35:$FU$35,PFVar!$I$40:$FU$40)</f>
        <v>0</v>
      </c>
      <c r="Y18" s="58">
        <f>_xlfn.XLOOKUP(X17,PFVar!$I$35:$FU$35,PFVar!$I$37:$FU$37)</f>
        <v>0</v>
      </c>
      <c r="Z18" s="59">
        <f>_xlfn.XLOOKUP(X17,PFVar!$I$35:$FU$35,PFVar!$I$38:$FU$38)</f>
        <v>0</v>
      </c>
      <c r="AA18" s="57">
        <f>_xlfn.XLOOKUP(AA17,PFVar!$I$35:$FU$35,PFVar!$I$40:$FU$40)</f>
        <v>1</v>
      </c>
      <c r="AB18" s="58">
        <f>_xlfn.XLOOKUP(AA17,PFVar!$I$35:$FU$35,PFVar!$I$37:$FU$37)</f>
        <v>0</v>
      </c>
      <c r="AC18" s="59">
        <f>_xlfn.XLOOKUP(AA17,PFVar!$I$35:$FU$35,PFVar!$I$38:$FU$38)</f>
        <v>0</v>
      </c>
      <c r="AD18" s="57">
        <f>_xlfn.XLOOKUP(AD17,PFVar!$I$35:$FU$35,PFVar!$I$40:$FU$40)</f>
        <v>1</v>
      </c>
      <c r="AE18" s="58">
        <f>_xlfn.XLOOKUP(AD17,PFVar!$I$35:$FU$35,PFVar!$I$37:$FU$37)</f>
        <v>0</v>
      </c>
      <c r="AF18" s="59">
        <f>_xlfn.XLOOKUP(AD17,PFVar!$I$35:$FU$35,PFVar!$I$38:$FU$38)</f>
        <v>0</v>
      </c>
      <c r="AG18" s="57">
        <f>_xlfn.XLOOKUP(AG17,PFVar!$I$35:$FU$35,PFVar!$I$40:$FU$40)</f>
        <v>1</v>
      </c>
      <c r="AH18" s="58">
        <f>_xlfn.XLOOKUP(AG17,PFVar!$I$35:$FU$35,PFVar!$I$37:$FU$37)</f>
        <v>0</v>
      </c>
      <c r="AI18" s="59">
        <f>_xlfn.XLOOKUP(AG17,PFVar!$I$35:$FU$35,PFVar!$I$38:$FU$38)</f>
        <v>0</v>
      </c>
      <c r="AJ18" s="57">
        <f>_xlfn.XLOOKUP(AJ17,PFVar!$I$35:$FU$35,PFVar!$I$40:$FU$40)</f>
        <v>1</v>
      </c>
      <c r="AK18" s="58">
        <f>_xlfn.XLOOKUP(AJ17,PFVar!$I$35:$FU$35,PFVar!$I$37:$FU$37)</f>
        <v>0</v>
      </c>
      <c r="AL18" s="59">
        <f>_xlfn.XLOOKUP(AJ17,PFVar!$I$35:$FU$35,PFVar!$I$38:$FU$38)</f>
        <v>0</v>
      </c>
      <c r="AM18" s="57">
        <f>_xlfn.XLOOKUP(AM17,PFVar!$I$35:$FU$35,PFVar!$I$40:$FU$40)</f>
        <v>1</v>
      </c>
      <c r="AN18" s="58">
        <f>_xlfn.XLOOKUP(AM17,PFVar!$I$35:$FU$35,PFVar!$I$37:$FU$37)</f>
        <v>0</v>
      </c>
      <c r="AO18" s="59">
        <f>_xlfn.XLOOKUP(AM17,PFVar!$I$35:$FU$35,PFVar!$I$38:$FU$38)</f>
        <v>0</v>
      </c>
      <c r="AP18" s="57">
        <f>_xlfn.XLOOKUP(AP17,PFVar!$I$35:$FU$35,PFVar!$I$40:$FU$40)</f>
        <v>1</v>
      </c>
      <c r="AQ18" s="58">
        <f>_xlfn.XLOOKUP(AP17,PFVar!$I$35:$FU$35,PFVar!$I$37:$FU$37)</f>
        <v>0</v>
      </c>
      <c r="AR18" s="59">
        <f>_xlfn.XLOOKUP(AP17,PFVar!$I$35:$FU$35,PFVar!$I$38:$FU$38)</f>
        <v>0</v>
      </c>
      <c r="AS18" s="57">
        <f>_xlfn.XLOOKUP(AS17,PFVar!$I$35:$FU$35,PFVar!$I$40:$FU$40)</f>
        <v>0</v>
      </c>
      <c r="AT18" s="58">
        <f>_xlfn.XLOOKUP(AS17,PFVar!$I$35:$FU$35,PFVar!$I$37:$FU$37)</f>
        <v>0</v>
      </c>
      <c r="AU18" s="59">
        <f>_xlfn.XLOOKUP(AS17,PFVar!$I$35:$FU$35,PFVar!$I$38:$FU$38)</f>
        <v>0</v>
      </c>
      <c r="AV18" s="57">
        <f>_xlfn.XLOOKUP(AV17,PFVar!$I$35:$FU$35,PFVar!$I$40:$FU$40)</f>
        <v>0</v>
      </c>
      <c r="AW18" s="58">
        <f>_xlfn.XLOOKUP(AV17,PFVar!$I$35:$FU$35,PFVar!$I$37:$FU$37)</f>
        <v>0</v>
      </c>
      <c r="AX18" s="59">
        <f>_xlfn.XLOOKUP(AV17,PFVar!$I$35:$FU$35,PFVar!$I$38:$FU$38)</f>
        <v>0</v>
      </c>
      <c r="AZ18" s="49"/>
    </row>
    <row r="19" spans="1:67" ht="9" customHeight="1" x14ac:dyDescent="0.25">
      <c r="D19" s="50"/>
      <c r="E19" s="33"/>
      <c r="F19" s="35"/>
      <c r="G19" s="53"/>
      <c r="K19" s="45">
        <v>6</v>
      </c>
      <c r="L19" s="92" t="s">
        <v>121</v>
      </c>
      <c r="M19" s="93"/>
      <c r="N19" s="94"/>
      <c r="O19" s="92" t="s">
        <v>122</v>
      </c>
      <c r="P19" s="93"/>
      <c r="Q19" s="94"/>
      <c r="R19" s="92" t="s">
        <v>123</v>
      </c>
      <c r="S19" s="93"/>
      <c r="T19" s="94"/>
      <c r="U19" s="92" t="s">
        <v>124</v>
      </c>
      <c r="V19" s="93"/>
      <c r="W19" s="94"/>
      <c r="X19" s="92" t="s">
        <v>125</v>
      </c>
      <c r="Y19" s="93"/>
      <c r="Z19" s="94"/>
      <c r="AA19" s="92" t="s">
        <v>126</v>
      </c>
      <c r="AB19" s="93"/>
      <c r="AC19" s="94"/>
      <c r="AD19" s="92" t="s">
        <v>127</v>
      </c>
      <c r="AE19" s="93"/>
      <c r="AF19" s="94"/>
      <c r="AG19" s="92" t="s">
        <v>128</v>
      </c>
      <c r="AH19" s="93"/>
      <c r="AI19" s="94"/>
      <c r="AJ19" s="92">
        <v>66</v>
      </c>
      <c r="AK19" s="93"/>
      <c r="AL19" s="94"/>
      <c r="AM19" s="92" t="s">
        <v>130</v>
      </c>
      <c r="AN19" s="93"/>
      <c r="AO19" s="94"/>
      <c r="AP19" s="92" t="s">
        <v>131</v>
      </c>
      <c r="AQ19" s="93"/>
      <c r="AR19" s="94"/>
      <c r="AS19" s="92" t="s">
        <v>132</v>
      </c>
      <c r="AT19" s="93"/>
      <c r="AU19" s="94"/>
      <c r="AV19" s="92" t="s">
        <v>133</v>
      </c>
      <c r="AW19" s="93"/>
      <c r="AX19" s="94"/>
    </row>
    <row r="20" spans="1:67" s="46" customFormat="1" ht="9" customHeight="1" thickBot="1" x14ac:dyDescent="0.3">
      <c r="D20" s="50"/>
      <c r="E20" s="33"/>
      <c r="F20" s="35"/>
      <c r="G20" s="53"/>
      <c r="K20" s="45"/>
      <c r="L20" s="57">
        <f>_xlfn.XLOOKUP(L19,PFVar!$I$35:$FU$35,PFVar!$I$40:$FU$40)</f>
        <v>1</v>
      </c>
      <c r="M20" s="58">
        <f>_xlfn.XLOOKUP(L19,PFVar!$I$35:$FU$35,PFVar!$I$37:$FU$37)</f>
        <v>0</v>
      </c>
      <c r="N20" s="59">
        <f>_xlfn.XLOOKUP(L19,PFVar!$I$35:$FU$35,PFVar!$I$38:$FU$38)</f>
        <v>0</v>
      </c>
      <c r="O20" s="57">
        <f>_xlfn.XLOOKUP(O19,PFVar!$I$35:$FU$35,PFVar!$I$40:$FU$40)</f>
        <v>0</v>
      </c>
      <c r="P20" s="58">
        <f>_xlfn.XLOOKUP(O19,PFVar!$I$35:$FU$35,PFVar!$I$37:$FU$37)</f>
        <v>0</v>
      </c>
      <c r="Q20" s="59">
        <f>_xlfn.XLOOKUP(O19,PFVar!$I$35:$FU$35,PFVar!$I$38:$FU$38)</f>
        <v>0</v>
      </c>
      <c r="R20" s="57">
        <f>_xlfn.XLOOKUP(R19,PFVar!$I$35:$FU$35,PFVar!$I$40:$FU$40)</f>
        <v>0</v>
      </c>
      <c r="S20" s="58">
        <f>_xlfn.XLOOKUP(R19,PFVar!$I$35:$FU$35,PFVar!$I$37:$FU$37)</f>
        <v>0</v>
      </c>
      <c r="T20" s="59">
        <f>_xlfn.XLOOKUP(R19,PFVar!$I$35:$FU$35,PFVar!$I$38:$FU$38)</f>
        <v>0</v>
      </c>
      <c r="U20" s="57">
        <f>_xlfn.XLOOKUP(U19,PFVar!$I$35:$FU$35,PFVar!$I$40:$FU$40)</f>
        <v>0</v>
      </c>
      <c r="V20" s="58">
        <f>_xlfn.XLOOKUP(U19,PFVar!$I$35:$FU$35,PFVar!$I$37:$FU$37)</f>
        <v>0</v>
      </c>
      <c r="W20" s="59">
        <f>_xlfn.XLOOKUP(U19,PFVar!$I$35:$FU$35,PFVar!$I$38:$FU$38)</f>
        <v>0</v>
      </c>
      <c r="X20" s="57">
        <f>_xlfn.XLOOKUP(X19,PFVar!$I$35:$FU$35,PFVar!$I$40:$FU$40)</f>
        <v>0</v>
      </c>
      <c r="Y20" s="58">
        <f>_xlfn.XLOOKUP(X19,PFVar!$I$35:$FU$35,PFVar!$I$37:$FU$37)</f>
        <v>0</v>
      </c>
      <c r="Z20" s="59">
        <f>_xlfn.XLOOKUP(X19,PFVar!$I$35:$FU$35,PFVar!$I$38:$FU$38)</f>
        <v>0</v>
      </c>
      <c r="AA20" s="57">
        <f>_xlfn.XLOOKUP(AA19,PFVar!$I$35:$FU$35,PFVar!$I$40:$FU$40)</f>
        <v>0</v>
      </c>
      <c r="AB20" s="58">
        <f>_xlfn.XLOOKUP(AA19,PFVar!$I$35:$FU$35,PFVar!$I$37:$FU$37)</f>
        <v>0</v>
      </c>
      <c r="AC20" s="59">
        <f>_xlfn.XLOOKUP(AA19,PFVar!$I$35:$FU$35,PFVar!$I$38:$FU$38)</f>
        <v>0</v>
      </c>
      <c r="AD20" s="57">
        <f>_xlfn.XLOOKUP(AD19,PFVar!$I$35:$FU$35,PFVar!$I$40:$FU$40)</f>
        <v>0</v>
      </c>
      <c r="AE20" s="58">
        <f>_xlfn.XLOOKUP(AD19,PFVar!$I$35:$FU$35,PFVar!$I$37:$FU$37)</f>
        <v>0</v>
      </c>
      <c r="AF20" s="59">
        <f>_xlfn.XLOOKUP(AD19,PFVar!$I$35:$FU$35,PFVar!$I$38:$FU$38)</f>
        <v>0</v>
      </c>
      <c r="AG20" s="57">
        <f>_xlfn.XLOOKUP(AG19,PFVar!$I$35:$FU$35,PFVar!$I$40:$FU$40)</f>
        <v>1</v>
      </c>
      <c r="AH20" s="58">
        <f>_xlfn.XLOOKUP(AG19,PFVar!$I$35:$FU$35,PFVar!$I$37:$FU$37)</f>
        <v>0</v>
      </c>
      <c r="AI20" s="59">
        <f>_xlfn.XLOOKUP(AG19,PFVar!$I$35:$FU$35,PFVar!$I$38:$FU$38)</f>
        <v>0</v>
      </c>
      <c r="AJ20" s="57">
        <f>_xlfn.XLOOKUP(AJ19,PFVar!$I$35:$FU$35,PFVar!$I$40:$FU$40)</f>
        <v>1</v>
      </c>
      <c r="AK20" s="58">
        <f>_xlfn.XLOOKUP(AJ19,PFVar!$I$35:$FU$35,PFVar!$I$37:$FU$37)</f>
        <v>0</v>
      </c>
      <c r="AL20" s="59">
        <f>_xlfn.XLOOKUP(AJ19,PFVar!$I$35:$FU$35,PFVar!$I$38:$FU$38)</f>
        <v>0</v>
      </c>
      <c r="AM20" s="57">
        <f>_xlfn.XLOOKUP(AM19,PFVar!$I$35:$FU$35,PFVar!$I$40:$FU$40)</f>
        <v>1</v>
      </c>
      <c r="AN20" s="58">
        <f>_xlfn.XLOOKUP(AM19,PFVar!$I$35:$FU$35,PFVar!$I$37:$FU$37)</f>
        <v>0</v>
      </c>
      <c r="AO20" s="59">
        <f>_xlfn.XLOOKUP(AM19,PFVar!$I$35:$FU$35,PFVar!$I$38:$FU$38)</f>
        <v>0</v>
      </c>
      <c r="AP20" s="57">
        <f>_xlfn.XLOOKUP(AP19,PFVar!$I$35:$FU$35,PFVar!$I$40:$FU$40)</f>
        <v>1</v>
      </c>
      <c r="AQ20" s="58">
        <f>_xlfn.XLOOKUP(AP19,PFVar!$I$35:$FU$35,PFVar!$I$37:$FU$37)</f>
        <v>0</v>
      </c>
      <c r="AR20" s="59">
        <f>_xlfn.XLOOKUP(AP19,PFVar!$I$35:$FU$35,PFVar!$I$38:$FU$38)</f>
        <v>0</v>
      </c>
      <c r="AS20" s="57">
        <f>_xlfn.XLOOKUP(AS19,PFVar!$I$35:$FU$35,PFVar!$I$40:$FU$40)</f>
        <v>0</v>
      </c>
      <c r="AT20" s="58">
        <f>_xlfn.XLOOKUP(AS19,PFVar!$I$35:$FU$35,PFVar!$I$37:$FU$37)</f>
        <v>0</v>
      </c>
      <c r="AU20" s="59">
        <f>_xlfn.XLOOKUP(AS19,PFVar!$I$35:$FU$35,PFVar!$I$38:$FU$38)</f>
        <v>0</v>
      </c>
      <c r="AV20" s="57">
        <f>_xlfn.XLOOKUP(AV19,PFVar!$I$35:$FU$35,PFVar!$I$40:$FU$40)</f>
        <v>0</v>
      </c>
      <c r="AW20" s="58">
        <f>_xlfn.XLOOKUP(AV19,PFVar!$I$35:$FU$35,PFVar!$I$37:$FU$37)</f>
        <v>0</v>
      </c>
      <c r="AX20" s="59">
        <f>_xlfn.XLOOKUP(AV19,PFVar!$I$35:$FU$35,PFVar!$I$38:$FU$38)</f>
        <v>0</v>
      </c>
    </row>
    <row r="21" spans="1:67" ht="9" customHeight="1" x14ac:dyDescent="0.25">
      <c r="D21" s="50"/>
      <c r="E21" s="33"/>
      <c r="F21" s="35"/>
      <c r="G21" s="53"/>
      <c r="K21" s="45">
        <v>5</v>
      </c>
      <c r="L21" s="92" t="s">
        <v>134</v>
      </c>
      <c r="M21" s="93"/>
      <c r="N21" s="94"/>
      <c r="O21" s="92" t="s">
        <v>135</v>
      </c>
      <c r="P21" s="93"/>
      <c r="Q21" s="94"/>
      <c r="R21" s="92" t="s">
        <v>136</v>
      </c>
      <c r="S21" s="93"/>
      <c r="T21" s="94"/>
      <c r="U21" s="92" t="s">
        <v>137</v>
      </c>
      <c r="V21" s="93"/>
      <c r="W21" s="94"/>
      <c r="X21" s="92" t="s">
        <v>138</v>
      </c>
      <c r="Y21" s="93"/>
      <c r="Z21" s="94"/>
      <c r="AA21" s="92" t="s">
        <v>139</v>
      </c>
      <c r="AB21" s="93"/>
      <c r="AC21" s="94"/>
      <c r="AD21" s="92" t="s">
        <v>140</v>
      </c>
      <c r="AE21" s="93"/>
      <c r="AF21" s="94"/>
      <c r="AG21" s="92" t="s">
        <v>141</v>
      </c>
      <c r="AH21" s="93"/>
      <c r="AI21" s="94"/>
      <c r="AJ21" s="92" t="s">
        <v>142</v>
      </c>
      <c r="AK21" s="93"/>
      <c r="AL21" s="94"/>
      <c r="AM21" s="92">
        <v>55</v>
      </c>
      <c r="AN21" s="93"/>
      <c r="AO21" s="94"/>
      <c r="AP21" s="92" t="s">
        <v>144</v>
      </c>
      <c r="AQ21" s="93"/>
      <c r="AR21" s="94"/>
      <c r="AS21" s="92" t="s">
        <v>145</v>
      </c>
      <c r="AT21" s="93"/>
      <c r="AU21" s="94"/>
      <c r="AV21" s="92" t="s">
        <v>146</v>
      </c>
      <c r="AW21" s="93"/>
      <c r="AX21" s="94"/>
      <c r="AZ21" s="2"/>
    </row>
    <row r="22" spans="1:67" s="46" customFormat="1" ht="9" customHeight="1" thickBot="1" x14ac:dyDescent="0.3">
      <c r="D22" s="50"/>
      <c r="E22" s="51"/>
      <c r="F22" s="52"/>
      <c r="G22" s="53"/>
      <c r="H22" s="6"/>
      <c r="K22" s="45"/>
      <c r="L22" s="57">
        <f>_xlfn.XLOOKUP(L21,PFVar!$I$35:$FU$35,PFVar!$I$40:$FU$40)</f>
        <v>1</v>
      </c>
      <c r="M22" s="58">
        <f>_xlfn.XLOOKUP(L21,PFVar!$I$35:$FU$35,PFVar!$I$37:$FU$37)</f>
        <v>0</v>
      </c>
      <c r="N22" s="59">
        <f>_xlfn.XLOOKUP(L21,PFVar!$I$35:$FU$35,PFVar!$I$38:$FU$38)</f>
        <v>0</v>
      </c>
      <c r="O22" s="57">
        <f>_xlfn.XLOOKUP(O21,PFVar!$I$35:$FU$35,PFVar!$I$40:$FU$40)</f>
        <v>0</v>
      </c>
      <c r="P22" s="58">
        <f>_xlfn.XLOOKUP(O21,PFVar!$I$35:$FU$35,PFVar!$I$37:$FU$37)</f>
        <v>0</v>
      </c>
      <c r="Q22" s="59">
        <f>_xlfn.XLOOKUP(O21,PFVar!$I$35:$FU$35,PFVar!$I$38:$FU$38)</f>
        <v>0</v>
      </c>
      <c r="R22" s="57">
        <f>_xlfn.XLOOKUP(R21,PFVar!$I$35:$FU$35,PFVar!$I$40:$FU$40)</f>
        <v>0</v>
      </c>
      <c r="S22" s="58">
        <f>_xlfn.XLOOKUP(R21,PFVar!$I$35:$FU$35,PFVar!$I$37:$FU$37)</f>
        <v>0</v>
      </c>
      <c r="T22" s="59">
        <f>_xlfn.XLOOKUP(R21,PFVar!$I$35:$FU$35,PFVar!$I$38:$FU$38)</f>
        <v>0</v>
      </c>
      <c r="U22" s="57">
        <f>_xlfn.XLOOKUP(U21,PFVar!$I$35:$FU$35,PFVar!$I$40:$FU$40)</f>
        <v>0</v>
      </c>
      <c r="V22" s="58">
        <f>_xlfn.XLOOKUP(U21,PFVar!$I$35:$FU$35,PFVar!$I$37:$FU$37)</f>
        <v>0</v>
      </c>
      <c r="W22" s="59">
        <f>_xlfn.XLOOKUP(U21,PFVar!$I$35:$FU$35,PFVar!$I$38:$FU$38)</f>
        <v>0</v>
      </c>
      <c r="X22" s="57">
        <f>_xlfn.XLOOKUP(X21,PFVar!$I$35:$FU$35,PFVar!$I$40:$FU$40)</f>
        <v>0</v>
      </c>
      <c r="Y22" s="58">
        <f>_xlfn.XLOOKUP(X21,PFVar!$I$35:$FU$35,PFVar!$I$37:$FU$37)</f>
        <v>0</v>
      </c>
      <c r="Z22" s="59">
        <f>_xlfn.XLOOKUP(X21,PFVar!$I$35:$FU$35,PFVar!$I$38:$FU$38)</f>
        <v>0</v>
      </c>
      <c r="AA22" s="57">
        <f>_xlfn.XLOOKUP(AA21,PFVar!$I$35:$FU$35,PFVar!$I$40:$FU$40)</f>
        <v>0</v>
      </c>
      <c r="AB22" s="58">
        <f>_xlfn.XLOOKUP(AA21,PFVar!$I$35:$FU$35,PFVar!$I$37:$FU$37)</f>
        <v>0</v>
      </c>
      <c r="AC22" s="59">
        <f>_xlfn.XLOOKUP(AA21,PFVar!$I$35:$FU$35,PFVar!$I$38:$FU$38)</f>
        <v>0</v>
      </c>
      <c r="AD22" s="57">
        <f>_xlfn.XLOOKUP(AD21,PFVar!$I$35:$FU$35,PFVar!$I$40:$FU$40)</f>
        <v>0</v>
      </c>
      <c r="AE22" s="58">
        <f>_xlfn.XLOOKUP(AD21,PFVar!$I$35:$FU$35,PFVar!$I$37:$FU$37)</f>
        <v>0</v>
      </c>
      <c r="AF22" s="59">
        <f>_xlfn.XLOOKUP(AD21,PFVar!$I$35:$FU$35,PFVar!$I$38:$FU$38)</f>
        <v>0</v>
      </c>
      <c r="AG22" s="57">
        <f>_xlfn.XLOOKUP(AG21,PFVar!$I$35:$FU$35,PFVar!$I$40:$FU$40)</f>
        <v>0</v>
      </c>
      <c r="AH22" s="58">
        <f>_xlfn.XLOOKUP(AG21,PFVar!$I$35:$FU$35,PFVar!$I$37:$FU$37)</f>
        <v>0</v>
      </c>
      <c r="AI22" s="59">
        <f>_xlfn.XLOOKUP(AG21,PFVar!$I$35:$FU$35,PFVar!$I$38:$FU$38)</f>
        <v>0</v>
      </c>
      <c r="AJ22" s="57">
        <f>_xlfn.XLOOKUP(AJ21,PFVar!$I$35:$FU$35,PFVar!$I$40:$FU$40)</f>
        <v>0</v>
      </c>
      <c r="AK22" s="58">
        <f>_xlfn.XLOOKUP(AJ21,PFVar!$I$35:$FU$35,PFVar!$I$37:$FU$37)</f>
        <v>0</v>
      </c>
      <c r="AL22" s="59">
        <f>_xlfn.XLOOKUP(AJ21,PFVar!$I$35:$FU$35,PFVar!$I$38:$FU$38)</f>
        <v>0</v>
      </c>
      <c r="AM22" s="57">
        <f>_xlfn.XLOOKUP(AM21,PFVar!$I$35:$FU$35,PFVar!$I$40:$FU$40)</f>
        <v>1</v>
      </c>
      <c r="AN22" s="58">
        <f>_xlfn.XLOOKUP(AM21,PFVar!$I$35:$FU$35,PFVar!$I$37:$FU$37)</f>
        <v>0</v>
      </c>
      <c r="AO22" s="59">
        <f>_xlfn.XLOOKUP(AM21,PFVar!$I$35:$FU$35,PFVar!$I$38:$FU$38)</f>
        <v>0</v>
      </c>
      <c r="AP22" s="57">
        <f>_xlfn.XLOOKUP(AP21,PFVar!$I$35:$FU$35,PFVar!$I$40:$FU$40)</f>
        <v>1</v>
      </c>
      <c r="AQ22" s="58">
        <f>_xlfn.XLOOKUP(AP21,PFVar!$I$35:$FU$35,PFVar!$I$37:$FU$37)</f>
        <v>0</v>
      </c>
      <c r="AR22" s="59">
        <f>_xlfn.XLOOKUP(AP21,PFVar!$I$35:$FU$35,PFVar!$I$38:$FU$38)</f>
        <v>0</v>
      </c>
      <c r="AS22" s="57">
        <f>_xlfn.XLOOKUP(AS21,PFVar!$I$35:$FU$35,PFVar!$I$40:$FU$40)</f>
        <v>1</v>
      </c>
      <c r="AT22" s="58">
        <f>_xlfn.XLOOKUP(AS21,PFVar!$I$35:$FU$35,PFVar!$I$37:$FU$37)</f>
        <v>0</v>
      </c>
      <c r="AU22" s="59">
        <f>_xlfn.XLOOKUP(AS21,PFVar!$I$35:$FU$35,PFVar!$I$38:$FU$38)</f>
        <v>0</v>
      </c>
      <c r="AV22" s="57">
        <f>_xlfn.XLOOKUP(AV21,PFVar!$I$35:$FU$35,PFVar!$I$40:$FU$40)</f>
        <v>0</v>
      </c>
      <c r="AW22" s="58">
        <f>_xlfn.XLOOKUP(AV21,PFVar!$I$35:$FU$35,PFVar!$I$37:$FU$37)</f>
        <v>0</v>
      </c>
      <c r="AX22" s="59">
        <f>_xlfn.XLOOKUP(AV21,PFVar!$I$35:$FU$35,PFVar!$I$38:$FU$38)</f>
        <v>0</v>
      </c>
    </row>
    <row r="23" spans="1:67" ht="9" customHeight="1" x14ac:dyDescent="0.25">
      <c r="D23" s="50"/>
      <c r="E23" s="51"/>
      <c r="F23" s="52"/>
      <c r="G23" s="53"/>
      <c r="H23" s="6"/>
      <c r="K23" s="45">
        <v>4</v>
      </c>
      <c r="L23" s="92" t="s">
        <v>147</v>
      </c>
      <c r="M23" s="93"/>
      <c r="N23" s="94"/>
      <c r="O23" s="92" t="s">
        <v>148</v>
      </c>
      <c r="P23" s="93"/>
      <c r="Q23" s="94"/>
      <c r="R23" s="92" t="s">
        <v>149</v>
      </c>
      <c r="S23" s="93"/>
      <c r="T23" s="94"/>
      <c r="U23" s="92" t="s">
        <v>150</v>
      </c>
      <c r="V23" s="93"/>
      <c r="W23" s="94"/>
      <c r="X23" s="92" t="s">
        <v>151</v>
      </c>
      <c r="Y23" s="93"/>
      <c r="Z23" s="94"/>
      <c r="AA23" s="92" t="s">
        <v>152</v>
      </c>
      <c r="AB23" s="93"/>
      <c r="AC23" s="94"/>
      <c r="AD23" s="92" t="s">
        <v>153</v>
      </c>
      <c r="AE23" s="93"/>
      <c r="AF23" s="94"/>
      <c r="AG23" s="92" t="s">
        <v>154</v>
      </c>
      <c r="AH23" s="93"/>
      <c r="AI23" s="94"/>
      <c r="AJ23" s="92" t="s">
        <v>155</v>
      </c>
      <c r="AK23" s="93"/>
      <c r="AL23" s="94"/>
      <c r="AM23" s="92" t="s">
        <v>156</v>
      </c>
      <c r="AN23" s="93"/>
      <c r="AO23" s="94"/>
      <c r="AP23" s="92">
        <v>44</v>
      </c>
      <c r="AQ23" s="93"/>
      <c r="AR23" s="94"/>
      <c r="AS23" s="92" t="s">
        <v>158</v>
      </c>
      <c r="AT23" s="93"/>
      <c r="AU23" s="94"/>
      <c r="AV23" s="92" t="s">
        <v>159</v>
      </c>
      <c r="AW23" s="93"/>
      <c r="AX23" s="94"/>
      <c r="AZ23" s="4"/>
      <c r="BF23" s="27"/>
    </row>
    <row r="24" spans="1:67" s="46" customFormat="1" ht="9" customHeight="1" thickBot="1" x14ac:dyDescent="0.3">
      <c r="B24" s="46" t="str">
        <f>_xlfn.CONCAT(PFVar!E3,PFVar!E4, " ", PFVar!F3,PFVar!F4)</f>
        <v xml:space="preserve"> </v>
      </c>
      <c r="D24" s="50"/>
      <c r="E24" s="51"/>
      <c r="F24" s="52"/>
      <c r="G24" s="53"/>
      <c r="H24" s="6"/>
      <c r="K24" s="45"/>
      <c r="L24" s="57">
        <f>_xlfn.XLOOKUP(L23,PFVar!$I$35:$FU$35,PFVar!$I$40:$FU$40)</f>
        <v>1</v>
      </c>
      <c r="M24" s="58">
        <f>_xlfn.XLOOKUP(L23,PFVar!$I$35:$FU$35,PFVar!$I$37:$FU$37)</f>
        <v>0</v>
      </c>
      <c r="N24" s="59">
        <f>_xlfn.XLOOKUP(L23,PFVar!$I$35:$FU$35,PFVar!$I$38:$FU$38)</f>
        <v>0</v>
      </c>
      <c r="O24" s="57">
        <f>_xlfn.XLOOKUP(O23,PFVar!$I$35:$FU$35,PFVar!$I$40:$FU$40)</f>
        <v>0</v>
      </c>
      <c r="P24" s="58">
        <f>_xlfn.XLOOKUP(O23,PFVar!$I$35:$FU$35,PFVar!$I$37:$FU$37)</f>
        <v>0</v>
      </c>
      <c r="Q24" s="59">
        <f>_xlfn.XLOOKUP(O23,PFVar!$I$35:$FU$35,PFVar!$I$38:$FU$38)</f>
        <v>0</v>
      </c>
      <c r="R24" s="57">
        <f>_xlfn.XLOOKUP(R23,PFVar!$I$35:$FU$35,PFVar!$I$40:$FU$40)</f>
        <v>0</v>
      </c>
      <c r="S24" s="58">
        <f>_xlfn.XLOOKUP(R23,PFVar!$I$35:$FU$35,PFVar!$I$37:$FU$37)</f>
        <v>0</v>
      </c>
      <c r="T24" s="59">
        <f>_xlfn.XLOOKUP(R23,PFVar!$I$35:$FU$35,PFVar!$I$38:$FU$38)</f>
        <v>0</v>
      </c>
      <c r="U24" s="57">
        <f>_xlfn.XLOOKUP(U23,PFVar!$I$35:$FU$35,PFVar!$I$40:$FU$40)</f>
        <v>0</v>
      </c>
      <c r="V24" s="58">
        <f>_xlfn.XLOOKUP(U23,PFVar!$I$35:$FU$35,PFVar!$I$37:$FU$37)</f>
        <v>0</v>
      </c>
      <c r="W24" s="59">
        <f>_xlfn.XLOOKUP(U23,PFVar!$I$35:$FU$35,PFVar!$I$38:$FU$38)</f>
        <v>0</v>
      </c>
      <c r="X24" s="57">
        <f>_xlfn.XLOOKUP(X23,PFVar!$I$35:$FU$35,PFVar!$I$40:$FU$40)</f>
        <v>0</v>
      </c>
      <c r="Y24" s="58">
        <f>_xlfn.XLOOKUP(X23,PFVar!$I$35:$FU$35,PFVar!$I$37:$FU$37)</f>
        <v>0</v>
      </c>
      <c r="Z24" s="59">
        <f>_xlfn.XLOOKUP(X23,PFVar!$I$35:$FU$35,PFVar!$I$38:$FU$38)</f>
        <v>0</v>
      </c>
      <c r="AA24" s="57">
        <f>_xlfn.XLOOKUP(AA23,PFVar!$I$35:$FU$35,PFVar!$I$40:$FU$40)</f>
        <v>0</v>
      </c>
      <c r="AB24" s="58">
        <f>_xlfn.XLOOKUP(AA23,PFVar!$I$35:$FU$35,PFVar!$I$37:$FU$37)</f>
        <v>0</v>
      </c>
      <c r="AC24" s="59">
        <f>_xlfn.XLOOKUP(AA23,PFVar!$I$35:$FU$35,PFVar!$I$38:$FU$38)</f>
        <v>0</v>
      </c>
      <c r="AD24" s="57">
        <f>_xlfn.XLOOKUP(AD23,PFVar!$I$35:$FU$35,PFVar!$I$40:$FU$40)</f>
        <v>0</v>
      </c>
      <c r="AE24" s="58">
        <f>_xlfn.XLOOKUP(AD23,PFVar!$I$35:$FU$35,PFVar!$I$37:$FU$37)</f>
        <v>0</v>
      </c>
      <c r="AF24" s="59">
        <f>_xlfn.XLOOKUP(AD23,PFVar!$I$35:$FU$35,PFVar!$I$38:$FU$38)</f>
        <v>0</v>
      </c>
      <c r="AG24" s="57">
        <f>_xlfn.XLOOKUP(AG23,PFVar!$I$35:$FU$35,PFVar!$I$40:$FU$40)</f>
        <v>0</v>
      </c>
      <c r="AH24" s="58">
        <f>_xlfn.XLOOKUP(AG23,PFVar!$I$35:$FU$35,PFVar!$I$37:$FU$37)</f>
        <v>0</v>
      </c>
      <c r="AI24" s="59">
        <f>_xlfn.XLOOKUP(AG23,PFVar!$I$35:$FU$35,PFVar!$I$38:$FU$38)</f>
        <v>0</v>
      </c>
      <c r="AJ24" s="57">
        <f>_xlfn.XLOOKUP(AJ23,PFVar!$I$35:$FU$35,PFVar!$I$40:$FU$40)</f>
        <v>0</v>
      </c>
      <c r="AK24" s="58">
        <f>_xlfn.XLOOKUP(AJ23,PFVar!$I$35:$FU$35,PFVar!$I$37:$FU$37)</f>
        <v>0</v>
      </c>
      <c r="AL24" s="59">
        <f>_xlfn.XLOOKUP(AJ23,PFVar!$I$35:$FU$35,PFVar!$I$38:$FU$38)</f>
        <v>0</v>
      </c>
      <c r="AM24" s="57">
        <f>_xlfn.XLOOKUP(AM23,PFVar!$I$35:$FU$35,PFVar!$I$40:$FU$40)</f>
        <v>0</v>
      </c>
      <c r="AN24" s="58">
        <f>_xlfn.XLOOKUP(AM23,PFVar!$I$35:$FU$35,PFVar!$I$37:$FU$37)</f>
        <v>0</v>
      </c>
      <c r="AO24" s="59">
        <f>_xlfn.XLOOKUP(AM23,PFVar!$I$35:$FU$35,PFVar!$I$38:$FU$38)</f>
        <v>0</v>
      </c>
      <c r="AP24" s="57">
        <f>_xlfn.XLOOKUP(AP23,PFVar!$I$35:$FU$35,PFVar!$I$40:$FU$40)</f>
        <v>1</v>
      </c>
      <c r="AQ24" s="58">
        <f>_xlfn.XLOOKUP(AP23,PFVar!$I$35:$FU$35,PFVar!$I$37:$FU$37)</f>
        <v>0</v>
      </c>
      <c r="AR24" s="59">
        <f>_xlfn.XLOOKUP(AP23,PFVar!$I$35:$FU$35,PFVar!$I$38:$FU$38)</f>
        <v>0</v>
      </c>
      <c r="AS24" s="57">
        <f>_xlfn.XLOOKUP(AS23,PFVar!$I$35:$FU$35,PFVar!$I$40:$FU$40)</f>
        <v>1</v>
      </c>
      <c r="AT24" s="58">
        <f>_xlfn.XLOOKUP(AS23,PFVar!$I$35:$FU$35,PFVar!$I$37:$FU$37)</f>
        <v>0</v>
      </c>
      <c r="AU24" s="59">
        <f>_xlfn.XLOOKUP(AS23,PFVar!$I$35:$FU$35,PFVar!$I$38:$FU$38)</f>
        <v>0</v>
      </c>
      <c r="AV24" s="57">
        <f>_xlfn.XLOOKUP(AV23,PFVar!$I$35:$FU$35,PFVar!$I$40:$FU$40)</f>
        <v>0</v>
      </c>
      <c r="AW24" s="58">
        <f>_xlfn.XLOOKUP(AV23,PFVar!$I$35:$FU$35,PFVar!$I$37:$FU$37)</f>
        <v>0</v>
      </c>
      <c r="AX24" s="59">
        <f>_xlfn.XLOOKUP(AV23,PFVar!$I$35:$FU$35,PFVar!$I$38:$FU$38)</f>
        <v>0</v>
      </c>
      <c r="AZ24" s="48"/>
    </row>
    <row r="25" spans="1:67" ht="9" customHeight="1" x14ac:dyDescent="0.25">
      <c r="A25" s="44" t="s">
        <v>194</v>
      </c>
      <c r="B25" s="44" t="s">
        <v>195</v>
      </c>
      <c r="C25" s="44" t="s">
        <v>196</v>
      </c>
      <c r="D25" s="50"/>
      <c r="E25" s="51"/>
      <c r="F25" s="52"/>
      <c r="G25" s="53"/>
      <c r="H25" s="6"/>
      <c r="K25" s="45">
        <v>3</v>
      </c>
      <c r="L25" s="92" t="s">
        <v>160</v>
      </c>
      <c r="M25" s="93"/>
      <c r="N25" s="94"/>
      <c r="O25" s="92" t="s">
        <v>161</v>
      </c>
      <c r="P25" s="93"/>
      <c r="Q25" s="94"/>
      <c r="R25" s="92" t="s">
        <v>162</v>
      </c>
      <c r="S25" s="93"/>
      <c r="T25" s="94"/>
      <c r="U25" s="92" t="s">
        <v>163</v>
      </c>
      <c r="V25" s="93"/>
      <c r="W25" s="94"/>
      <c r="X25" s="92" t="s">
        <v>164</v>
      </c>
      <c r="Y25" s="93"/>
      <c r="Z25" s="94"/>
      <c r="AA25" s="92" t="s">
        <v>165</v>
      </c>
      <c r="AB25" s="93"/>
      <c r="AC25" s="94"/>
      <c r="AD25" s="92" t="s">
        <v>166</v>
      </c>
      <c r="AE25" s="93"/>
      <c r="AF25" s="94"/>
      <c r="AG25" s="92" t="s">
        <v>167</v>
      </c>
      <c r="AH25" s="93"/>
      <c r="AI25" s="94"/>
      <c r="AJ25" s="92" t="s">
        <v>168</v>
      </c>
      <c r="AK25" s="93"/>
      <c r="AL25" s="94"/>
      <c r="AM25" s="92" t="s">
        <v>169</v>
      </c>
      <c r="AN25" s="93"/>
      <c r="AO25" s="94"/>
      <c r="AP25" s="92" t="s">
        <v>170</v>
      </c>
      <c r="AQ25" s="93"/>
      <c r="AR25" s="94"/>
      <c r="AS25" s="92">
        <v>33</v>
      </c>
      <c r="AT25" s="93"/>
      <c r="AU25" s="94"/>
      <c r="AV25" s="92" t="s">
        <v>172</v>
      </c>
      <c r="AW25" s="93"/>
      <c r="AX25" s="94"/>
      <c r="AZ25" s="4"/>
      <c r="BE25" s="27"/>
    </row>
    <row r="26" spans="1:67" s="46" customFormat="1" ht="9" customHeight="1" thickBot="1" x14ac:dyDescent="0.3">
      <c r="A26" s="80">
        <f>PFVar!FV40</f>
        <v>0.5113122171945701</v>
      </c>
      <c r="B26" s="80">
        <f>PFVar!FV37</f>
        <v>0</v>
      </c>
      <c r="C26" s="80">
        <f>1-A26-B26</f>
        <v>0.4886877828054299</v>
      </c>
      <c r="D26" s="6"/>
      <c r="E26" s="6"/>
      <c r="F26" s="6"/>
      <c r="G26" s="6"/>
      <c r="H26" s="6"/>
      <c r="K26" s="45"/>
      <c r="L26" s="57">
        <f>_xlfn.XLOOKUP(L25,PFVar!$I$35:$FU$35,PFVar!$I$40:$FU$40)</f>
        <v>1</v>
      </c>
      <c r="M26" s="58">
        <f>_xlfn.XLOOKUP(L25,PFVar!$I$35:$FU$35,PFVar!$I$37:$FU$37)</f>
        <v>0</v>
      </c>
      <c r="N26" s="59">
        <f>_xlfn.XLOOKUP(L25,PFVar!$I$35:$FU$35,PFVar!$I$38:$FU$38)</f>
        <v>0</v>
      </c>
      <c r="O26" s="57">
        <f>_xlfn.XLOOKUP(O25,PFVar!$I$35:$FU$35,PFVar!$I$40:$FU$40)</f>
        <v>0</v>
      </c>
      <c r="P26" s="58">
        <f>_xlfn.XLOOKUP(O25,PFVar!$I$35:$FU$35,PFVar!$I$37:$FU$37)</f>
        <v>0</v>
      </c>
      <c r="Q26" s="59">
        <f>_xlfn.XLOOKUP(O25,PFVar!$I$35:$FU$35,PFVar!$I$38:$FU$38)</f>
        <v>0</v>
      </c>
      <c r="R26" s="57">
        <f>_xlfn.XLOOKUP(R25,PFVar!$I$35:$FU$35,PFVar!$I$40:$FU$40)</f>
        <v>0</v>
      </c>
      <c r="S26" s="58">
        <f>_xlfn.XLOOKUP(R25,PFVar!$I$35:$FU$35,PFVar!$I$37:$FU$37)</f>
        <v>0</v>
      </c>
      <c r="T26" s="59">
        <f>_xlfn.XLOOKUP(R25,PFVar!$I$35:$FU$35,PFVar!$I$38:$FU$38)</f>
        <v>0</v>
      </c>
      <c r="U26" s="57">
        <f>_xlfn.XLOOKUP(U25,PFVar!$I$35:$FU$35,PFVar!$I$40:$FU$40)</f>
        <v>0</v>
      </c>
      <c r="V26" s="58">
        <f>_xlfn.XLOOKUP(U25,PFVar!$I$35:$FU$35,PFVar!$I$37:$FU$37)</f>
        <v>0</v>
      </c>
      <c r="W26" s="59">
        <f>_xlfn.XLOOKUP(U25,PFVar!$I$35:$FU$35,PFVar!$I$38:$FU$38)</f>
        <v>0</v>
      </c>
      <c r="X26" s="57">
        <f>_xlfn.XLOOKUP(X25,PFVar!$I$35:$FU$35,PFVar!$I$40:$FU$40)</f>
        <v>0</v>
      </c>
      <c r="Y26" s="58">
        <f>_xlfn.XLOOKUP(X25,PFVar!$I$35:$FU$35,PFVar!$I$37:$FU$37)</f>
        <v>0</v>
      </c>
      <c r="Z26" s="59">
        <f>_xlfn.XLOOKUP(X25,PFVar!$I$35:$FU$35,PFVar!$I$38:$FU$38)</f>
        <v>0</v>
      </c>
      <c r="AA26" s="57">
        <f>_xlfn.XLOOKUP(AA25,PFVar!$I$35:$FU$35,PFVar!$I$40:$FU$40)</f>
        <v>0</v>
      </c>
      <c r="AB26" s="58">
        <f>_xlfn.XLOOKUP(AA25,PFVar!$I$35:$FU$35,PFVar!$I$37:$FU$37)</f>
        <v>0</v>
      </c>
      <c r="AC26" s="59">
        <f>_xlfn.XLOOKUP(AA25,PFVar!$I$35:$FU$35,PFVar!$I$38:$FU$38)</f>
        <v>0</v>
      </c>
      <c r="AD26" s="57">
        <f>_xlfn.XLOOKUP(AD25,PFVar!$I$35:$FU$35,PFVar!$I$40:$FU$40)</f>
        <v>0</v>
      </c>
      <c r="AE26" s="58">
        <f>_xlfn.XLOOKUP(AD25,PFVar!$I$35:$FU$35,PFVar!$I$37:$FU$37)</f>
        <v>0</v>
      </c>
      <c r="AF26" s="59">
        <f>_xlfn.XLOOKUP(AD25,PFVar!$I$35:$FU$35,PFVar!$I$38:$FU$38)</f>
        <v>0</v>
      </c>
      <c r="AG26" s="57">
        <f>_xlfn.XLOOKUP(AG25,PFVar!$I$35:$FU$35,PFVar!$I$40:$FU$40)</f>
        <v>0</v>
      </c>
      <c r="AH26" s="58">
        <f>_xlfn.XLOOKUP(AG25,PFVar!$I$35:$FU$35,PFVar!$I$37:$FU$37)</f>
        <v>0</v>
      </c>
      <c r="AI26" s="59">
        <f>_xlfn.XLOOKUP(AG25,PFVar!$I$35:$FU$35,PFVar!$I$38:$FU$38)</f>
        <v>0</v>
      </c>
      <c r="AJ26" s="57">
        <f>_xlfn.XLOOKUP(AJ25,PFVar!$I$35:$FU$35,PFVar!$I$40:$FU$40)</f>
        <v>0</v>
      </c>
      <c r="AK26" s="58">
        <f>_xlfn.XLOOKUP(AJ25,PFVar!$I$35:$FU$35,PFVar!$I$37:$FU$37)</f>
        <v>0</v>
      </c>
      <c r="AL26" s="59">
        <f>_xlfn.XLOOKUP(AJ25,PFVar!$I$35:$FU$35,PFVar!$I$38:$FU$38)</f>
        <v>0</v>
      </c>
      <c r="AM26" s="57">
        <f>_xlfn.XLOOKUP(AM25,PFVar!$I$35:$FU$35,PFVar!$I$40:$FU$40)</f>
        <v>0</v>
      </c>
      <c r="AN26" s="58">
        <f>_xlfn.XLOOKUP(AM25,PFVar!$I$35:$FU$35,PFVar!$I$37:$FU$37)</f>
        <v>0</v>
      </c>
      <c r="AO26" s="59">
        <f>_xlfn.XLOOKUP(AM25,PFVar!$I$35:$FU$35,PFVar!$I$38:$FU$38)</f>
        <v>0</v>
      </c>
      <c r="AP26" s="57">
        <f>_xlfn.XLOOKUP(AP25,PFVar!$I$35:$FU$35,PFVar!$I$40:$FU$40)</f>
        <v>0</v>
      </c>
      <c r="AQ26" s="58">
        <f>_xlfn.XLOOKUP(AP25,PFVar!$I$35:$FU$35,PFVar!$I$37:$FU$37)</f>
        <v>0</v>
      </c>
      <c r="AR26" s="59">
        <f>_xlfn.XLOOKUP(AP25,PFVar!$I$35:$FU$35,PFVar!$I$38:$FU$38)</f>
        <v>0</v>
      </c>
      <c r="AS26" s="57">
        <f>_xlfn.XLOOKUP(AS25,PFVar!$I$35:$FU$35,PFVar!$I$40:$FU$40)</f>
        <v>1</v>
      </c>
      <c r="AT26" s="58">
        <f>_xlfn.XLOOKUP(AS25,PFVar!$I$35:$FU$35,PFVar!$I$37:$FU$37)</f>
        <v>0</v>
      </c>
      <c r="AU26" s="59">
        <f>_xlfn.XLOOKUP(AS25,PFVar!$I$35:$FU$35,PFVar!$I$38:$FU$38)</f>
        <v>0</v>
      </c>
      <c r="AV26" s="57">
        <f>_xlfn.XLOOKUP(AV25,PFVar!$I$35:$FU$35,PFVar!$I$40:$FU$40)</f>
        <v>1</v>
      </c>
      <c r="AW26" s="58">
        <f>_xlfn.XLOOKUP(AV25,PFVar!$I$35:$FU$35,PFVar!$I$37:$FU$37)</f>
        <v>0</v>
      </c>
      <c r="AX26" s="59">
        <f>_xlfn.XLOOKUP(AV25,PFVar!$I$35:$FU$35,PFVar!$I$38:$FU$38)</f>
        <v>0</v>
      </c>
      <c r="AZ26" s="48"/>
    </row>
    <row r="27" spans="1:67" ht="9" customHeight="1" x14ac:dyDescent="0.25">
      <c r="D27" s="6"/>
      <c r="E27" s="6"/>
      <c r="F27" s="6"/>
      <c r="G27" s="6"/>
      <c r="H27" s="6"/>
      <c r="K27" s="45">
        <v>2</v>
      </c>
      <c r="L27" s="92" t="s">
        <v>173</v>
      </c>
      <c r="M27" s="93"/>
      <c r="N27" s="94"/>
      <c r="O27" s="92" t="s">
        <v>174</v>
      </c>
      <c r="P27" s="93"/>
      <c r="Q27" s="94"/>
      <c r="R27" s="92" t="s">
        <v>175</v>
      </c>
      <c r="S27" s="93"/>
      <c r="T27" s="94"/>
      <c r="U27" s="92" t="s">
        <v>176</v>
      </c>
      <c r="V27" s="93"/>
      <c r="W27" s="94"/>
      <c r="X27" s="92" t="s">
        <v>177</v>
      </c>
      <c r="Y27" s="93"/>
      <c r="Z27" s="94"/>
      <c r="AA27" s="92" t="s">
        <v>178</v>
      </c>
      <c r="AB27" s="93"/>
      <c r="AC27" s="94"/>
      <c r="AD27" s="92" t="s">
        <v>179</v>
      </c>
      <c r="AE27" s="93"/>
      <c r="AF27" s="94"/>
      <c r="AG27" s="92" t="s">
        <v>180</v>
      </c>
      <c r="AH27" s="93"/>
      <c r="AI27" s="94"/>
      <c r="AJ27" s="92" t="s">
        <v>181</v>
      </c>
      <c r="AK27" s="93"/>
      <c r="AL27" s="94"/>
      <c r="AM27" s="92" t="s">
        <v>182</v>
      </c>
      <c r="AN27" s="93"/>
      <c r="AO27" s="94"/>
      <c r="AP27" s="92" t="s">
        <v>183</v>
      </c>
      <c r="AQ27" s="93"/>
      <c r="AR27" s="94"/>
      <c r="AS27" s="92" t="s">
        <v>184</v>
      </c>
      <c r="AT27" s="93"/>
      <c r="AU27" s="94"/>
      <c r="AV27" s="92">
        <v>22</v>
      </c>
      <c r="AW27" s="93"/>
      <c r="AX27" s="94"/>
      <c r="AZ27" s="4"/>
      <c r="BE27" s="27"/>
    </row>
    <row r="28" spans="1:67" s="46" customFormat="1" ht="9" customHeight="1" thickBot="1" x14ac:dyDescent="0.3">
      <c r="D28" s="6"/>
      <c r="E28" s="6"/>
      <c r="F28" s="6"/>
      <c r="G28" s="6"/>
      <c r="H28" s="6"/>
      <c r="K28" s="44"/>
      <c r="L28" s="57">
        <f>_xlfn.XLOOKUP(L27,PFVar!$I$35:$FU$35,PFVar!$I$40:$FU$40)</f>
        <v>1</v>
      </c>
      <c r="M28" s="58">
        <f>_xlfn.XLOOKUP(L27,PFVar!$I$35:$FU$35,PFVar!$I$37:$FU$37)</f>
        <v>0</v>
      </c>
      <c r="N28" s="59">
        <f>_xlfn.XLOOKUP(L27,PFVar!$I$35:$FU$35,PFVar!$I$38:$FU$38)</f>
        <v>0</v>
      </c>
      <c r="O28" s="57">
        <f>_xlfn.XLOOKUP(O27,PFVar!$I$35:$FU$35,PFVar!$I$40:$FU$40)</f>
        <v>0</v>
      </c>
      <c r="P28" s="58">
        <f>_xlfn.XLOOKUP(O27,PFVar!$I$35:$FU$35,PFVar!$I$37:$FU$37)</f>
        <v>0</v>
      </c>
      <c r="Q28" s="59">
        <f>_xlfn.XLOOKUP(O27,PFVar!$I$35:$FU$35,PFVar!$I$38:$FU$38)</f>
        <v>0</v>
      </c>
      <c r="R28" s="57">
        <f>_xlfn.XLOOKUP(R27,PFVar!$I$35:$FU$35,PFVar!$I$40:$FU$40)</f>
        <v>0</v>
      </c>
      <c r="S28" s="58">
        <f>_xlfn.XLOOKUP(R27,PFVar!$I$35:$FU$35,PFVar!$I$37:$FU$37)</f>
        <v>0</v>
      </c>
      <c r="T28" s="59">
        <f>_xlfn.XLOOKUP(R27,PFVar!$I$35:$FU$35,PFVar!$I$38:$FU$38)</f>
        <v>0</v>
      </c>
      <c r="U28" s="57">
        <f>_xlfn.XLOOKUP(U27,PFVar!$I$35:$FU$35,PFVar!$I$40:$FU$40)</f>
        <v>0</v>
      </c>
      <c r="V28" s="58">
        <f>_xlfn.XLOOKUP(U27,PFVar!$I$35:$FU$35,PFVar!$I$37:$FU$37)</f>
        <v>0</v>
      </c>
      <c r="W28" s="59">
        <f>_xlfn.XLOOKUP(U27,PFVar!$I$35:$FU$35,PFVar!$I$38:$FU$38)</f>
        <v>0</v>
      </c>
      <c r="X28" s="57">
        <f>_xlfn.XLOOKUP(X27,PFVar!$I$35:$FU$35,PFVar!$I$40:$FU$40)</f>
        <v>0</v>
      </c>
      <c r="Y28" s="58">
        <f>_xlfn.XLOOKUP(X27,PFVar!$I$35:$FU$35,PFVar!$I$37:$FU$37)</f>
        <v>0</v>
      </c>
      <c r="Z28" s="59">
        <f>_xlfn.XLOOKUP(X27,PFVar!$I$35:$FU$35,PFVar!$I$38:$FU$38)</f>
        <v>0</v>
      </c>
      <c r="AA28" s="57">
        <f>_xlfn.XLOOKUP(AA27,PFVar!$I$35:$FU$35,PFVar!$I$40:$FU$40)</f>
        <v>0</v>
      </c>
      <c r="AB28" s="58">
        <f>_xlfn.XLOOKUP(AA27,PFVar!$I$35:$FU$35,PFVar!$I$37:$FU$37)</f>
        <v>0</v>
      </c>
      <c r="AC28" s="59">
        <f>_xlfn.XLOOKUP(AA27,PFVar!$I$35:$FU$35,PFVar!$I$38:$FU$38)</f>
        <v>0</v>
      </c>
      <c r="AD28" s="57">
        <f>_xlfn.XLOOKUP(AD27,PFVar!$I$35:$FU$35,PFVar!$I$40:$FU$40)</f>
        <v>0</v>
      </c>
      <c r="AE28" s="58">
        <f>_xlfn.XLOOKUP(AD27,PFVar!$I$35:$FU$35,PFVar!$I$37:$FU$37)</f>
        <v>0</v>
      </c>
      <c r="AF28" s="59">
        <f>_xlfn.XLOOKUP(AD27,PFVar!$I$35:$FU$35,PFVar!$I$38:$FU$38)</f>
        <v>0</v>
      </c>
      <c r="AG28" s="57">
        <f>_xlfn.XLOOKUP(AG27,PFVar!$I$35:$FU$35,PFVar!$I$40:$FU$40)</f>
        <v>0</v>
      </c>
      <c r="AH28" s="58">
        <f>_xlfn.XLOOKUP(AG27,PFVar!$I$35:$FU$35,PFVar!$I$37:$FU$37)</f>
        <v>0</v>
      </c>
      <c r="AI28" s="59">
        <f>_xlfn.XLOOKUP(AG27,PFVar!$I$35:$FU$35,PFVar!$I$38:$FU$38)</f>
        <v>0</v>
      </c>
      <c r="AJ28" s="57">
        <f>_xlfn.XLOOKUP(AJ27,PFVar!$I$35:$FU$35,PFVar!$I$40:$FU$40)</f>
        <v>0</v>
      </c>
      <c r="AK28" s="58">
        <f>_xlfn.XLOOKUP(AJ27,PFVar!$I$35:$FU$35,PFVar!$I$37:$FU$37)</f>
        <v>0</v>
      </c>
      <c r="AL28" s="59">
        <f>_xlfn.XLOOKUP(AJ27,PFVar!$I$35:$FU$35,PFVar!$I$38:$FU$38)</f>
        <v>0</v>
      </c>
      <c r="AM28" s="57">
        <f>_xlfn.XLOOKUP(AM27,PFVar!$I$35:$FU$35,PFVar!$I$40:$FU$40)</f>
        <v>0</v>
      </c>
      <c r="AN28" s="58">
        <f>_xlfn.XLOOKUP(AM27,PFVar!$I$35:$FU$35,PFVar!$I$37:$FU$37)</f>
        <v>0</v>
      </c>
      <c r="AO28" s="59">
        <f>_xlfn.XLOOKUP(AM27,PFVar!$I$35:$FU$35,PFVar!$I$38:$FU$38)</f>
        <v>0</v>
      </c>
      <c r="AP28" s="57">
        <f>_xlfn.XLOOKUP(AP27,PFVar!$I$35:$FU$35,PFVar!$I$40:$FU$40)</f>
        <v>0</v>
      </c>
      <c r="AQ28" s="58">
        <f>_xlfn.XLOOKUP(AP27,PFVar!$I$35:$FU$35,PFVar!$I$37:$FU$37)</f>
        <v>0</v>
      </c>
      <c r="AR28" s="59">
        <f>_xlfn.XLOOKUP(AP27,PFVar!$I$35:$FU$35,PFVar!$I$38:$FU$38)</f>
        <v>0</v>
      </c>
      <c r="AS28" s="57">
        <f>_xlfn.XLOOKUP(AS27,PFVar!$I$35:$FU$35,PFVar!$I$40:$FU$40)</f>
        <v>0</v>
      </c>
      <c r="AT28" s="58">
        <f>_xlfn.XLOOKUP(AS27,PFVar!$I$35:$FU$35,PFVar!$I$37:$FU$37)</f>
        <v>0</v>
      </c>
      <c r="AU28" s="59">
        <f>_xlfn.XLOOKUP(AS27,PFVar!$I$35:$FU$35,PFVar!$I$38:$FU$38)</f>
        <v>0</v>
      </c>
      <c r="AV28" s="57">
        <f>_xlfn.XLOOKUP(AV27,PFVar!$I$35:$FU$35,PFVar!$I$40:$FU$40)</f>
        <v>1</v>
      </c>
      <c r="AW28" s="58">
        <f>_xlfn.XLOOKUP(AV27,PFVar!$I$35:$FU$35,PFVar!$I$37:$FU$37)</f>
        <v>0</v>
      </c>
      <c r="AX28" s="59">
        <f>_xlfn.XLOOKUP(AV27,PFVar!$I$35:$FU$35,PFVar!$I$38:$FU$38)</f>
        <v>0</v>
      </c>
    </row>
    <row r="29" spans="1:67" ht="9" customHeight="1" x14ac:dyDescent="0.25">
      <c r="D29" s="78"/>
      <c r="E29" s="15"/>
      <c r="F29" s="15"/>
      <c r="G29" s="6"/>
      <c r="H29" s="6"/>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row>
    <row r="30" spans="1:67" ht="9" customHeight="1" x14ac:dyDescent="0.25">
      <c r="K30" s="44"/>
      <c r="L30" s="44"/>
      <c r="M30" s="44"/>
      <c r="N30" s="44"/>
      <c r="O30" s="44"/>
      <c r="P30" s="44"/>
      <c r="Q30" s="44"/>
      <c r="R30" s="44"/>
      <c r="S30" s="44"/>
      <c r="T30" s="44"/>
      <c r="U30" s="44"/>
      <c r="V30" s="44" t="s">
        <v>229</v>
      </c>
      <c r="W30" s="44"/>
      <c r="X30" s="44"/>
      <c r="Y30" s="44"/>
      <c r="Z30" s="44"/>
      <c r="AA30" s="44"/>
      <c r="AB30" s="44"/>
      <c r="AC30" s="44" t="str">
        <f>PFVar!A18</f>
        <v>None</v>
      </c>
      <c r="AD30" s="44"/>
      <c r="AE30" s="44"/>
      <c r="AF30" s="44"/>
      <c r="AG30" s="44">
        <f>PFVar!B21</f>
        <v>100</v>
      </c>
      <c r="AH30" s="44"/>
      <c r="AI30" s="44"/>
      <c r="AJ30" s="44"/>
      <c r="AK30" s="44"/>
      <c r="AL30" s="44"/>
      <c r="AM30" s="44"/>
      <c r="AN30" s="44"/>
      <c r="AO30" s="44"/>
      <c r="AP30" s="44"/>
      <c r="AQ30" s="44"/>
      <c r="AR30" s="44"/>
      <c r="AS30" s="44"/>
      <c r="AT30" s="44"/>
      <c r="AU30" s="44"/>
      <c r="AV30" s="44"/>
      <c r="AW30" s="44"/>
      <c r="AX30" s="44"/>
    </row>
    <row r="31" spans="1:67" ht="9" customHeight="1" thickBot="1" x14ac:dyDescent="0.3">
      <c r="C31" s="77"/>
      <c r="H31" s="77"/>
      <c r="K31" s="44"/>
      <c r="L31" s="91" t="s">
        <v>0</v>
      </c>
      <c r="M31" s="91"/>
      <c r="N31" s="91"/>
      <c r="O31" s="90" t="s">
        <v>1</v>
      </c>
      <c r="P31" s="90"/>
      <c r="Q31" s="90"/>
      <c r="R31" s="90" t="s">
        <v>2</v>
      </c>
      <c r="S31" s="90"/>
      <c r="T31" s="90"/>
      <c r="U31" s="90" t="s">
        <v>3</v>
      </c>
      <c r="V31" s="90"/>
      <c r="W31" s="90"/>
      <c r="X31" s="90" t="s">
        <v>4</v>
      </c>
      <c r="Y31" s="90"/>
      <c r="Z31" s="90"/>
      <c r="AA31" s="90">
        <v>9</v>
      </c>
      <c r="AB31" s="90"/>
      <c r="AC31" s="90"/>
      <c r="AD31" s="90">
        <v>8</v>
      </c>
      <c r="AE31" s="90"/>
      <c r="AF31" s="90"/>
      <c r="AG31" s="90">
        <v>7</v>
      </c>
      <c r="AH31" s="90"/>
      <c r="AI31" s="90"/>
      <c r="AJ31" s="90">
        <v>6</v>
      </c>
      <c r="AK31" s="90"/>
      <c r="AL31" s="90"/>
      <c r="AM31" s="90">
        <v>5</v>
      </c>
      <c r="AN31" s="90"/>
      <c r="AO31" s="90"/>
      <c r="AP31" s="90">
        <v>4</v>
      </c>
      <c r="AQ31" s="90"/>
      <c r="AR31" s="90"/>
      <c r="AS31" s="90">
        <v>3</v>
      </c>
      <c r="AT31" s="90"/>
      <c r="AU31" s="90"/>
      <c r="AV31" s="90">
        <v>2</v>
      </c>
      <c r="AW31" s="90"/>
      <c r="AX31" s="90"/>
      <c r="BB31" s="44"/>
      <c r="BC31" s="54"/>
      <c r="BD31" s="45"/>
      <c r="BE31" s="45"/>
      <c r="BF31" s="45"/>
      <c r="BG31" s="45"/>
      <c r="BH31" s="45"/>
      <c r="BI31" s="45"/>
      <c r="BJ31" s="45"/>
      <c r="BK31" s="45"/>
      <c r="BL31" s="45"/>
      <c r="BM31" s="45"/>
      <c r="BN31" s="45"/>
      <c r="BO31" s="45"/>
    </row>
    <row r="32" spans="1:67" ht="9" customHeight="1" x14ac:dyDescent="0.25">
      <c r="K32" s="45" t="s">
        <v>0</v>
      </c>
      <c r="L32" s="87" t="s">
        <v>17</v>
      </c>
      <c r="M32" s="88"/>
      <c r="N32" s="89"/>
      <c r="O32" s="87" t="s">
        <v>18</v>
      </c>
      <c r="P32" s="88"/>
      <c r="Q32" s="89"/>
      <c r="R32" s="87" t="s">
        <v>19</v>
      </c>
      <c r="S32" s="88"/>
      <c r="T32" s="89"/>
      <c r="U32" s="87" t="s">
        <v>20</v>
      </c>
      <c r="V32" s="88"/>
      <c r="W32" s="89"/>
      <c r="X32" s="87" t="s">
        <v>21</v>
      </c>
      <c r="Y32" s="88"/>
      <c r="Z32" s="89"/>
      <c r="AA32" s="87" t="s">
        <v>22</v>
      </c>
      <c r="AB32" s="88"/>
      <c r="AC32" s="89"/>
      <c r="AD32" s="87" t="s">
        <v>23</v>
      </c>
      <c r="AE32" s="88"/>
      <c r="AF32" s="89"/>
      <c r="AG32" s="87" t="s">
        <v>24</v>
      </c>
      <c r="AH32" s="88"/>
      <c r="AI32" s="89"/>
      <c r="AJ32" s="87" t="s">
        <v>25</v>
      </c>
      <c r="AK32" s="88"/>
      <c r="AL32" s="89"/>
      <c r="AM32" s="87" t="s">
        <v>26</v>
      </c>
      <c r="AN32" s="88"/>
      <c r="AO32" s="89"/>
      <c r="AP32" s="87" t="s">
        <v>27</v>
      </c>
      <c r="AQ32" s="88"/>
      <c r="AR32" s="89"/>
      <c r="AS32" s="87" t="s">
        <v>28</v>
      </c>
      <c r="AT32" s="88"/>
      <c r="AU32" s="89"/>
      <c r="AV32" s="87" t="s">
        <v>29</v>
      </c>
      <c r="AW32" s="88"/>
      <c r="AX32" s="89"/>
      <c r="BB32" s="45"/>
      <c r="BC32" s="107" t="s">
        <v>17</v>
      </c>
      <c r="BD32" s="107" t="s">
        <v>18</v>
      </c>
      <c r="BE32" s="107" t="s">
        <v>19</v>
      </c>
      <c r="BF32" s="107" t="s">
        <v>20</v>
      </c>
      <c r="BG32" s="107" t="s">
        <v>21</v>
      </c>
      <c r="BH32" s="107" t="s">
        <v>22</v>
      </c>
      <c r="BI32" s="107" t="s">
        <v>23</v>
      </c>
      <c r="BJ32" s="107" t="s">
        <v>24</v>
      </c>
      <c r="BK32" s="107" t="s">
        <v>25</v>
      </c>
      <c r="BL32" s="107" t="s">
        <v>26</v>
      </c>
      <c r="BM32" s="107" t="s">
        <v>27</v>
      </c>
      <c r="BN32" s="105" t="s">
        <v>28</v>
      </c>
      <c r="BO32" s="105" t="s">
        <v>29</v>
      </c>
    </row>
    <row r="33" spans="2:67" ht="9" customHeight="1" thickBot="1" x14ac:dyDescent="0.3">
      <c r="K33" s="45"/>
      <c r="L33" s="57">
        <f>_xlfn.XLOOKUP(L32,PFVar!$I$35:$FU$35,PFVar!$I$47:$FU$47)</f>
        <v>0</v>
      </c>
      <c r="M33" s="58">
        <f>_xlfn.XLOOKUP(L32,PFVar!$I$35:$FU$35,PFVar!$I$44:$FU$44)</f>
        <v>0</v>
      </c>
      <c r="N33" s="59">
        <f>_xlfn.XLOOKUP(L32,PFVar!$I$35:$FU$35,PFVar!$I$45:$FU$45)</f>
        <v>0</v>
      </c>
      <c r="O33" s="57">
        <f>_xlfn.XLOOKUP(O32,PFVar!$I$35:$FU$35,PFVar!$I$47:$FU$47)</f>
        <v>0</v>
      </c>
      <c r="P33" s="58">
        <f>_xlfn.XLOOKUP(O32,PFVar!$I$35:$FU$35,PFVar!$I$44:$FU$44)</f>
        <v>0</v>
      </c>
      <c r="Q33" s="59">
        <f>_xlfn.XLOOKUP(O32,PFVar!$I$35:$FU$35,PFVar!$I$45:$FU$45)</f>
        <v>0</v>
      </c>
      <c r="R33" s="57">
        <f>_xlfn.XLOOKUP(R32,PFVar!$I$35:$FU$35,PFVar!$I$47:$FU$47)</f>
        <v>0</v>
      </c>
      <c r="S33" s="58">
        <f>_xlfn.XLOOKUP(R32,PFVar!$I$35:$FU$35,PFVar!$I$44:$FU$44)</f>
        <v>0</v>
      </c>
      <c r="T33" s="59">
        <f>_xlfn.XLOOKUP(R32,PFVar!$I$35:$FU$35,PFVar!$I$45:$FU$45)</f>
        <v>0</v>
      </c>
      <c r="U33" s="57">
        <f>_xlfn.XLOOKUP(U32,PFVar!$I$35:$FU$35,PFVar!$I$47:$FU$47)</f>
        <v>0</v>
      </c>
      <c r="V33" s="58">
        <f>_xlfn.XLOOKUP(U32,PFVar!$I$35:$FU$35,PFVar!$I$44:$FU$44)</f>
        <v>0</v>
      </c>
      <c r="W33" s="59">
        <f>_xlfn.XLOOKUP(U32,PFVar!$I$35:$FU$35,PFVar!$I$45:$FU$45)</f>
        <v>0</v>
      </c>
      <c r="X33" s="57">
        <f>_xlfn.XLOOKUP(X32,PFVar!$I$35:$FU$35,PFVar!$I$47:$FU$47)</f>
        <v>0</v>
      </c>
      <c r="Y33" s="58">
        <f>_xlfn.XLOOKUP(X32,PFVar!$I$35:$FU$35,PFVar!$I$44:$FU$44)</f>
        <v>0</v>
      </c>
      <c r="Z33" s="59">
        <f>_xlfn.XLOOKUP(X32,PFVar!$I$35:$FU$35,PFVar!$I$45:$FU$45)</f>
        <v>0</v>
      </c>
      <c r="AA33" s="57">
        <f>_xlfn.XLOOKUP(AA32,PFVar!$I$35:$FU$35,PFVar!$I$47:$FU$47)</f>
        <v>0</v>
      </c>
      <c r="AB33" s="58">
        <f>_xlfn.XLOOKUP(AA32,PFVar!$I$35:$FU$35,PFVar!$I$44:$FU$44)</f>
        <v>0</v>
      </c>
      <c r="AC33" s="59">
        <f>_xlfn.XLOOKUP(AA32,PFVar!$I$35:$FU$35,PFVar!$I$45:$FU$45)</f>
        <v>0</v>
      </c>
      <c r="AD33" s="57">
        <f>_xlfn.XLOOKUP(AD32,PFVar!$I$35:$FU$35,PFVar!$I$47:$FU$47)</f>
        <v>0</v>
      </c>
      <c r="AE33" s="58">
        <f>_xlfn.XLOOKUP(AD32,PFVar!$I$35:$FU$35,PFVar!$I$44:$FU$44)</f>
        <v>0</v>
      </c>
      <c r="AF33" s="59">
        <f>_xlfn.XLOOKUP(AD32,PFVar!$I$35:$FU$35,PFVar!$I$45:$FU$45)</f>
        <v>0</v>
      </c>
      <c r="AG33" s="57">
        <f>_xlfn.XLOOKUP(AG32,PFVar!$I$35:$FU$35,PFVar!$I$47:$FU$47)</f>
        <v>0</v>
      </c>
      <c r="AH33" s="58">
        <f>_xlfn.XLOOKUP(AG32,PFVar!$I$35:$FU$35,PFVar!$I$44:$FU$44)</f>
        <v>0</v>
      </c>
      <c r="AI33" s="59">
        <f>_xlfn.XLOOKUP(AG32,PFVar!$I$35:$FU$35,PFVar!$I$45:$FU$45)</f>
        <v>0</v>
      </c>
      <c r="AJ33" s="57">
        <f>_xlfn.XLOOKUP(AJ32,PFVar!$I$35:$FU$35,PFVar!$I$47:$FU$47)</f>
        <v>0</v>
      </c>
      <c r="AK33" s="58">
        <f>_xlfn.XLOOKUP(AJ32,PFVar!$I$35:$FU$35,PFVar!$I$44:$FU$44)</f>
        <v>0</v>
      </c>
      <c r="AL33" s="59">
        <f>_xlfn.XLOOKUP(AJ32,PFVar!$I$35:$FU$35,PFVar!$I$45:$FU$45)</f>
        <v>0</v>
      </c>
      <c r="AM33" s="57">
        <f>_xlfn.XLOOKUP(AM32,PFVar!$I$35:$FU$35,PFVar!$I$47:$FU$47)</f>
        <v>0</v>
      </c>
      <c r="AN33" s="58">
        <f>_xlfn.XLOOKUP(AM32,PFVar!$I$35:$FU$35,PFVar!$I$44:$FU$44)</f>
        <v>0</v>
      </c>
      <c r="AO33" s="59">
        <f>_xlfn.XLOOKUP(AM32,PFVar!$I$35:$FU$35,PFVar!$I$45:$FU$45)</f>
        <v>0</v>
      </c>
      <c r="AP33" s="57">
        <f>_xlfn.XLOOKUP(AP32,PFVar!$I$35:$FU$35,PFVar!$I$47:$FU$47)</f>
        <v>0</v>
      </c>
      <c r="AQ33" s="58">
        <f>_xlfn.XLOOKUP(AP32,PFVar!$I$35:$FU$35,PFVar!$I$44:$FU$44)</f>
        <v>0</v>
      </c>
      <c r="AR33" s="59">
        <f>_xlfn.XLOOKUP(AP32,PFVar!$I$35:$FU$35,PFVar!$I$45:$FU$45)</f>
        <v>0</v>
      </c>
      <c r="AS33" s="57">
        <f>_xlfn.XLOOKUP(AS32,PFVar!$I$35:$FU$35,PFVar!$I$47:$FU$47)</f>
        <v>0</v>
      </c>
      <c r="AT33" s="58">
        <f>_xlfn.XLOOKUP(AS32,PFVar!$I$35:$FU$35,PFVar!$I$44:$FU$44)</f>
        <v>0</v>
      </c>
      <c r="AU33" s="59">
        <f>_xlfn.XLOOKUP(AS32,PFVar!$I$35:$FU$35,PFVar!$I$45:$FU$45)</f>
        <v>0</v>
      </c>
      <c r="AV33" s="57">
        <f>_xlfn.XLOOKUP(AV32,PFVar!$I$35:$FU$35,PFVar!$I$47:$FU$47)</f>
        <v>0</v>
      </c>
      <c r="AW33" s="58">
        <f>_xlfn.XLOOKUP(AV32,PFVar!$I$35:$FU$35,PFVar!$I$44:$FU$44)</f>
        <v>0</v>
      </c>
      <c r="AX33" s="59">
        <f>_xlfn.XLOOKUP(AV32,PFVar!$I$35:$FU$35,PFVar!$I$45:$FU$45)</f>
        <v>0</v>
      </c>
      <c r="BB33" s="45"/>
      <c r="BC33" s="106"/>
      <c r="BD33" s="106"/>
      <c r="BE33" s="106"/>
      <c r="BF33" s="106"/>
      <c r="BG33" s="106"/>
      <c r="BH33" s="106"/>
      <c r="BI33" s="106"/>
      <c r="BJ33" s="106"/>
      <c r="BK33" s="106"/>
      <c r="BL33" s="106"/>
      <c r="BM33" s="106"/>
      <c r="BN33" s="106"/>
      <c r="BO33" s="106"/>
    </row>
    <row r="34" spans="2:67" ht="9" customHeight="1" x14ac:dyDescent="0.25">
      <c r="K34" s="45" t="s">
        <v>1</v>
      </c>
      <c r="L34" s="87" t="s">
        <v>30</v>
      </c>
      <c r="M34" s="88"/>
      <c r="N34" s="89"/>
      <c r="O34" s="87" t="s">
        <v>31</v>
      </c>
      <c r="P34" s="88"/>
      <c r="Q34" s="89"/>
      <c r="R34" s="87" t="s">
        <v>32</v>
      </c>
      <c r="S34" s="88"/>
      <c r="T34" s="89"/>
      <c r="U34" s="87" t="s">
        <v>33</v>
      </c>
      <c r="V34" s="88"/>
      <c r="W34" s="89"/>
      <c r="X34" s="87" t="s">
        <v>34</v>
      </c>
      <c r="Y34" s="88"/>
      <c r="Z34" s="89"/>
      <c r="AA34" s="87" t="s">
        <v>35</v>
      </c>
      <c r="AB34" s="88"/>
      <c r="AC34" s="89"/>
      <c r="AD34" s="87" t="s">
        <v>36</v>
      </c>
      <c r="AE34" s="88"/>
      <c r="AF34" s="89"/>
      <c r="AG34" s="87" t="s">
        <v>37</v>
      </c>
      <c r="AH34" s="88"/>
      <c r="AI34" s="89"/>
      <c r="AJ34" s="87" t="s">
        <v>38</v>
      </c>
      <c r="AK34" s="88"/>
      <c r="AL34" s="89"/>
      <c r="AM34" s="87" t="s">
        <v>39</v>
      </c>
      <c r="AN34" s="88"/>
      <c r="AO34" s="89"/>
      <c r="AP34" s="87" t="s">
        <v>40</v>
      </c>
      <c r="AQ34" s="88"/>
      <c r="AR34" s="89"/>
      <c r="AS34" s="87" t="s">
        <v>41</v>
      </c>
      <c r="AT34" s="88"/>
      <c r="AU34" s="89"/>
      <c r="AV34" s="87" t="s">
        <v>42</v>
      </c>
      <c r="AW34" s="88"/>
      <c r="AX34" s="89"/>
      <c r="BB34" s="45"/>
      <c r="BC34" s="107" t="s">
        <v>30</v>
      </c>
      <c r="BD34" s="107" t="s">
        <v>31</v>
      </c>
      <c r="BE34" s="107" t="s">
        <v>32</v>
      </c>
      <c r="BF34" s="107" t="s">
        <v>33</v>
      </c>
      <c r="BG34" s="107" t="s">
        <v>34</v>
      </c>
      <c r="BH34" s="107" t="s">
        <v>35</v>
      </c>
      <c r="BI34" s="105" t="s">
        <v>36</v>
      </c>
      <c r="BJ34" s="105" t="s">
        <v>37</v>
      </c>
      <c r="BK34" s="105" t="s">
        <v>38</v>
      </c>
      <c r="BL34" s="105" t="s">
        <v>39</v>
      </c>
      <c r="BM34" s="105" t="s">
        <v>40</v>
      </c>
      <c r="BN34" s="105" t="s">
        <v>41</v>
      </c>
      <c r="BO34" s="105" t="s">
        <v>42</v>
      </c>
    </row>
    <row r="35" spans="2:67" ht="9" customHeight="1" thickBot="1" x14ac:dyDescent="0.3">
      <c r="K35" s="45"/>
      <c r="L35" s="57">
        <f>_xlfn.XLOOKUP(L34,PFVar!$I$35:$FU$35,PFVar!$I$47:$FU$47)</f>
        <v>0</v>
      </c>
      <c r="M35" s="58">
        <f>_xlfn.XLOOKUP(L34,PFVar!$I$35:$FU$35,PFVar!$I$44:$FU$44)</f>
        <v>0</v>
      </c>
      <c r="N35" s="59">
        <f>_xlfn.XLOOKUP(L34,PFVar!$I$35:$FU$35,PFVar!$I$45:$FU$45)</f>
        <v>0</v>
      </c>
      <c r="O35" s="57">
        <f>_xlfn.XLOOKUP(O34,PFVar!$I$35:$FU$35,PFVar!$I$47:$FU$47)</f>
        <v>0</v>
      </c>
      <c r="P35" s="58">
        <f>_xlfn.XLOOKUP(O34,PFVar!$I$35:$FU$35,PFVar!$I$44:$FU$44)</f>
        <v>0</v>
      </c>
      <c r="Q35" s="59">
        <f>_xlfn.XLOOKUP(O34,PFVar!$I$35:$FU$35,PFVar!$I$45:$FU$45)</f>
        <v>0</v>
      </c>
      <c r="R35" s="57">
        <f>_xlfn.XLOOKUP(R34,PFVar!$I$35:$FU$35,PFVar!$I$47:$FU$47)</f>
        <v>0</v>
      </c>
      <c r="S35" s="58">
        <f>_xlfn.XLOOKUP(R34,PFVar!$I$35:$FU$35,PFVar!$I$44:$FU$44)</f>
        <v>0</v>
      </c>
      <c r="T35" s="59">
        <f>_xlfn.XLOOKUP(R34,PFVar!$I$35:$FU$35,PFVar!$I$45:$FU$45)</f>
        <v>0</v>
      </c>
      <c r="U35" s="57">
        <f>_xlfn.XLOOKUP(U34,PFVar!$I$35:$FU$35,PFVar!$I$47:$FU$47)</f>
        <v>0</v>
      </c>
      <c r="V35" s="58">
        <f>_xlfn.XLOOKUP(U34,PFVar!$I$35:$FU$35,PFVar!$I$44:$FU$44)</f>
        <v>0</v>
      </c>
      <c r="W35" s="59">
        <f>_xlfn.XLOOKUP(U34,PFVar!$I$35:$FU$35,PFVar!$I$45:$FU$45)</f>
        <v>0</v>
      </c>
      <c r="X35" s="57">
        <f>_xlfn.XLOOKUP(X34,PFVar!$I$35:$FU$35,PFVar!$I$47:$FU$47)</f>
        <v>0</v>
      </c>
      <c r="Y35" s="58">
        <f>_xlfn.XLOOKUP(X34,PFVar!$I$35:$FU$35,PFVar!$I$44:$FU$44)</f>
        <v>0</v>
      </c>
      <c r="Z35" s="59">
        <f>_xlfn.XLOOKUP(X34,PFVar!$I$35:$FU$35,PFVar!$I$45:$FU$45)</f>
        <v>0</v>
      </c>
      <c r="AA35" s="57">
        <f>_xlfn.XLOOKUP(AA34,PFVar!$I$35:$FU$35,PFVar!$I$47:$FU$47)</f>
        <v>0</v>
      </c>
      <c r="AB35" s="58">
        <f>_xlfn.XLOOKUP(AA34,PFVar!$I$35:$FU$35,PFVar!$I$44:$FU$44)</f>
        <v>0</v>
      </c>
      <c r="AC35" s="59">
        <f>_xlfn.XLOOKUP(AA34,PFVar!$I$35:$FU$35,PFVar!$I$45:$FU$45)</f>
        <v>0</v>
      </c>
      <c r="AD35" s="57">
        <f>_xlfn.XLOOKUP(AD34,PFVar!$I$35:$FU$35,PFVar!$I$47:$FU$47)</f>
        <v>0</v>
      </c>
      <c r="AE35" s="58">
        <f>_xlfn.XLOOKUP(AD34,PFVar!$I$35:$FU$35,PFVar!$I$44:$FU$44)</f>
        <v>0</v>
      </c>
      <c r="AF35" s="59">
        <f>_xlfn.XLOOKUP(AD34,PFVar!$I$35:$FU$35,PFVar!$I$45:$FU$45)</f>
        <v>0</v>
      </c>
      <c r="AG35" s="57">
        <f>_xlfn.XLOOKUP(AG34,PFVar!$I$35:$FU$35,PFVar!$I$47:$FU$47)</f>
        <v>0</v>
      </c>
      <c r="AH35" s="58">
        <f>_xlfn.XLOOKUP(AG34,PFVar!$I$35:$FU$35,PFVar!$I$44:$FU$44)</f>
        <v>0</v>
      </c>
      <c r="AI35" s="59">
        <f>_xlfn.XLOOKUP(AG34,PFVar!$I$35:$FU$35,PFVar!$I$45:$FU$45)</f>
        <v>0</v>
      </c>
      <c r="AJ35" s="57">
        <f>_xlfn.XLOOKUP(AJ34,PFVar!$I$35:$FU$35,PFVar!$I$47:$FU$47)</f>
        <v>0</v>
      </c>
      <c r="AK35" s="58">
        <f>_xlfn.XLOOKUP(AJ34,PFVar!$I$35:$FU$35,PFVar!$I$44:$FU$44)</f>
        <v>0</v>
      </c>
      <c r="AL35" s="59">
        <f>_xlfn.XLOOKUP(AJ34,PFVar!$I$35:$FU$35,PFVar!$I$45:$FU$45)</f>
        <v>0</v>
      </c>
      <c r="AM35" s="57">
        <f>_xlfn.XLOOKUP(AM34,PFVar!$I$35:$FU$35,PFVar!$I$47:$FU$47)</f>
        <v>0</v>
      </c>
      <c r="AN35" s="58">
        <f>_xlfn.XLOOKUP(AM34,PFVar!$I$35:$FU$35,PFVar!$I$44:$FU$44)</f>
        <v>0</v>
      </c>
      <c r="AO35" s="59">
        <f>_xlfn.XLOOKUP(AM34,PFVar!$I$35:$FU$35,PFVar!$I$45:$FU$45)</f>
        <v>0</v>
      </c>
      <c r="AP35" s="57">
        <f>_xlfn.XLOOKUP(AP34,PFVar!$I$35:$FU$35,PFVar!$I$47:$FU$47)</f>
        <v>0</v>
      </c>
      <c r="AQ35" s="58">
        <f>_xlfn.XLOOKUP(AP34,PFVar!$I$35:$FU$35,PFVar!$I$44:$FU$44)</f>
        <v>0</v>
      </c>
      <c r="AR35" s="59">
        <f>_xlfn.XLOOKUP(AP34,PFVar!$I$35:$FU$35,PFVar!$I$45:$FU$45)</f>
        <v>0</v>
      </c>
      <c r="AS35" s="57">
        <f>_xlfn.XLOOKUP(AS34,PFVar!$I$35:$FU$35,PFVar!$I$47:$FU$47)</f>
        <v>0</v>
      </c>
      <c r="AT35" s="58">
        <f>_xlfn.XLOOKUP(AS34,PFVar!$I$35:$FU$35,PFVar!$I$44:$FU$44)</f>
        <v>0</v>
      </c>
      <c r="AU35" s="59">
        <f>_xlfn.XLOOKUP(AS34,PFVar!$I$35:$FU$35,PFVar!$I$45:$FU$45)</f>
        <v>0</v>
      </c>
      <c r="AV35" s="57">
        <f>_xlfn.XLOOKUP(AV34,PFVar!$I$35:$FU$35,PFVar!$I$47:$FU$47)</f>
        <v>0</v>
      </c>
      <c r="AW35" s="58">
        <f>_xlfn.XLOOKUP(AV34,PFVar!$I$35:$FU$35,PFVar!$I$44:$FU$44)</f>
        <v>0</v>
      </c>
      <c r="AX35" s="59">
        <f>_xlfn.XLOOKUP(AV34,PFVar!$I$35:$FU$35,PFVar!$I$45:$FU$45)</f>
        <v>0</v>
      </c>
      <c r="BB35" s="45"/>
      <c r="BC35" s="106"/>
      <c r="BD35" s="106"/>
      <c r="BE35" s="106"/>
      <c r="BF35" s="108"/>
      <c r="BG35" s="108"/>
      <c r="BH35" s="106"/>
      <c r="BI35" s="106"/>
      <c r="BJ35" s="106"/>
      <c r="BK35" s="106"/>
      <c r="BL35" s="106"/>
      <c r="BM35" s="106"/>
      <c r="BN35" s="106"/>
      <c r="BO35" s="106"/>
    </row>
    <row r="36" spans="2:67" ht="9" customHeight="1" x14ac:dyDescent="0.25">
      <c r="B36" s="77"/>
      <c r="K36" s="45" t="s">
        <v>2</v>
      </c>
      <c r="L36" s="87" t="s">
        <v>43</v>
      </c>
      <c r="M36" s="88"/>
      <c r="N36" s="89"/>
      <c r="O36" s="87" t="s">
        <v>44</v>
      </c>
      <c r="P36" s="88"/>
      <c r="Q36" s="89"/>
      <c r="R36" s="87" t="s">
        <v>45</v>
      </c>
      <c r="S36" s="88"/>
      <c r="T36" s="89"/>
      <c r="U36" s="87" t="s">
        <v>46</v>
      </c>
      <c r="V36" s="88"/>
      <c r="W36" s="89"/>
      <c r="X36" s="87" t="s">
        <v>47</v>
      </c>
      <c r="Y36" s="88"/>
      <c r="Z36" s="89"/>
      <c r="AA36" s="87" t="s">
        <v>48</v>
      </c>
      <c r="AB36" s="88"/>
      <c r="AC36" s="89"/>
      <c r="AD36" s="87" t="s">
        <v>49</v>
      </c>
      <c r="AE36" s="88"/>
      <c r="AF36" s="89"/>
      <c r="AG36" s="87" t="s">
        <v>50</v>
      </c>
      <c r="AH36" s="88"/>
      <c r="AI36" s="89"/>
      <c r="AJ36" s="87" t="s">
        <v>51</v>
      </c>
      <c r="AK36" s="88"/>
      <c r="AL36" s="89"/>
      <c r="AM36" s="87" t="s">
        <v>52</v>
      </c>
      <c r="AN36" s="88"/>
      <c r="AO36" s="89"/>
      <c r="AP36" s="87" t="s">
        <v>53</v>
      </c>
      <c r="AQ36" s="88"/>
      <c r="AR36" s="89"/>
      <c r="AS36" s="87" t="s">
        <v>54</v>
      </c>
      <c r="AT36" s="88"/>
      <c r="AU36" s="89"/>
      <c r="AV36" s="87" t="s">
        <v>55</v>
      </c>
      <c r="AW36" s="88"/>
      <c r="AX36" s="89"/>
      <c r="BB36" s="45"/>
      <c r="BC36" s="107" t="s">
        <v>43</v>
      </c>
      <c r="BD36" s="107" t="s">
        <v>44</v>
      </c>
      <c r="BE36" s="107" t="s">
        <v>45</v>
      </c>
      <c r="BF36" s="107" t="s">
        <v>46</v>
      </c>
      <c r="BG36" s="107" t="s">
        <v>47</v>
      </c>
      <c r="BH36" s="107" t="s">
        <v>48</v>
      </c>
      <c r="BI36" s="105" t="s">
        <v>49</v>
      </c>
      <c r="BJ36" s="105" t="s">
        <v>50</v>
      </c>
      <c r="BK36" s="105" t="s">
        <v>51</v>
      </c>
      <c r="BL36" s="105" t="s">
        <v>52</v>
      </c>
      <c r="BM36" s="105" t="s">
        <v>53</v>
      </c>
      <c r="BN36" s="105" t="s">
        <v>54</v>
      </c>
      <c r="BO36" s="105" t="s">
        <v>55</v>
      </c>
    </row>
    <row r="37" spans="2:67" ht="9" customHeight="1" thickBot="1" x14ac:dyDescent="0.3">
      <c r="K37" s="45"/>
      <c r="L37" s="57">
        <f>_xlfn.XLOOKUP(L36,PFVar!$I$35:$FU$35,PFVar!$I$47:$FU$47)</f>
        <v>0</v>
      </c>
      <c r="M37" s="58">
        <f>_xlfn.XLOOKUP(L36,PFVar!$I$35:$FU$35,PFVar!$I$44:$FU$44)</f>
        <v>0</v>
      </c>
      <c r="N37" s="59">
        <f>_xlfn.XLOOKUP(L36,PFVar!$I$35:$FU$35,PFVar!$I$45:$FU$45)</f>
        <v>0</v>
      </c>
      <c r="O37" s="57">
        <f>_xlfn.XLOOKUP(O36,PFVar!$I$35:$FU$35,PFVar!$I$47:$FU$47)</f>
        <v>0</v>
      </c>
      <c r="P37" s="58">
        <f>_xlfn.XLOOKUP(O36,PFVar!$I$35:$FU$35,PFVar!$I$44:$FU$44)</f>
        <v>0</v>
      </c>
      <c r="Q37" s="59">
        <f>_xlfn.XLOOKUP(O36,PFVar!$I$35:$FU$35,PFVar!$I$45:$FU$45)</f>
        <v>0</v>
      </c>
      <c r="R37" s="57">
        <f>_xlfn.XLOOKUP(R36,PFVar!$I$35:$FU$35,PFVar!$I$47:$FU$47)</f>
        <v>0</v>
      </c>
      <c r="S37" s="58">
        <f>_xlfn.XLOOKUP(R36,PFVar!$I$35:$FU$35,PFVar!$I$44:$FU$44)</f>
        <v>0</v>
      </c>
      <c r="T37" s="59">
        <f>_xlfn.XLOOKUP(R36,PFVar!$I$35:$FU$35,PFVar!$I$45:$FU$45)</f>
        <v>0</v>
      </c>
      <c r="U37" s="57">
        <f>_xlfn.XLOOKUP(U36,PFVar!$I$35:$FU$35,PFVar!$I$47:$FU$47)</f>
        <v>0</v>
      </c>
      <c r="V37" s="58">
        <f>_xlfn.XLOOKUP(U36,PFVar!$I$35:$FU$35,PFVar!$I$44:$FU$44)</f>
        <v>0</v>
      </c>
      <c r="W37" s="59">
        <f>_xlfn.XLOOKUP(U36,PFVar!$I$35:$FU$35,PFVar!$I$45:$FU$45)</f>
        <v>0</v>
      </c>
      <c r="X37" s="57">
        <f>_xlfn.XLOOKUP(X36,PFVar!$I$35:$FU$35,PFVar!$I$47:$FU$47)</f>
        <v>0</v>
      </c>
      <c r="Y37" s="58">
        <f>_xlfn.XLOOKUP(X36,PFVar!$I$35:$FU$35,PFVar!$I$44:$FU$44)</f>
        <v>0</v>
      </c>
      <c r="Z37" s="59">
        <f>_xlfn.XLOOKUP(X36,PFVar!$I$35:$FU$35,PFVar!$I$45:$FU$45)</f>
        <v>0</v>
      </c>
      <c r="AA37" s="57">
        <f>_xlfn.XLOOKUP(AA36,PFVar!$I$35:$FU$35,PFVar!$I$47:$FU$47)</f>
        <v>0</v>
      </c>
      <c r="AB37" s="58">
        <f>_xlfn.XLOOKUP(AA36,PFVar!$I$35:$FU$35,PFVar!$I$44:$FU$44)</f>
        <v>0</v>
      </c>
      <c r="AC37" s="59">
        <f>_xlfn.XLOOKUP(AA36,PFVar!$I$35:$FU$35,PFVar!$I$45:$FU$45)</f>
        <v>0</v>
      </c>
      <c r="AD37" s="57">
        <f>_xlfn.XLOOKUP(AD36,PFVar!$I$35:$FU$35,PFVar!$I$47:$FU$47)</f>
        <v>0</v>
      </c>
      <c r="AE37" s="58">
        <f>_xlfn.XLOOKUP(AD36,PFVar!$I$35:$FU$35,PFVar!$I$44:$FU$44)</f>
        <v>0</v>
      </c>
      <c r="AF37" s="59">
        <f>_xlfn.XLOOKUP(AD36,PFVar!$I$35:$FU$35,PFVar!$I$45:$FU$45)</f>
        <v>0</v>
      </c>
      <c r="AG37" s="57">
        <f>_xlfn.XLOOKUP(AG36,PFVar!$I$35:$FU$35,PFVar!$I$47:$FU$47)</f>
        <v>0</v>
      </c>
      <c r="AH37" s="58">
        <f>_xlfn.XLOOKUP(AG36,PFVar!$I$35:$FU$35,PFVar!$I$44:$FU$44)</f>
        <v>0</v>
      </c>
      <c r="AI37" s="59">
        <f>_xlfn.XLOOKUP(AG36,PFVar!$I$35:$FU$35,PFVar!$I$45:$FU$45)</f>
        <v>0</v>
      </c>
      <c r="AJ37" s="57">
        <f>_xlfn.XLOOKUP(AJ36,PFVar!$I$35:$FU$35,PFVar!$I$47:$FU$47)</f>
        <v>0</v>
      </c>
      <c r="AK37" s="58">
        <f>_xlfn.XLOOKUP(AJ36,PFVar!$I$35:$FU$35,PFVar!$I$44:$FU$44)</f>
        <v>0</v>
      </c>
      <c r="AL37" s="59">
        <f>_xlfn.XLOOKUP(AJ36,PFVar!$I$35:$FU$35,PFVar!$I$45:$FU$45)</f>
        <v>0</v>
      </c>
      <c r="AM37" s="57">
        <f>_xlfn.XLOOKUP(AM36,PFVar!$I$35:$FU$35,PFVar!$I$47:$FU$47)</f>
        <v>0</v>
      </c>
      <c r="AN37" s="58">
        <f>_xlfn.XLOOKUP(AM36,PFVar!$I$35:$FU$35,PFVar!$I$44:$FU$44)</f>
        <v>0</v>
      </c>
      <c r="AO37" s="59">
        <f>_xlfn.XLOOKUP(AM36,PFVar!$I$35:$FU$35,PFVar!$I$45:$FU$45)</f>
        <v>0</v>
      </c>
      <c r="AP37" s="57">
        <f>_xlfn.XLOOKUP(AP36,PFVar!$I$35:$FU$35,PFVar!$I$47:$FU$47)</f>
        <v>0</v>
      </c>
      <c r="AQ37" s="58">
        <f>_xlfn.XLOOKUP(AP36,PFVar!$I$35:$FU$35,PFVar!$I$44:$FU$44)</f>
        <v>0</v>
      </c>
      <c r="AR37" s="59">
        <f>_xlfn.XLOOKUP(AP36,PFVar!$I$35:$FU$35,PFVar!$I$45:$FU$45)</f>
        <v>0</v>
      </c>
      <c r="AS37" s="57">
        <f>_xlfn.XLOOKUP(AS36,PFVar!$I$35:$FU$35,PFVar!$I$47:$FU$47)</f>
        <v>0</v>
      </c>
      <c r="AT37" s="58">
        <f>_xlfn.XLOOKUP(AS36,PFVar!$I$35:$FU$35,PFVar!$I$44:$FU$44)</f>
        <v>0</v>
      </c>
      <c r="AU37" s="59">
        <f>_xlfn.XLOOKUP(AS36,PFVar!$I$35:$FU$35,PFVar!$I$45:$FU$45)</f>
        <v>0</v>
      </c>
      <c r="AV37" s="57">
        <f>_xlfn.XLOOKUP(AV36,PFVar!$I$35:$FU$35,PFVar!$I$47:$FU$47)</f>
        <v>0</v>
      </c>
      <c r="AW37" s="58">
        <f>_xlfn.XLOOKUP(AV36,PFVar!$I$35:$FU$35,PFVar!$I$44:$FU$44)</f>
        <v>0</v>
      </c>
      <c r="AX37" s="59">
        <f>_xlfn.XLOOKUP(AV36,PFVar!$I$35:$FU$35,PFVar!$I$45:$FU$45)</f>
        <v>0</v>
      </c>
      <c r="BB37" s="45"/>
      <c r="BC37" s="106"/>
      <c r="BD37" s="106"/>
      <c r="BE37" s="106"/>
      <c r="BF37" s="108"/>
      <c r="BG37" s="108"/>
      <c r="BH37" s="106"/>
      <c r="BI37" s="106"/>
      <c r="BJ37" s="106"/>
      <c r="BK37" s="106"/>
      <c r="BL37" s="106"/>
      <c r="BM37" s="106"/>
      <c r="BN37" s="106"/>
      <c r="BO37" s="106"/>
    </row>
    <row r="38" spans="2:67" ht="9" customHeight="1" x14ac:dyDescent="0.25">
      <c r="K38" s="45" t="s">
        <v>3</v>
      </c>
      <c r="L38" s="87" t="s">
        <v>56</v>
      </c>
      <c r="M38" s="88"/>
      <c r="N38" s="89"/>
      <c r="O38" s="87" t="s">
        <v>57</v>
      </c>
      <c r="P38" s="88"/>
      <c r="Q38" s="89"/>
      <c r="R38" s="87" t="s">
        <v>58</v>
      </c>
      <c r="S38" s="88"/>
      <c r="T38" s="89"/>
      <c r="U38" s="87" t="s">
        <v>59</v>
      </c>
      <c r="V38" s="88"/>
      <c r="W38" s="89"/>
      <c r="X38" s="87" t="s">
        <v>60</v>
      </c>
      <c r="Y38" s="88"/>
      <c r="Z38" s="89"/>
      <c r="AA38" s="87" t="s">
        <v>61</v>
      </c>
      <c r="AB38" s="88"/>
      <c r="AC38" s="89"/>
      <c r="AD38" s="87" t="s">
        <v>62</v>
      </c>
      <c r="AE38" s="88"/>
      <c r="AF38" s="89"/>
      <c r="AG38" s="87" t="s">
        <v>63</v>
      </c>
      <c r="AH38" s="88"/>
      <c r="AI38" s="89"/>
      <c r="AJ38" s="87" t="s">
        <v>64</v>
      </c>
      <c r="AK38" s="88"/>
      <c r="AL38" s="89"/>
      <c r="AM38" s="87" t="s">
        <v>65</v>
      </c>
      <c r="AN38" s="88"/>
      <c r="AO38" s="89"/>
      <c r="AP38" s="87" t="s">
        <v>66</v>
      </c>
      <c r="AQ38" s="88"/>
      <c r="AR38" s="89"/>
      <c r="AS38" s="87" t="s">
        <v>67</v>
      </c>
      <c r="AT38" s="88"/>
      <c r="AU38" s="89"/>
      <c r="AV38" s="87" t="s">
        <v>68</v>
      </c>
      <c r="AW38" s="88"/>
      <c r="AX38" s="89"/>
      <c r="BB38" s="45"/>
      <c r="BC38" s="107" t="s">
        <v>56</v>
      </c>
      <c r="BD38" s="105" t="s">
        <v>57</v>
      </c>
      <c r="BE38" s="105" t="s">
        <v>58</v>
      </c>
      <c r="BF38" s="107" t="s">
        <v>59</v>
      </c>
      <c r="BG38" s="107" t="s">
        <v>60</v>
      </c>
      <c r="BH38" s="107" t="s">
        <v>61</v>
      </c>
      <c r="BI38" s="105" t="s">
        <v>62</v>
      </c>
      <c r="BJ38" s="105" t="s">
        <v>63</v>
      </c>
      <c r="BK38" s="105" t="s">
        <v>64</v>
      </c>
      <c r="BL38" s="105" t="s">
        <v>65</v>
      </c>
      <c r="BM38" s="105" t="s">
        <v>66</v>
      </c>
      <c r="BN38" s="105" t="s">
        <v>67</v>
      </c>
      <c r="BO38" s="105" t="s">
        <v>68</v>
      </c>
    </row>
    <row r="39" spans="2:67" ht="9" customHeight="1" thickBot="1" x14ac:dyDescent="0.3">
      <c r="K39" s="45"/>
      <c r="L39" s="57">
        <f>_xlfn.XLOOKUP(L38,PFVar!$I$35:$FU$35,PFVar!$I$47:$FU$47)</f>
        <v>0</v>
      </c>
      <c r="M39" s="58">
        <f>_xlfn.XLOOKUP(L38,PFVar!$I$35:$FU$35,PFVar!$I$44:$FU$44)</f>
        <v>0</v>
      </c>
      <c r="N39" s="59">
        <f>_xlfn.XLOOKUP(L38,PFVar!$I$35:$FU$35,PFVar!$I$45:$FU$45)</f>
        <v>0</v>
      </c>
      <c r="O39" s="57">
        <f>_xlfn.XLOOKUP(O38,PFVar!$I$35:$FU$35,PFVar!$I$47:$FU$47)</f>
        <v>0</v>
      </c>
      <c r="P39" s="58">
        <f>_xlfn.XLOOKUP(O38,PFVar!$I$35:$FU$35,PFVar!$I$44:$FU$44)</f>
        <v>0</v>
      </c>
      <c r="Q39" s="59">
        <f>_xlfn.XLOOKUP(O38,PFVar!$I$35:$FU$35,PFVar!$I$45:$FU$45)</f>
        <v>0</v>
      </c>
      <c r="R39" s="57">
        <f>_xlfn.XLOOKUP(R38,PFVar!$I$35:$FU$35,PFVar!$I$47:$FU$47)</f>
        <v>0</v>
      </c>
      <c r="S39" s="58">
        <f>_xlfn.XLOOKUP(R38,PFVar!$I$35:$FU$35,PFVar!$I$44:$FU$44)</f>
        <v>0</v>
      </c>
      <c r="T39" s="59">
        <f>_xlfn.XLOOKUP(R38,PFVar!$I$35:$FU$35,PFVar!$I$45:$FU$45)</f>
        <v>0</v>
      </c>
      <c r="U39" s="57">
        <f>_xlfn.XLOOKUP(U38,PFVar!$I$35:$FU$35,PFVar!$I$47:$FU$47)</f>
        <v>0</v>
      </c>
      <c r="V39" s="58">
        <f>_xlfn.XLOOKUP(U38,PFVar!$I$35:$FU$35,PFVar!$I$44:$FU$44)</f>
        <v>0</v>
      </c>
      <c r="W39" s="59">
        <f>_xlfn.XLOOKUP(U38,PFVar!$I$35:$FU$35,PFVar!$I$45:$FU$45)</f>
        <v>0</v>
      </c>
      <c r="X39" s="57">
        <f>_xlfn.XLOOKUP(X38,PFVar!$I$35:$FU$35,PFVar!$I$47:$FU$47)</f>
        <v>0</v>
      </c>
      <c r="Y39" s="58">
        <f>_xlfn.XLOOKUP(X38,PFVar!$I$35:$FU$35,PFVar!$I$44:$FU$44)</f>
        <v>0</v>
      </c>
      <c r="Z39" s="59">
        <f>_xlfn.XLOOKUP(X38,PFVar!$I$35:$FU$35,PFVar!$I$45:$FU$45)</f>
        <v>0</v>
      </c>
      <c r="AA39" s="57">
        <f>_xlfn.XLOOKUP(AA38,PFVar!$I$35:$FU$35,PFVar!$I$47:$FU$47)</f>
        <v>0</v>
      </c>
      <c r="AB39" s="58">
        <f>_xlfn.XLOOKUP(AA38,PFVar!$I$35:$FU$35,PFVar!$I$44:$FU$44)</f>
        <v>0</v>
      </c>
      <c r="AC39" s="59">
        <f>_xlfn.XLOOKUP(AA38,PFVar!$I$35:$FU$35,PFVar!$I$45:$FU$45)</f>
        <v>0</v>
      </c>
      <c r="AD39" s="57">
        <f>_xlfn.XLOOKUP(AD38,PFVar!$I$35:$FU$35,PFVar!$I$47:$FU$47)</f>
        <v>0</v>
      </c>
      <c r="AE39" s="58">
        <f>_xlfn.XLOOKUP(AD38,PFVar!$I$35:$FU$35,PFVar!$I$44:$FU$44)</f>
        <v>0</v>
      </c>
      <c r="AF39" s="59">
        <f>_xlfn.XLOOKUP(AD38,PFVar!$I$35:$FU$35,PFVar!$I$45:$FU$45)</f>
        <v>0</v>
      </c>
      <c r="AG39" s="57">
        <f>_xlfn.XLOOKUP(AG38,PFVar!$I$35:$FU$35,PFVar!$I$47:$FU$47)</f>
        <v>0</v>
      </c>
      <c r="AH39" s="58">
        <f>_xlfn.XLOOKUP(AG38,PFVar!$I$35:$FU$35,PFVar!$I$44:$FU$44)</f>
        <v>0</v>
      </c>
      <c r="AI39" s="59">
        <f>_xlfn.XLOOKUP(AG38,PFVar!$I$35:$FU$35,PFVar!$I$45:$FU$45)</f>
        <v>0</v>
      </c>
      <c r="AJ39" s="57">
        <f>_xlfn.XLOOKUP(AJ38,PFVar!$I$35:$FU$35,PFVar!$I$47:$FU$47)</f>
        <v>0</v>
      </c>
      <c r="AK39" s="58">
        <f>_xlfn.XLOOKUP(AJ38,PFVar!$I$35:$FU$35,PFVar!$I$44:$FU$44)</f>
        <v>0</v>
      </c>
      <c r="AL39" s="59">
        <f>_xlfn.XLOOKUP(AJ38,PFVar!$I$35:$FU$35,PFVar!$I$45:$FU$45)</f>
        <v>0</v>
      </c>
      <c r="AM39" s="57">
        <f>_xlfn.XLOOKUP(AM38,PFVar!$I$35:$FU$35,PFVar!$I$47:$FU$47)</f>
        <v>0</v>
      </c>
      <c r="AN39" s="58">
        <f>_xlfn.XLOOKUP(AM38,PFVar!$I$35:$FU$35,PFVar!$I$44:$FU$44)</f>
        <v>0</v>
      </c>
      <c r="AO39" s="59">
        <f>_xlfn.XLOOKUP(AM38,PFVar!$I$35:$FU$35,PFVar!$I$45:$FU$45)</f>
        <v>0</v>
      </c>
      <c r="AP39" s="57">
        <f>_xlfn.XLOOKUP(AP38,PFVar!$I$35:$FU$35,PFVar!$I$47:$FU$47)</f>
        <v>0</v>
      </c>
      <c r="AQ39" s="58">
        <f>_xlfn.XLOOKUP(AP38,PFVar!$I$35:$FU$35,PFVar!$I$44:$FU$44)</f>
        <v>0</v>
      </c>
      <c r="AR39" s="59">
        <f>_xlfn.XLOOKUP(AP38,PFVar!$I$35:$FU$35,PFVar!$I$45:$FU$45)</f>
        <v>0</v>
      </c>
      <c r="AS39" s="57">
        <f>_xlfn.XLOOKUP(AS38,PFVar!$I$35:$FU$35,PFVar!$I$47:$FU$47)</f>
        <v>0</v>
      </c>
      <c r="AT39" s="58">
        <f>_xlfn.XLOOKUP(AS38,PFVar!$I$35:$FU$35,PFVar!$I$44:$FU$44)</f>
        <v>0</v>
      </c>
      <c r="AU39" s="59">
        <f>_xlfn.XLOOKUP(AS38,PFVar!$I$35:$FU$35,PFVar!$I$45:$FU$45)</f>
        <v>0</v>
      </c>
      <c r="AV39" s="57">
        <f>_xlfn.XLOOKUP(AV38,PFVar!$I$35:$FU$35,PFVar!$I$47:$FU$47)</f>
        <v>0</v>
      </c>
      <c r="AW39" s="58">
        <f>_xlfn.XLOOKUP(AV38,PFVar!$I$35:$FU$35,PFVar!$I$44:$FU$44)</f>
        <v>0</v>
      </c>
      <c r="AX39" s="59">
        <f>_xlfn.XLOOKUP(AV38,PFVar!$I$35:$FU$35,PFVar!$I$45:$FU$45)</f>
        <v>0</v>
      </c>
      <c r="BB39" s="45"/>
      <c r="BC39" s="106"/>
      <c r="BD39" s="106"/>
      <c r="BE39" s="106"/>
      <c r="BF39" s="108"/>
      <c r="BG39" s="108"/>
      <c r="BH39" s="106"/>
      <c r="BI39" s="106"/>
      <c r="BJ39" s="106"/>
      <c r="BK39" s="106"/>
      <c r="BL39" s="106"/>
      <c r="BM39" s="106"/>
      <c r="BN39" s="106"/>
      <c r="BO39" s="106"/>
    </row>
    <row r="40" spans="2:67" ht="9" customHeight="1" x14ac:dyDescent="0.25">
      <c r="K40" s="45" t="s">
        <v>4</v>
      </c>
      <c r="L40" s="87" t="s">
        <v>69</v>
      </c>
      <c r="M40" s="88"/>
      <c r="N40" s="89"/>
      <c r="O40" s="87" t="s">
        <v>70</v>
      </c>
      <c r="P40" s="88"/>
      <c r="Q40" s="89"/>
      <c r="R40" s="87" t="s">
        <v>71</v>
      </c>
      <c r="S40" s="88"/>
      <c r="T40" s="89"/>
      <c r="U40" s="87" t="s">
        <v>72</v>
      </c>
      <c r="V40" s="88"/>
      <c r="W40" s="89"/>
      <c r="X40" s="87" t="s">
        <v>73</v>
      </c>
      <c r="Y40" s="88"/>
      <c r="Z40" s="89"/>
      <c r="AA40" s="87" t="s">
        <v>74</v>
      </c>
      <c r="AB40" s="88"/>
      <c r="AC40" s="89"/>
      <c r="AD40" s="87" t="s">
        <v>75</v>
      </c>
      <c r="AE40" s="88"/>
      <c r="AF40" s="89"/>
      <c r="AG40" s="87" t="s">
        <v>76</v>
      </c>
      <c r="AH40" s="88"/>
      <c r="AI40" s="89"/>
      <c r="AJ40" s="87" t="s">
        <v>77</v>
      </c>
      <c r="AK40" s="88"/>
      <c r="AL40" s="89"/>
      <c r="AM40" s="87" t="s">
        <v>78</v>
      </c>
      <c r="AN40" s="88"/>
      <c r="AO40" s="89"/>
      <c r="AP40" s="87" t="s">
        <v>79</v>
      </c>
      <c r="AQ40" s="88"/>
      <c r="AR40" s="89"/>
      <c r="AS40" s="87" t="s">
        <v>80</v>
      </c>
      <c r="AT40" s="88"/>
      <c r="AU40" s="89"/>
      <c r="AV40" s="87" t="s">
        <v>81</v>
      </c>
      <c r="AW40" s="88"/>
      <c r="AX40" s="89"/>
      <c r="BB40" s="45"/>
      <c r="BC40" s="105" t="s">
        <v>69</v>
      </c>
      <c r="BD40" s="105" t="s">
        <v>70</v>
      </c>
      <c r="BE40" s="105" t="s">
        <v>71</v>
      </c>
      <c r="BF40" s="105" t="s">
        <v>72</v>
      </c>
      <c r="BG40" s="107" t="s">
        <v>73</v>
      </c>
      <c r="BH40" s="107" t="s">
        <v>74</v>
      </c>
      <c r="BI40" s="105" t="s">
        <v>75</v>
      </c>
      <c r="BJ40" s="105" t="s">
        <v>76</v>
      </c>
      <c r="BK40" s="105" t="s">
        <v>77</v>
      </c>
      <c r="BL40" s="105" t="s">
        <v>78</v>
      </c>
      <c r="BM40" s="105" t="s">
        <v>79</v>
      </c>
      <c r="BN40" s="105" t="s">
        <v>80</v>
      </c>
      <c r="BO40" s="105" t="s">
        <v>81</v>
      </c>
    </row>
    <row r="41" spans="2:67" ht="9" customHeight="1" thickBot="1" x14ac:dyDescent="0.3">
      <c r="K41" s="45"/>
      <c r="L41" s="57">
        <f>_xlfn.XLOOKUP(L40,PFVar!$I$35:$FU$35,PFVar!$I$47:$FU$47)</f>
        <v>0</v>
      </c>
      <c r="M41" s="58">
        <f>_xlfn.XLOOKUP(L40,PFVar!$I$35:$FU$35,PFVar!$I$44:$FU$44)</f>
        <v>0</v>
      </c>
      <c r="N41" s="59">
        <f>_xlfn.XLOOKUP(L40,PFVar!$I$35:$FU$35,PFVar!$I$45:$FU$45)</f>
        <v>0</v>
      </c>
      <c r="O41" s="57">
        <f>_xlfn.XLOOKUP(O40,PFVar!$I$35:$FU$35,PFVar!$I$47:$FU$47)</f>
        <v>0</v>
      </c>
      <c r="P41" s="58">
        <f>_xlfn.XLOOKUP(O40,PFVar!$I$35:$FU$35,PFVar!$I$44:$FU$44)</f>
        <v>0</v>
      </c>
      <c r="Q41" s="59">
        <f>_xlfn.XLOOKUP(O40,PFVar!$I$35:$FU$35,PFVar!$I$45:$FU$45)</f>
        <v>0</v>
      </c>
      <c r="R41" s="57">
        <f>_xlfn.XLOOKUP(R40,PFVar!$I$35:$FU$35,PFVar!$I$47:$FU$47)</f>
        <v>0</v>
      </c>
      <c r="S41" s="58">
        <f>_xlfn.XLOOKUP(R40,PFVar!$I$35:$FU$35,PFVar!$I$44:$FU$44)</f>
        <v>0</v>
      </c>
      <c r="T41" s="59">
        <f>_xlfn.XLOOKUP(R40,PFVar!$I$35:$FU$35,PFVar!$I$45:$FU$45)</f>
        <v>0</v>
      </c>
      <c r="U41" s="57">
        <f>_xlfn.XLOOKUP(U40,PFVar!$I$35:$FU$35,PFVar!$I$47:$FU$47)</f>
        <v>0</v>
      </c>
      <c r="V41" s="58">
        <f>_xlfn.XLOOKUP(U40,PFVar!$I$35:$FU$35,PFVar!$I$44:$FU$44)</f>
        <v>0</v>
      </c>
      <c r="W41" s="59">
        <f>_xlfn.XLOOKUP(U40,PFVar!$I$35:$FU$35,PFVar!$I$45:$FU$45)</f>
        <v>0</v>
      </c>
      <c r="X41" s="57">
        <f>_xlfn.XLOOKUP(X40,PFVar!$I$35:$FU$35,PFVar!$I$47:$FU$47)</f>
        <v>0</v>
      </c>
      <c r="Y41" s="58">
        <f>_xlfn.XLOOKUP(X40,PFVar!$I$35:$FU$35,PFVar!$I$44:$FU$44)</f>
        <v>0</v>
      </c>
      <c r="Z41" s="59">
        <f>_xlfn.XLOOKUP(X40,PFVar!$I$35:$FU$35,PFVar!$I$45:$FU$45)</f>
        <v>0</v>
      </c>
      <c r="AA41" s="57">
        <f>_xlfn.XLOOKUP(AA40,PFVar!$I$35:$FU$35,PFVar!$I$47:$FU$47)</f>
        <v>0</v>
      </c>
      <c r="AB41" s="58">
        <f>_xlfn.XLOOKUP(AA40,PFVar!$I$35:$FU$35,PFVar!$I$44:$FU$44)</f>
        <v>0</v>
      </c>
      <c r="AC41" s="59">
        <f>_xlfn.XLOOKUP(AA40,PFVar!$I$35:$FU$35,PFVar!$I$45:$FU$45)</f>
        <v>0</v>
      </c>
      <c r="AD41" s="57">
        <f>_xlfn.XLOOKUP(AD40,PFVar!$I$35:$FU$35,PFVar!$I$47:$FU$47)</f>
        <v>0</v>
      </c>
      <c r="AE41" s="58">
        <f>_xlfn.XLOOKUP(AD40,PFVar!$I$35:$FU$35,PFVar!$I$44:$FU$44)</f>
        <v>0</v>
      </c>
      <c r="AF41" s="59">
        <f>_xlfn.XLOOKUP(AD40,PFVar!$I$35:$FU$35,PFVar!$I$45:$FU$45)</f>
        <v>0</v>
      </c>
      <c r="AG41" s="57">
        <f>_xlfn.XLOOKUP(AG40,PFVar!$I$35:$FU$35,PFVar!$I$47:$FU$47)</f>
        <v>0</v>
      </c>
      <c r="AH41" s="58">
        <f>_xlfn.XLOOKUP(AG40,PFVar!$I$35:$FU$35,PFVar!$I$44:$FU$44)</f>
        <v>0</v>
      </c>
      <c r="AI41" s="59">
        <f>_xlfn.XLOOKUP(AG40,PFVar!$I$35:$FU$35,PFVar!$I$45:$FU$45)</f>
        <v>0</v>
      </c>
      <c r="AJ41" s="57">
        <f>_xlfn.XLOOKUP(AJ40,PFVar!$I$35:$FU$35,PFVar!$I$47:$FU$47)</f>
        <v>0</v>
      </c>
      <c r="AK41" s="58">
        <f>_xlfn.XLOOKUP(AJ40,PFVar!$I$35:$FU$35,PFVar!$I$44:$FU$44)</f>
        <v>0</v>
      </c>
      <c r="AL41" s="59">
        <f>_xlfn.XLOOKUP(AJ40,PFVar!$I$35:$FU$35,PFVar!$I$45:$FU$45)</f>
        <v>0</v>
      </c>
      <c r="AM41" s="57">
        <f>_xlfn.XLOOKUP(AM40,PFVar!$I$35:$FU$35,PFVar!$I$47:$FU$47)</f>
        <v>0</v>
      </c>
      <c r="AN41" s="58">
        <f>_xlfn.XLOOKUP(AM40,PFVar!$I$35:$FU$35,PFVar!$I$44:$FU$44)</f>
        <v>0</v>
      </c>
      <c r="AO41" s="59">
        <f>_xlfn.XLOOKUP(AM40,PFVar!$I$35:$FU$35,PFVar!$I$45:$FU$45)</f>
        <v>0</v>
      </c>
      <c r="AP41" s="57">
        <f>_xlfn.XLOOKUP(AP40,PFVar!$I$35:$FU$35,PFVar!$I$47:$FU$47)</f>
        <v>0</v>
      </c>
      <c r="AQ41" s="58">
        <f>_xlfn.XLOOKUP(AP40,PFVar!$I$35:$FU$35,PFVar!$I$44:$FU$44)</f>
        <v>0</v>
      </c>
      <c r="AR41" s="59">
        <f>_xlfn.XLOOKUP(AP40,PFVar!$I$35:$FU$35,PFVar!$I$45:$FU$45)</f>
        <v>0</v>
      </c>
      <c r="AS41" s="57">
        <f>_xlfn.XLOOKUP(AS40,PFVar!$I$35:$FU$35,PFVar!$I$47:$FU$47)</f>
        <v>0</v>
      </c>
      <c r="AT41" s="58">
        <f>_xlfn.XLOOKUP(AS40,PFVar!$I$35:$FU$35,PFVar!$I$44:$FU$44)</f>
        <v>0</v>
      </c>
      <c r="AU41" s="59">
        <f>_xlfn.XLOOKUP(AS40,PFVar!$I$35:$FU$35,PFVar!$I$45:$FU$45)</f>
        <v>0</v>
      </c>
      <c r="AV41" s="57">
        <f>_xlfn.XLOOKUP(AV40,PFVar!$I$35:$FU$35,PFVar!$I$47:$FU$47)</f>
        <v>0</v>
      </c>
      <c r="AW41" s="58">
        <f>_xlfn.XLOOKUP(AV40,PFVar!$I$35:$FU$35,PFVar!$I$44:$FU$44)</f>
        <v>0</v>
      </c>
      <c r="AX41" s="59">
        <f>_xlfn.XLOOKUP(AV40,PFVar!$I$35:$FU$35,PFVar!$I$45:$FU$45)</f>
        <v>0</v>
      </c>
      <c r="BB41" s="45"/>
      <c r="BC41" s="106"/>
      <c r="BD41" s="106">
        <f>_xlfn.XLOOKUP(BD40,PFVar!$I$35:$FU$35,PFVar!$I$47:$FU$47)</f>
        <v>0</v>
      </c>
      <c r="BE41" s="106">
        <f>_xlfn.XLOOKUP(BE40,PFVar!$I$35:$FU$35,PFVar!$I$47:$FU$47)</f>
        <v>0</v>
      </c>
      <c r="BF41" s="106">
        <f>_xlfn.XLOOKUP(BF40,PFVar!$I$35:$FU$35,PFVar!$I$47:$FU$47)</f>
        <v>0</v>
      </c>
      <c r="BG41" s="106">
        <f>_xlfn.XLOOKUP(BG40,PFVar!$I$35:$FU$35,PFVar!$I$47:$FU$47)</f>
        <v>0</v>
      </c>
      <c r="BH41" s="106">
        <f>_xlfn.XLOOKUP(BH40,PFVar!$I$35:$FU$35,PFVar!$I$47:$FU$47)</f>
        <v>0</v>
      </c>
      <c r="BI41" s="106">
        <f>_xlfn.XLOOKUP(BI40,PFVar!$I$35:$FU$35,PFVar!$I$47:$FU$47)</f>
        <v>0</v>
      </c>
      <c r="BJ41" s="106">
        <f>_xlfn.XLOOKUP(BJ40,PFVar!$I$35:$FU$35,PFVar!$I$47:$FU$47)</f>
        <v>0</v>
      </c>
      <c r="BK41" s="106">
        <f>_xlfn.XLOOKUP(BK40,PFVar!$I$35:$FU$35,PFVar!$I$47:$FU$47)</f>
        <v>0</v>
      </c>
      <c r="BL41" s="106">
        <f>_xlfn.XLOOKUP(BL40,PFVar!$I$35:$FU$35,PFVar!$I$47:$FU$47)</f>
        <v>0</v>
      </c>
      <c r="BM41" s="106">
        <f>_xlfn.XLOOKUP(BM40,PFVar!$I$35:$FU$35,PFVar!$I$47:$FU$47)</f>
        <v>0</v>
      </c>
      <c r="BN41" s="106">
        <f>_xlfn.XLOOKUP(BN40,PFVar!$I$35:$FU$35,PFVar!$I$47:$FU$47)</f>
        <v>0</v>
      </c>
      <c r="BO41" s="106"/>
    </row>
    <row r="42" spans="2:67" ht="9" customHeight="1" x14ac:dyDescent="0.25">
      <c r="C42" s="79"/>
      <c r="K42" s="45">
        <v>9</v>
      </c>
      <c r="L42" s="87" t="s">
        <v>82</v>
      </c>
      <c r="M42" s="88"/>
      <c r="N42" s="89"/>
      <c r="O42" s="87" t="s">
        <v>83</v>
      </c>
      <c r="P42" s="88"/>
      <c r="Q42" s="89"/>
      <c r="R42" s="87" t="s">
        <v>84</v>
      </c>
      <c r="S42" s="88"/>
      <c r="T42" s="89"/>
      <c r="U42" s="87" t="s">
        <v>85</v>
      </c>
      <c r="V42" s="88"/>
      <c r="W42" s="89"/>
      <c r="X42" s="87" t="s">
        <v>86</v>
      </c>
      <c r="Y42" s="88"/>
      <c r="Z42" s="89"/>
      <c r="AA42" s="87">
        <v>99</v>
      </c>
      <c r="AB42" s="88"/>
      <c r="AC42" s="89"/>
      <c r="AD42" s="87" t="s">
        <v>88</v>
      </c>
      <c r="AE42" s="88"/>
      <c r="AF42" s="89"/>
      <c r="AG42" s="87" t="s">
        <v>89</v>
      </c>
      <c r="AH42" s="88"/>
      <c r="AI42" s="89"/>
      <c r="AJ42" s="87" t="s">
        <v>90</v>
      </c>
      <c r="AK42" s="88"/>
      <c r="AL42" s="89"/>
      <c r="AM42" s="87" t="s">
        <v>91</v>
      </c>
      <c r="AN42" s="88"/>
      <c r="AO42" s="89"/>
      <c r="AP42" s="87" t="s">
        <v>92</v>
      </c>
      <c r="AQ42" s="88"/>
      <c r="AR42" s="89"/>
      <c r="AS42" s="87" t="s">
        <v>93</v>
      </c>
      <c r="AT42" s="88"/>
      <c r="AU42" s="89"/>
      <c r="AV42" s="87" t="s">
        <v>94</v>
      </c>
      <c r="AW42" s="88"/>
      <c r="AX42" s="89"/>
      <c r="BB42" s="45"/>
      <c r="BC42" s="105" t="s">
        <v>82</v>
      </c>
      <c r="BD42" s="105" t="s">
        <v>83</v>
      </c>
      <c r="BE42" s="105" t="s">
        <v>84</v>
      </c>
      <c r="BF42" s="105" t="s">
        <v>85</v>
      </c>
      <c r="BG42" s="105" t="s">
        <v>86</v>
      </c>
      <c r="BH42" s="107">
        <v>99</v>
      </c>
      <c r="BI42" s="107" t="s">
        <v>88</v>
      </c>
      <c r="BJ42" s="105" t="s">
        <v>89</v>
      </c>
      <c r="BK42" s="105" t="s">
        <v>90</v>
      </c>
      <c r="BL42" s="105" t="s">
        <v>91</v>
      </c>
      <c r="BM42" s="105" t="s">
        <v>92</v>
      </c>
      <c r="BN42" s="105" t="s">
        <v>93</v>
      </c>
      <c r="BO42" s="105" t="s">
        <v>94</v>
      </c>
    </row>
    <row r="43" spans="2:67" ht="9" customHeight="1" thickBot="1" x14ac:dyDescent="0.3">
      <c r="I43" s="46"/>
      <c r="K43" s="45"/>
      <c r="L43" s="57">
        <f>_xlfn.XLOOKUP(L42,PFVar!$I$35:$FU$35,PFVar!$I$47:$FU$47)</f>
        <v>0</v>
      </c>
      <c r="M43" s="58">
        <f>_xlfn.XLOOKUP(L42,PFVar!$I$35:$FU$35,PFVar!$I$44:$FU$44)</f>
        <v>0</v>
      </c>
      <c r="N43" s="59">
        <f>_xlfn.XLOOKUP(L42,PFVar!$I$35:$FU$35,PFVar!$I$45:$FU$45)</f>
        <v>0</v>
      </c>
      <c r="O43" s="57">
        <f>_xlfn.XLOOKUP(O42,PFVar!$I$35:$FU$35,PFVar!$I$47:$FU$47)</f>
        <v>0</v>
      </c>
      <c r="P43" s="58">
        <f>_xlfn.XLOOKUP(O42,PFVar!$I$35:$FU$35,PFVar!$I$44:$FU$44)</f>
        <v>0</v>
      </c>
      <c r="Q43" s="59">
        <f>_xlfn.XLOOKUP(O42,PFVar!$I$35:$FU$35,PFVar!$I$45:$FU$45)</f>
        <v>0</v>
      </c>
      <c r="R43" s="57">
        <f>_xlfn.XLOOKUP(R42,PFVar!$I$35:$FU$35,PFVar!$I$47:$FU$47)</f>
        <v>0</v>
      </c>
      <c r="S43" s="58">
        <f>_xlfn.XLOOKUP(R42,PFVar!$I$35:$FU$35,PFVar!$I$44:$FU$44)</f>
        <v>0</v>
      </c>
      <c r="T43" s="59">
        <f>_xlfn.XLOOKUP(R42,PFVar!$I$35:$FU$35,PFVar!$I$45:$FU$45)</f>
        <v>0</v>
      </c>
      <c r="U43" s="57">
        <f>_xlfn.XLOOKUP(U42,PFVar!$I$35:$FU$35,PFVar!$I$47:$FU$47)</f>
        <v>0</v>
      </c>
      <c r="V43" s="58">
        <f>_xlfn.XLOOKUP(U42,PFVar!$I$35:$FU$35,PFVar!$I$44:$FU$44)</f>
        <v>0</v>
      </c>
      <c r="W43" s="59">
        <f>_xlfn.XLOOKUP(U42,PFVar!$I$35:$FU$35,PFVar!$I$45:$FU$45)</f>
        <v>0</v>
      </c>
      <c r="X43" s="57">
        <f>_xlfn.XLOOKUP(X42,PFVar!$I$35:$FU$35,PFVar!$I$47:$FU$47)</f>
        <v>0</v>
      </c>
      <c r="Y43" s="58">
        <f>_xlfn.XLOOKUP(X42,PFVar!$I$35:$FU$35,PFVar!$I$44:$FU$44)</f>
        <v>0</v>
      </c>
      <c r="Z43" s="59">
        <f>_xlfn.XLOOKUP(X42,PFVar!$I$35:$FU$35,PFVar!$I$45:$FU$45)</f>
        <v>0</v>
      </c>
      <c r="AA43" s="57">
        <f>_xlfn.XLOOKUP(AA42,PFVar!$I$35:$FU$35,PFVar!$I$47:$FU$47)</f>
        <v>0</v>
      </c>
      <c r="AB43" s="58">
        <f>_xlfn.XLOOKUP(AA42,PFVar!$I$35:$FU$35,PFVar!$I$44:$FU$44)</f>
        <v>0</v>
      </c>
      <c r="AC43" s="59">
        <f>_xlfn.XLOOKUP(AA42,PFVar!$I$35:$FU$35,PFVar!$I$45:$FU$45)</f>
        <v>0</v>
      </c>
      <c r="AD43" s="57">
        <f>_xlfn.XLOOKUP(AD42,PFVar!$I$35:$FU$35,PFVar!$I$47:$FU$47)</f>
        <v>0</v>
      </c>
      <c r="AE43" s="58">
        <f>_xlfn.XLOOKUP(AD42,PFVar!$I$35:$FU$35,PFVar!$I$44:$FU$44)</f>
        <v>0</v>
      </c>
      <c r="AF43" s="59">
        <f>_xlfn.XLOOKUP(AD42,PFVar!$I$35:$FU$35,PFVar!$I$45:$FU$45)</f>
        <v>0</v>
      </c>
      <c r="AG43" s="57">
        <f>_xlfn.XLOOKUP(AG42,PFVar!$I$35:$FU$35,PFVar!$I$47:$FU$47)</f>
        <v>0</v>
      </c>
      <c r="AH43" s="58">
        <f>_xlfn.XLOOKUP(AG42,PFVar!$I$35:$FU$35,PFVar!$I$44:$FU$44)</f>
        <v>0</v>
      </c>
      <c r="AI43" s="59">
        <f>_xlfn.XLOOKUP(AG42,PFVar!$I$35:$FU$35,PFVar!$I$45:$FU$45)</f>
        <v>0</v>
      </c>
      <c r="AJ43" s="57">
        <f>_xlfn.XLOOKUP(AJ42,PFVar!$I$35:$FU$35,PFVar!$I$47:$FU$47)</f>
        <v>0</v>
      </c>
      <c r="AK43" s="58">
        <f>_xlfn.XLOOKUP(AJ42,PFVar!$I$35:$FU$35,PFVar!$I$44:$FU$44)</f>
        <v>0</v>
      </c>
      <c r="AL43" s="59">
        <f>_xlfn.XLOOKUP(AJ42,PFVar!$I$35:$FU$35,PFVar!$I$45:$FU$45)</f>
        <v>0</v>
      </c>
      <c r="AM43" s="57">
        <f>_xlfn.XLOOKUP(AM42,PFVar!$I$35:$FU$35,PFVar!$I$47:$FU$47)</f>
        <v>0</v>
      </c>
      <c r="AN43" s="58">
        <f>_xlfn.XLOOKUP(AM42,PFVar!$I$35:$FU$35,PFVar!$I$44:$FU$44)</f>
        <v>0</v>
      </c>
      <c r="AO43" s="59">
        <f>_xlfn.XLOOKUP(AM42,PFVar!$I$35:$FU$35,PFVar!$I$45:$FU$45)</f>
        <v>0</v>
      </c>
      <c r="AP43" s="57">
        <f>_xlfn.XLOOKUP(AP42,PFVar!$I$35:$FU$35,PFVar!$I$47:$FU$47)</f>
        <v>0</v>
      </c>
      <c r="AQ43" s="58">
        <f>_xlfn.XLOOKUP(AP42,PFVar!$I$35:$FU$35,PFVar!$I$44:$FU$44)</f>
        <v>0</v>
      </c>
      <c r="AR43" s="59">
        <f>_xlfn.XLOOKUP(AP42,PFVar!$I$35:$FU$35,PFVar!$I$45:$FU$45)</f>
        <v>0</v>
      </c>
      <c r="AS43" s="57">
        <f>_xlfn.XLOOKUP(AS42,PFVar!$I$35:$FU$35,PFVar!$I$47:$FU$47)</f>
        <v>0</v>
      </c>
      <c r="AT43" s="58">
        <f>_xlfn.XLOOKUP(AS42,PFVar!$I$35:$FU$35,PFVar!$I$44:$FU$44)</f>
        <v>0</v>
      </c>
      <c r="AU43" s="59">
        <f>_xlfn.XLOOKUP(AS42,PFVar!$I$35:$FU$35,PFVar!$I$45:$FU$45)</f>
        <v>0</v>
      </c>
      <c r="AV43" s="57">
        <f>_xlfn.XLOOKUP(AV42,PFVar!$I$35:$FU$35,PFVar!$I$47:$FU$47)</f>
        <v>0</v>
      </c>
      <c r="AW43" s="58">
        <f>_xlfn.XLOOKUP(AV42,PFVar!$I$35:$FU$35,PFVar!$I$44:$FU$44)</f>
        <v>0</v>
      </c>
      <c r="AX43" s="59">
        <f>_xlfn.XLOOKUP(AV42,PFVar!$I$35:$FU$35,PFVar!$I$45:$FU$45)</f>
        <v>0</v>
      </c>
      <c r="BB43" s="45"/>
      <c r="BC43" s="106"/>
      <c r="BD43" s="106">
        <f>_xlfn.XLOOKUP(BD42,PFVar!$I$35:$FU$35,PFVar!$I$47:$FU$47)</f>
        <v>0</v>
      </c>
      <c r="BE43" s="106">
        <f>_xlfn.XLOOKUP(BE42,PFVar!$I$35:$FU$35,PFVar!$I$47:$FU$47)</f>
        <v>0</v>
      </c>
      <c r="BF43" s="106">
        <f>_xlfn.XLOOKUP(BF42,PFVar!$I$35:$FU$35,PFVar!$I$47:$FU$47)</f>
        <v>0</v>
      </c>
      <c r="BG43" s="106">
        <f>_xlfn.XLOOKUP(BG42,PFVar!$I$35:$FU$35,PFVar!$I$47:$FU$47)</f>
        <v>0</v>
      </c>
      <c r="BH43" s="106">
        <f>_xlfn.XLOOKUP(BH42,PFVar!$I$35:$FU$35,PFVar!$I$47:$FU$47)</f>
        <v>0</v>
      </c>
      <c r="BI43" s="106">
        <f>_xlfn.XLOOKUP(BI42,PFVar!$I$35:$FU$35,PFVar!$I$47:$FU$47)</f>
        <v>0</v>
      </c>
      <c r="BJ43" s="106">
        <f>_xlfn.XLOOKUP(BJ42,PFVar!$I$35:$FU$35,PFVar!$I$47:$FU$47)</f>
        <v>0</v>
      </c>
      <c r="BK43" s="106">
        <f>_xlfn.XLOOKUP(BK42,PFVar!$I$35:$FU$35,PFVar!$I$47:$FU$47)</f>
        <v>0</v>
      </c>
      <c r="BL43" s="106">
        <f>_xlfn.XLOOKUP(BL42,PFVar!$I$35:$FU$35,PFVar!$I$47:$FU$47)</f>
        <v>0</v>
      </c>
      <c r="BM43" s="106">
        <f>_xlfn.XLOOKUP(BM42,PFVar!$I$35:$FU$35,PFVar!$I$47:$FU$47)</f>
        <v>0</v>
      </c>
      <c r="BN43" s="106">
        <f>_xlfn.XLOOKUP(BN42,PFVar!$I$35:$FU$35,PFVar!$I$47:$FU$47)</f>
        <v>0</v>
      </c>
      <c r="BO43" s="106"/>
    </row>
    <row r="44" spans="2:67" ht="9" customHeight="1" x14ac:dyDescent="0.25">
      <c r="K44" s="45">
        <v>8</v>
      </c>
      <c r="L44" s="87" t="s">
        <v>95</v>
      </c>
      <c r="M44" s="88"/>
      <c r="N44" s="89"/>
      <c r="O44" s="87" t="s">
        <v>96</v>
      </c>
      <c r="P44" s="88"/>
      <c r="Q44" s="89"/>
      <c r="R44" s="87" t="s">
        <v>97</v>
      </c>
      <c r="S44" s="88"/>
      <c r="T44" s="89"/>
      <c r="U44" s="87" t="s">
        <v>98</v>
      </c>
      <c r="V44" s="88"/>
      <c r="W44" s="89"/>
      <c r="X44" s="87" t="s">
        <v>99</v>
      </c>
      <c r="Y44" s="88"/>
      <c r="Z44" s="89"/>
      <c r="AA44" s="87" t="s">
        <v>100</v>
      </c>
      <c r="AB44" s="88"/>
      <c r="AC44" s="89"/>
      <c r="AD44" s="87">
        <v>88</v>
      </c>
      <c r="AE44" s="88"/>
      <c r="AF44" s="89"/>
      <c r="AG44" s="87" t="s">
        <v>102</v>
      </c>
      <c r="AH44" s="88"/>
      <c r="AI44" s="89"/>
      <c r="AJ44" s="87" t="s">
        <v>103</v>
      </c>
      <c r="AK44" s="88"/>
      <c r="AL44" s="89"/>
      <c r="AM44" s="87" t="s">
        <v>104</v>
      </c>
      <c r="AN44" s="88"/>
      <c r="AO44" s="89"/>
      <c r="AP44" s="87" t="s">
        <v>105</v>
      </c>
      <c r="AQ44" s="88"/>
      <c r="AR44" s="89"/>
      <c r="AS44" s="87" t="s">
        <v>106</v>
      </c>
      <c r="AT44" s="88"/>
      <c r="AU44" s="89"/>
      <c r="AV44" s="87" t="s">
        <v>107</v>
      </c>
      <c r="AW44" s="88"/>
      <c r="AX44" s="89"/>
      <c r="BB44" s="45"/>
      <c r="BC44" s="105" t="s">
        <v>95</v>
      </c>
      <c r="BD44" s="105" t="s">
        <v>96</v>
      </c>
      <c r="BE44" s="105" t="s">
        <v>97</v>
      </c>
      <c r="BF44" s="105" t="s">
        <v>98</v>
      </c>
      <c r="BG44" s="105" t="s">
        <v>99</v>
      </c>
      <c r="BH44" s="105" t="s">
        <v>100</v>
      </c>
      <c r="BI44" s="107">
        <v>88</v>
      </c>
      <c r="BJ44" s="107" t="s">
        <v>102</v>
      </c>
      <c r="BK44" s="105" t="s">
        <v>103</v>
      </c>
      <c r="BL44" s="105" t="s">
        <v>104</v>
      </c>
      <c r="BM44" s="105" t="s">
        <v>105</v>
      </c>
      <c r="BN44" s="105" t="s">
        <v>106</v>
      </c>
      <c r="BO44" s="105" t="s">
        <v>107</v>
      </c>
    </row>
    <row r="45" spans="2:67" ht="9" customHeight="1" thickBot="1" x14ac:dyDescent="0.3">
      <c r="K45" s="45"/>
      <c r="L45" s="57">
        <f>_xlfn.XLOOKUP(L44,PFVar!$I$35:$FU$35,PFVar!$I$47:$FU$47)</f>
        <v>0</v>
      </c>
      <c r="M45" s="58">
        <f>_xlfn.XLOOKUP(L44,PFVar!$I$35:$FU$35,PFVar!$I$44:$FU$44)</f>
        <v>0</v>
      </c>
      <c r="N45" s="59">
        <f>_xlfn.XLOOKUP(L44,PFVar!$I$35:$FU$35,PFVar!$I$45:$FU$45)</f>
        <v>0</v>
      </c>
      <c r="O45" s="57">
        <f>_xlfn.XLOOKUP(O44,PFVar!$I$35:$FU$35,PFVar!$I$47:$FU$47)</f>
        <v>0</v>
      </c>
      <c r="P45" s="58">
        <f>_xlfn.XLOOKUP(O44,PFVar!$I$35:$FU$35,PFVar!$I$44:$FU$44)</f>
        <v>0</v>
      </c>
      <c r="Q45" s="59">
        <f>_xlfn.XLOOKUP(O44,PFVar!$I$35:$FU$35,PFVar!$I$45:$FU$45)</f>
        <v>0</v>
      </c>
      <c r="R45" s="57">
        <f>_xlfn.XLOOKUP(R44,PFVar!$I$35:$FU$35,PFVar!$I$47:$FU$47)</f>
        <v>0</v>
      </c>
      <c r="S45" s="58">
        <f>_xlfn.XLOOKUP(R44,PFVar!$I$35:$FU$35,PFVar!$I$44:$FU$44)</f>
        <v>0</v>
      </c>
      <c r="T45" s="59">
        <f>_xlfn.XLOOKUP(R44,PFVar!$I$35:$FU$35,PFVar!$I$45:$FU$45)</f>
        <v>0</v>
      </c>
      <c r="U45" s="57">
        <f>_xlfn.XLOOKUP(U44,PFVar!$I$35:$FU$35,PFVar!$I$47:$FU$47)</f>
        <v>0</v>
      </c>
      <c r="V45" s="58">
        <f>_xlfn.XLOOKUP(U44,PFVar!$I$35:$FU$35,PFVar!$I$44:$FU$44)</f>
        <v>0</v>
      </c>
      <c r="W45" s="59">
        <f>_xlfn.XLOOKUP(U44,PFVar!$I$35:$FU$35,PFVar!$I$45:$FU$45)</f>
        <v>0</v>
      </c>
      <c r="X45" s="57">
        <f>_xlfn.XLOOKUP(X44,PFVar!$I$35:$FU$35,PFVar!$I$47:$FU$47)</f>
        <v>0</v>
      </c>
      <c r="Y45" s="58">
        <f>_xlfn.XLOOKUP(X44,PFVar!$I$35:$FU$35,PFVar!$I$44:$FU$44)</f>
        <v>0</v>
      </c>
      <c r="Z45" s="59">
        <f>_xlfn.XLOOKUP(X44,PFVar!$I$35:$FU$35,PFVar!$I$45:$FU$45)</f>
        <v>0</v>
      </c>
      <c r="AA45" s="57">
        <f>_xlfn.XLOOKUP(AA44,PFVar!$I$35:$FU$35,PFVar!$I$47:$FU$47)</f>
        <v>0</v>
      </c>
      <c r="AB45" s="58">
        <f>_xlfn.XLOOKUP(AA44,PFVar!$I$35:$FU$35,PFVar!$I$44:$FU$44)</f>
        <v>0</v>
      </c>
      <c r="AC45" s="59">
        <f>_xlfn.XLOOKUP(AA44,PFVar!$I$35:$FU$35,PFVar!$I$45:$FU$45)</f>
        <v>0</v>
      </c>
      <c r="AD45" s="57">
        <f>_xlfn.XLOOKUP(AD44,PFVar!$I$35:$FU$35,PFVar!$I$47:$FU$47)</f>
        <v>0</v>
      </c>
      <c r="AE45" s="58">
        <f>_xlfn.XLOOKUP(AD44,PFVar!$I$35:$FU$35,PFVar!$I$44:$FU$44)</f>
        <v>0</v>
      </c>
      <c r="AF45" s="59">
        <f>_xlfn.XLOOKUP(AD44,PFVar!$I$35:$FU$35,PFVar!$I$45:$FU$45)</f>
        <v>0</v>
      </c>
      <c r="AG45" s="57">
        <f>_xlfn.XLOOKUP(AG44,PFVar!$I$35:$FU$35,PFVar!$I$47:$FU$47)</f>
        <v>0</v>
      </c>
      <c r="AH45" s="58">
        <f>_xlfn.XLOOKUP(AG44,PFVar!$I$35:$FU$35,PFVar!$I$44:$FU$44)</f>
        <v>0</v>
      </c>
      <c r="AI45" s="59">
        <f>_xlfn.XLOOKUP(AG44,PFVar!$I$35:$FU$35,PFVar!$I$45:$FU$45)</f>
        <v>0</v>
      </c>
      <c r="AJ45" s="57">
        <f>_xlfn.XLOOKUP(AJ44,PFVar!$I$35:$FU$35,PFVar!$I$47:$FU$47)</f>
        <v>0</v>
      </c>
      <c r="AK45" s="58">
        <f>_xlfn.XLOOKUP(AJ44,PFVar!$I$35:$FU$35,PFVar!$I$44:$FU$44)</f>
        <v>0</v>
      </c>
      <c r="AL45" s="59">
        <f>_xlfn.XLOOKUP(AJ44,PFVar!$I$35:$FU$35,PFVar!$I$45:$FU$45)</f>
        <v>0</v>
      </c>
      <c r="AM45" s="57">
        <f>_xlfn.XLOOKUP(AM44,PFVar!$I$35:$FU$35,PFVar!$I$47:$FU$47)</f>
        <v>0</v>
      </c>
      <c r="AN45" s="58">
        <f>_xlfn.XLOOKUP(AM44,PFVar!$I$35:$FU$35,PFVar!$I$44:$FU$44)</f>
        <v>0</v>
      </c>
      <c r="AO45" s="59">
        <f>_xlfn.XLOOKUP(AM44,PFVar!$I$35:$FU$35,PFVar!$I$45:$FU$45)</f>
        <v>0</v>
      </c>
      <c r="AP45" s="57">
        <f>_xlfn.XLOOKUP(AP44,PFVar!$I$35:$FU$35,PFVar!$I$47:$FU$47)</f>
        <v>0</v>
      </c>
      <c r="AQ45" s="58">
        <f>_xlfn.XLOOKUP(AP44,PFVar!$I$35:$FU$35,PFVar!$I$44:$FU$44)</f>
        <v>0</v>
      </c>
      <c r="AR45" s="59">
        <f>_xlfn.XLOOKUP(AP44,PFVar!$I$35:$FU$35,PFVar!$I$45:$FU$45)</f>
        <v>0</v>
      </c>
      <c r="AS45" s="57">
        <f>_xlfn.XLOOKUP(AS44,PFVar!$I$35:$FU$35,PFVar!$I$47:$FU$47)</f>
        <v>0</v>
      </c>
      <c r="AT45" s="58">
        <f>_xlfn.XLOOKUP(AS44,PFVar!$I$35:$FU$35,PFVar!$I$44:$FU$44)</f>
        <v>0</v>
      </c>
      <c r="AU45" s="59">
        <f>_xlfn.XLOOKUP(AS44,PFVar!$I$35:$FU$35,PFVar!$I$45:$FU$45)</f>
        <v>0</v>
      </c>
      <c r="AV45" s="57">
        <f>_xlfn.XLOOKUP(AV44,PFVar!$I$35:$FU$35,PFVar!$I$47:$FU$47)</f>
        <v>0</v>
      </c>
      <c r="AW45" s="58">
        <f>_xlfn.XLOOKUP(AV44,PFVar!$I$35:$FU$35,PFVar!$I$44:$FU$44)</f>
        <v>0</v>
      </c>
      <c r="AX45" s="59">
        <f>_xlfn.XLOOKUP(AV44,PFVar!$I$35:$FU$35,PFVar!$I$45:$FU$45)</f>
        <v>0</v>
      </c>
      <c r="BB45" s="45"/>
      <c r="BC45" s="106"/>
      <c r="BD45" s="106">
        <f>_xlfn.XLOOKUP(BD44,PFVar!$I$35:$FU$35,PFVar!$I$47:$FU$47)</f>
        <v>0</v>
      </c>
      <c r="BE45" s="106">
        <f>_xlfn.XLOOKUP(BE44,PFVar!$I$35:$FU$35,PFVar!$I$47:$FU$47)</f>
        <v>0</v>
      </c>
      <c r="BF45" s="106">
        <f>_xlfn.XLOOKUP(BF44,PFVar!$I$35:$FU$35,PFVar!$I$47:$FU$47)</f>
        <v>0</v>
      </c>
      <c r="BG45" s="106">
        <f>_xlfn.XLOOKUP(BG44,PFVar!$I$35:$FU$35,PFVar!$I$47:$FU$47)</f>
        <v>0</v>
      </c>
      <c r="BH45" s="106">
        <f>_xlfn.XLOOKUP(BH44,PFVar!$I$35:$FU$35,PFVar!$I$47:$FU$47)</f>
        <v>0</v>
      </c>
      <c r="BI45" s="106">
        <f>_xlfn.XLOOKUP(BI44,PFVar!$I$35:$FU$35,PFVar!$I$47:$FU$47)</f>
        <v>0</v>
      </c>
      <c r="BJ45" s="106">
        <f>_xlfn.XLOOKUP(BJ44,PFVar!$I$35:$FU$35,PFVar!$I$47:$FU$47)</f>
        <v>0</v>
      </c>
      <c r="BK45" s="106">
        <f>_xlfn.XLOOKUP(BK44,PFVar!$I$35:$FU$35,PFVar!$I$47:$FU$47)</f>
        <v>0</v>
      </c>
      <c r="BL45" s="106">
        <f>_xlfn.XLOOKUP(BL44,PFVar!$I$35:$FU$35,PFVar!$I$47:$FU$47)</f>
        <v>0</v>
      </c>
      <c r="BM45" s="106">
        <f>_xlfn.XLOOKUP(BM44,PFVar!$I$35:$FU$35,PFVar!$I$47:$FU$47)</f>
        <v>0</v>
      </c>
      <c r="BN45" s="106">
        <f>_xlfn.XLOOKUP(BN44,PFVar!$I$35:$FU$35,PFVar!$I$47:$FU$47)</f>
        <v>0</v>
      </c>
      <c r="BO45" s="106"/>
    </row>
    <row r="46" spans="2:67" ht="9" customHeight="1" x14ac:dyDescent="0.25">
      <c r="C46" s="61" t="s">
        <v>16</v>
      </c>
      <c r="D46" s="61" t="s">
        <v>6</v>
      </c>
      <c r="E46" s="61" t="s">
        <v>5</v>
      </c>
      <c r="G46" s="61" t="s">
        <v>205</v>
      </c>
      <c r="H46" s="55"/>
      <c r="K46" s="45">
        <v>7</v>
      </c>
      <c r="L46" s="87" t="s">
        <v>108</v>
      </c>
      <c r="M46" s="88"/>
      <c r="N46" s="89"/>
      <c r="O46" s="87" t="s">
        <v>109</v>
      </c>
      <c r="P46" s="88"/>
      <c r="Q46" s="89"/>
      <c r="R46" s="87" t="s">
        <v>110</v>
      </c>
      <c r="S46" s="88"/>
      <c r="T46" s="89"/>
      <c r="U46" s="87" t="s">
        <v>111</v>
      </c>
      <c r="V46" s="88"/>
      <c r="W46" s="89"/>
      <c r="X46" s="87" t="s">
        <v>112</v>
      </c>
      <c r="Y46" s="88"/>
      <c r="Z46" s="89"/>
      <c r="AA46" s="87" t="s">
        <v>113</v>
      </c>
      <c r="AB46" s="88"/>
      <c r="AC46" s="89"/>
      <c r="AD46" s="87" t="s">
        <v>114</v>
      </c>
      <c r="AE46" s="88"/>
      <c r="AF46" s="89"/>
      <c r="AG46" s="87">
        <v>77</v>
      </c>
      <c r="AH46" s="88"/>
      <c r="AI46" s="89"/>
      <c r="AJ46" s="87" t="s">
        <v>116</v>
      </c>
      <c r="AK46" s="88"/>
      <c r="AL46" s="89"/>
      <c r="AM46" s="87" t="s">
        <v>117</v>
      </c>
      <c r="AN46" s="88"/>
      <c r="AO46" s="89"/>
      <c r="AP46" s="87" t="s">
        <v>118</v>
      </c>
      <c r="AQ46" s="88"/>
      <c r="AR46" s="89"/>
      <c r="AS46" s="87" t="s">
        <v>119</v>
      </c>
      <c r="AT46" s="88"/>
      <c r="AU46" s="89"/>
      <c r="AV46" s="87" t="s">
        <v>120</v>
      </c>
      <c r="AW46" s="88"/>
      <c r="AX46" s="89"/>
      <c r="BB46" s="45"/>
      <c r="BC46" s="105" t="s">
        <v>108</v>
      </c>
      <c r="BD46" s="105" t="s">
        <v>109</v>
      </c>
      <c r="BE46" s="105" t="s">
        <v>110</v>
      </c>
      <c r="BF46" s="105" t="s">
        <v>111</v>
      </c>
      <c r="BG46" s="105" t="s">
        <v>112</v>
      </c>
      <c r="BH46" s="105" t="s">
        <v>113</v>
      </c>
      <c r="BI46" s="105" t="s">
        <v>114</v>
      </c>
      <c r="BJ46" s="107">
        <v>77</v>
      </c>
      <c r="BK46" s="105" t="s">
        <v>116</v>
      </c>
      <c r="BL46" s="105" t="s">
        <v>117</v>
      </c>
      <c r="BM46" s="105" t="s">
        <v>118</v>
      </c>
      <c r="BN46" s="105" t="s">
        <v>119</v>
      </c>
      <c r="BO46" s="105" t="s">
        <v>120</v>
      </c>
    </row>
    <row r="47" spans="2:67" ht="9" customHeight="1" thickBot="1" x14ac:dyDescent="0.25">
      <c r="C47" s="62" t="str">
        <f>IFERROR(_xlfn.XLOOKUP(PFVar!P29,PFVar!I35:FU35,PFVar!I40:FU40),"")</f>
        <v/>
      </c>
      <c r="D47" s="62" t="str">
        <f>IFERROR(_xlfn.XLOOKUP(PFVar!P29,PFVar!I35:FU35,PFVar!I37:FU37),"")</f>
        <v/>
      </c>
      <c r="E47" s="62" t="str">
        <f>IFERROR(_xlfn.XLOOKUP(PFVar!P29,PFVar!I35:FU35,PFVar!I38:FU38),"")</f>
        <v/>
      </c>
      <c r="G47" s="55">
        <f>IF(C47&gt;0, PFVar!S14, IF(D47&gt;0, "Call", "Fold"))</f>
        <v>2.5</v>
      </c>
      <c r="H47" s="55" t="str">
        <f>IFERROR(IF(PFVar!Y17&gt;PFVar!Y14, "IP", "OOP"),"")</f>
        <v>IP</v>
      </c>
      <c r="J47" s="46"/>
      <c r="K47" s="47"/>
      <c r="L47" s="57">
        <f>_xlfn.XLOOKUP(L46,PFVar!$I$35:$FU$35,PFVar!$I$47:$FU$47)</f>
        <v>0</v>
      </c>
      <c r="M47" s="58">
        <f>_xlfn.XLOOKUP(L46,PFVar!$I$35:$FU$35,PFVar!$I$44:$FU$44)</f>
        <v>0</v>
      </c>
      <c r="N47" s="59">
        <f>_xlfn.XLOOKUP(L46,PFVar!$I$35:$FU$35,PFVar!$I$45:$FU$45)</f>
        <v>0</v>
      </c>
      <c r="O47" s="57">
        <f>_xlfn.XLOOKUP(O46,PFVar!$I$35:$FU$35,PFVar!$I$47:$FU$47)</f>
        <v>0</v>
      </c>
      <c r="P47" s="58">
        <f>_xlfn.XLOOKUP(O46,PFVar!$I$35:$FU$35,PFVar!$I$44:$FU$44)</f>
        <v>0</v>
      </c>
      <c r="Q47" s="59">
        <f>_xlfn.XLOOKUP(O46,PFVar!$I$35:$FU$35,PFVar!$I$45:$FU$45)</f>
        <v>0</v>
      </c>
      <c r="R47" s="57">
        <f>_xlfn.XLOOKUP(R46,PFVar!$I$35:$FU$35,PFVar!$I$47:$FU$47)</f>
        <v>0</v>
      </c>
      <c r="S47" s="58">
        <f>_xlfn.XLOOKUP(R46,PFVar!$I$35:$FU$35,PFVar!$I$44:$FU$44)</f>
        <v>0</v>
      </c>
      <c r="T47" s="59">
        <f>_xlfn.XLOOKUP(R46,PFVar!$I$35:$FU$35,PFVar!$I$45:$FU$45)</f>
        <v>0</v>
      </c>
      <c r="U47" s="57">
        <f>_xlfn.XLOOKUP(U46,PFVar!$I$35:$FU$35,PFVar!$I$47:$FU$47)</f>
        <v>0</v>
      </c>
      <c r="V47" s="58">
        <f>_xlfn.XLOOKUP(U46,PFVar!$I$35:$FU$35,PFVar!$I$44:$FU$44)</f>
        <v>0</v>
      </c>
      <c r="W47" s="59">
        <f>_xlfn.XLOOKUP(U46,PFVar!$I$35:$FU$35,PFVar!$I$45:$FU$45)</f>
        <v>0</v>
      </c>
      <c r="X47" s="57">
        <f>_xlfn.XLOOKUP(X46,PFVar!$I$35:$FU$35,PFVar!$I$47:$FU$47)</f>
        <v>0</v>
      </c>
      <c r="Y47" s="58">
        <f>_xlfn.XLOOKUP(X46,PFVar!$I$35:$FU$35,PFVar!$I$44:$FU$44)</f>
        <v>0</v>
      </c>
      <c r="Z47" s="59">
        <f>_xlfn.XLOOKUP(X46,PFVar!$I$35:$FU$35,PFVar!$I$45:$FU$45)</f>
        <v>0</v>
      </c>
      <c r="AA47" s="57">
        <f>_xlfn.XLOOKUP(AA46,PFVar!$I$35:$FU$35,PFVar!$I$47:$FU$47)</f>
        <v>0</v>
      </c>
      <c r="AB47" s="58">
        <f>_xlfn.XLOOKUP(AA46,PFVar!$I$35:$FU$35,PFVar!$I$44:$FU$44)</f>
        <v>0</v>
      </c>
      <c r="AC47" s="59">
        <f>_xlfn.XLOOKUP(AA46,PFVar!$I$35:$FU$35,PFVar!$I$45:$FU$45)</f>
        <v>0</v>
      </c>
      <c r="AD47" s="57">
        <f>_xlfn.XLOOKUP(AD46,PFVar!$I$35:$FU$35,PFVar!$I$47:$FU$47)</f>
        <v>0</v>
      </c>
      <c r="AE47" s="58">
        <f>_xlfn.XLOOKUP(AD46,PFVar!$I$35:$FU$35,PFVar!$I$44:$FU$44)</f>
        <v>0</v>
      </c>
      <c r="AF47" s="59">
        <f>_xlfn.XLOOKUP(AD46,PFVar!$I$35:$FU$35,PFVar!$I$45:$FU$45)</f>
        <v>0</v>
      </c>
      <c r="AG47" s="57">
        <f>_xlfn.XLOOKUP(AG46,PFVar!$I$35:$FU$35,PFVar!$I$47:$FU$47)</f>
        <v>0</v>
      </c>
      <c r="AH47" s="58">
        <f>_xlfn.XLOOKUP(AG46,PFVar!$I$35:$FU$35,PFVar!$I$44:$FU$44)</f>
        <v>0</v>
      </c>
      <c r="AI47" s="59">
        <f>_xlfn.XLOOKUP(AG46,PFVar!$I$35:$FU$35,PFVar!$I$45:$FU$45)</f>
        <v>0</v>
      </c>
      <c r="AJ47" s="57">
        <f>_xlfn.XLOOKUP(AJ46,PFVar!$I$35:$FU$35,PFVar!$I$47:$FU$47)</f>
        <v>0</v>
      </c>
      <c r="AK47" s="58">
        <f>_xlfn.XLOOKUP(AJ46,PFVar!$I$35:$FU$35,PFVar!$I$44:$FU$44)</f>
        <v>0</v>
      </c>
      <c r="AL47" s="59">
        <f>_xlfn.XLOOKUP(AJ46,PFVar!$I$35:$FU$35,PFVar!$I$45:$FU$45)</f>
        <v>0</v>
      </c>
      <c r="AM47" s="57">
        <f>_xlfn.XLOOKUP(AM46,PFVar!$I$35:$FU$35,PFVar!$I$47:$FU$47)</f>
        <v>0</v>
      </c>
      <c r="AN47" s="58">
        <f>_xlfn.XLOOKUP(AM46,PFVar!$I$35:$FU$35,PFVar!$I$44:$FU$44)</f>
        <v>0</v>
      </c>
      <c r="AO47" s="59">
        <f>_xlfn.XLOOKUP(AM46,PFVar!$I$35:$FU$35,PFVar!$I$45:$FU$45)</f>
        <v>0</v>
      </c>
      <c r="AP47" s="57">
        <f>_xlfn.XLOOKUP(AP46,PFVar!$I$35:$FU$35,PFVar!$I$47:$FU$47)</f>
        <v>0</v>
      </c>
      <c r="AQ47" s="58">
        <f>_xlfn.XLOOKUP(AP46,PFVar!$I$35:$FU$35,PFVar!$I$44:$FU$44)</f>
        <v>0</v>
      </c>
      <c r="AR47" s="59">
        <f>_xlfn.XLOOKUP(AP46,PFVar!$I$35:$FU$35,PFVar!$I$45:$FU$45)</f>
        <v>0</v>
      </c>
      <c r="AS47" s="57">
        <f>_xlfn.XLOOKUP(AS46,PFVar!$I$35:$FU$35,PFVar!$I$47:$FU$47)</f>
        <v>0</v>
      </c>
      <c r="AT47" s="58">
        <f>_xlfn.XLOOKUP(AS46,PFVar!$I$35:$FU$35,PFVar!$I$44:$FU$44)</f>
        <v>0</v>
      </c>
      <c r="AU47" s="59">
        <f>_xlfn.XLOOKUP(AS46,PFVar!$I$35:$FU$35,PFVar!$I$45:$FU$45)</f>
        <v>0</v>
      </c>
      <c r="AV47" s="57">
        <f>_xlfn.XLOOKUP(AV46,PFVar!$I$35:$FU$35,PFVar!$I$47:$FU$47)</f>
        <v>0</v>
      </c>
      <c r="AW47" s="58">
        <f>_xlfn.XLOOKUP(AV46,PFVar!$I$35:$FU$35,PFVar!$I$44:$FU$44)</f>
        <v>0</v>
      </c>
      <c r="AX47" s="59">
        <f>_xlfn.XLOOKUP(AV46,PFVar!$I$35:$FU$35,PFVar!$I$45:$FU$45)</f>
        <v>0</v>
      </c>
      <c r="BB47" s="47"/>
      <c r="BC47" s="106"/>
      <c r="BD47" s="106">
        <f>_xlfn.XLOOKUP(BD46,PFVar!$I$35:$FU$35,PFVar!$I$47:$FU$47)</f>
        <v>0</v>
      </c>
      <c r="BE47" s="106">
        <f>_xlfn.XLOOKUP(BE46,PFVar!$I$35:$FU$35,PFVar!$I$47:$FU$47)</f>
        <v>0</v>
      </c>
      <c r="BF47" s="106">
        <f>_xlfn.XLOOKUP(BF46,PFVar!$I$35:$FU$35,PFVar!$I$47:$FU$47)</f>
        <v>0</v>
      </c>
      <c r="BG47" s="106">
        <f>_xlfn.XLOOKUP(BG46,PFVar!$I$35:$FU$35,PFVar!$I$47:$FU$47)</f>
        <v>0</v>
      </c>
      <c r="BH47" s="106">
        <f>_xlfn.XLOOKUP(BH46,PFVar!$I$35:$FU$35,PFVar!$I$47:$FU$47)</f>
        <v>0</v>
      </c>
      <c r="BI47" s="106">
        <f>_xlfn.XLOOKUP(BI46,PFVar!$I$35:$FU$35,PFVar!$I$47:$FU$47)</f>
        <v>0</v>
      </c>
      <c r="BJ47" s="106">
        <f>_xlfn.XLOOKUP(BJ46,PFVar!$I$35:$FU$35,PFVar!$I$47:$FU$47)</f>
        <v>0</v>
      </c>
      <c r="BK47" s="106">
        <f>_xlfn.XLOOKUP(BK46,PFVar!$I$35:$FU$35,PFVar!$I$47:$FU$47)</f>
        <v>0</v>
      </c>
      <c r="BL47" s="106">
        <f>_xlfn.XLOOKUP(BL46,PFVar!$I$35:$FU$35,PFVar!$I$47:$FU$47)</f>
        <v>0</v>
      </c>
      <c r="BM47" s="106">
        <f>_xlfn.XLOOKUP(BM46,PFVar!$I$35:$FU$35,PFVar!$I$47:$FU$47)</f>
        <v>0</v>
      </c>
      <c r="BN47" s="106">
        <f>_xlfn.XLOOKUP(BN46,PFVar!$I$35:$FU$35,PFVar!$I$47:$FU$47)</f>
        <v>0</v>
      </c>
      <c r="BO47" s="106"/>
    </row>
    <row r="48" spans="2:67" ht="9" customHeight="1" x14ac:dyDescent="0.25">
      <c r="L48" s="87" t="s">
        <v>121</v>
      </c>
      <c r="M48" s="88"/>
      <c r="N48" s="89"/>
      <c r="O48" s="87" t="s">
        <v>122</v>
      </c>
      <c r="P48" s="88"/>
      <c r="Q48" s="89"/>
      <c r="R48" s="87" t="s">
        <v>123</v>
      </c>
      <c r="S48" s="88"/>
      <c r="T48" s="89"/>
      <c r="U48" s="87" t="s">
        <v>124</v>
      </c>
      <c r="V48" s="88"/>
      <c r="W48" s="89"/>
      <c r="X48" s="87" t="s">
        <v>125</v>
      </c>
      <c r="Y48" s="88"/>
      <c r="Z48" s="89"/>
      <c r="AA48" s="87" t="s">
        <v>126</v>
      </c>
      <c r="AB48" s="88"/>
      <c r="AC48" s="89"/>
      <c r="AD48" s="87" t="s">
        <v>127</v>
      </c>
      <c r="AE48" s="88"/>
      <c r="AF48" s="89"/>
      <c r="AG48" s="87" t="s">
        <v>128</v>
      </c>
      <c r="AH48" s="88"/>
      <c r="AI48" s="89"/>
      <c r="AJ48" s="87">
        <v>66</v>
      </c>
      <c r="AK48" s="88"/>
      <c r="AL48" s="89"/>
      <c r="AM48" s="87" t="s">
        <v>130</v>
      </c>
      <c r="AN48" s="88"/>
      <c r="AO48" s="89"/>
      <c r="AP48" s="87" t="s">
        <v>131</v>
      </c>
      <c r="AQ48" s="88"/>
      <c r="AR48" s="89"/>
      <c r="AS48" s="87" t="s">
        <v>132</v>
      </c>
      <c r="AT48" s="88"/>
      <c r="AU48" s="89"/>
      <c r="AV48" s="87" t="s">
        <v>133</v>
      </c>
      <c r="AW48" s="88"/>
      <c r="AX48" s="89"/>
      <c r="BC48" s="105" t="s">
        <v>121</v>
      </c>
      <c r="BD48" s="105" t="s">
        <v>122</v>
      </c>
      <c r="BE48" s="105" t="s">
        <v>123</v>
      </c>
      <c r="BF48" s="105" t="s">
        <v>124</v>
      </c>
      <c r="BG48" s="105" t="s">
        <v>125</v>
      </c>
      <c r="BH48" s="105" t="s">
        <v>126</v>
      </c>
      <c r="BI48" s="105" t="s">
        <v>127</v>
      </c>
      <c r="BJ48" s="105" t="s">
        <v>128</v>
      </c>
      <c r="BK48" s="107">
        <v>66</v>
      </c>
      <c r="BL48" s="105" t="s">
        <v>130</v>
      </c>
      <c r="BM48" s="105" t="s">
        <v>131</v>
      </c>
      <c r="BN48" s="105" t="s">
        <v>132</v>
      </c>
      <c r="BO48" s="105" t="s">
        <v>133</v>
      </c>
    </row>
    <row r="49" spans="2:67" ht="9" customHeight="1" thickBot="1" x14ac:dyDescent="0.3">
      <c r="B49" s="63" t="s">
        <v>188</v>
      </c>
      <c r="K49" s="45"/>
      <c r="L49" s="57">
        <f>_xlfn.XLOOKUP(L48,PFVar!$I$35:$FU$35,PFVar!$I$47:$FU$47)</f>
        <v>0</v>
      </c>
      <c r="M49" s="58">
        <f>_xlfn.XLOOKUP(L48,PFVar!$I$35:$FU$35,PFVar!$I$44:$FU$44)</f>
        <v>0</v>
      </c>
      <c r="N49" s="59">
        <f>_xlfn.XLOOKUP(L48,PFVar!$I$35:$FU$35,PFVar!$I$45:$FU$45)</f>
        <v>0</v>
      </c>
      <c r="O49" s="57">
        <f>_xlfn.XLOOKUP(O48,PFVar!$I$35:$FU$35,PFVar!$I$47:$FU$47)</f>
        <v>0</v>
      </c>
      <c r="P49" s="58">
        <f>_xlfn.XLOOKUP(O48,PFVar!$I$35:$FU$35,PFVar!$I$44:$FU$44)</f>
        <v>0</v>
      </c>
      <c r="Q49" s="59">
        <f>_xlfn.XLOOKUP(O48,PFVar!$I$35:$FU$35,PFVar!$I$45:$FU$45)</f>
        <v>0</v>
      </c>
      <c r="R49" s="57">
        <f>_xlfn.XLOOKUP(R48,PFVar!$I$35:$FU$35,PFVar!$I$47:$FU$47)</f>
        <v>0</v>
      </c>
      <c r="S49" s="58">
        <f>_xlfn.XLOOKUP(R48,PFVar!$I$35:$FU$35,PFVar!$I$44:$FU$44)</f>
        <v>0</v>
      </c>
      <c r="T49" s="59">
        <f>_xlfn.XLOOKUP(R48,PFVar!$I$35:$FU$35,PFVar!$I$45:$FU$45)</f>
        <v>0</v>
      </c>
      <c r="U49" s="57">
        <f>_xlfn.XLOOKUP(U48,PFVar!$I$35:$FU$35,PFVar!$I$47:$FU$47)</f>
        <v>0</v>
      </c>
      <c r="V49" s="58">
        <f>_xlfn.XLOOKUP(U48,PFVar!$I$35:$FU$35,PFVar!$I$44:$FU$44)</f>
        <v>0</v>
      </c>
      <c r="W49" s="59">
        <f>_xlfn.XLOOKUP(U48,PFVar!$I$35:$FU$35,PFVar!$I$45:$FU$45)</f>
        <v>0</v>
      </c>
      <c r="X49" s="57">
        <f>_xlfn.XLOOKUP(X48,PFVar!$I$35:$FU$35,PFVar!$I$47:$FU$47)</f>
        <v>0</v>
      </c>
      <c r="Y49" s="58">
        <f>_xlfn.XLOOKUP(X48,PFVar!$I$35:$FU$35,PFVar!$I$44:$FU$44)</f>
        <v>0</v>
      </c>
      <c r="Z49" s="59">
        <f>_xlfn.XLOOKUP(X48,PFVar!$I$35:$FU$35,PFVar!$I$45:$FU$45)</f>
        <v>0</v>
      </c>
      <c r="AA49" s="57">
        <f>_xlfn.XLOOKUP(AA48,PFVar!$I$35:$FU$35,PFVar!$I$47:$FU$47)</f>
        <v>0</v>
      </c>
      <c r="AB49" s="58">
        <f>_xlfn.XLOOKUP(AA48,PFVar!$I$35:$FU$35,PFVar!$I$44:$FU$44)</f>
        <v>0</v>
      </c>
      <c r="AC49" s="59">
        <f>_xlfn.XLOOKUP(AA48,PFVar!$I$35:$FU$35,PFVar!$I$45:$FU$45)</f>
        <v>0</v>
      </c>
      <c r="AD49" s="57">
        <f>_xlfn.XLOOKUP(AD48,PFVar!$I$35:$FU$35,PFVar!$I$47:$FU$47)</f>
        <v>0</v>
      </c>
      <c r="AE49" s="58">
        <f>_xlfn.XLOOKUP(AD48,PFVar!$I$35:$FU$35,PFVar!$I$44:$FU$44)</f>
        <v>0</v>
      </c>
      <c r="AF49" s="59">
        <f>_xlfn.XLOOKUP(AD48,PFVar!$I$35:$FU$35,PFVar!$I$45:$FU$45)</f>
        <v>0</v>
      </c>
      <c r="AG49" s="57">
        <f>_xlfn.XLOOKUP(AG48,PFVar!$I$35:$FU$35,PFVar!$I$47:$FU$47)</f>
        <v>0</v>
      </c>
      <c r="AH49" s="58">
        <f>_xlfn.XLOOKUP(AG48,PFVar!$I$35:$FU$35,PFVar!$I$44:$FU$44)</f>
        <v>0</v>
      </c>
      <c r="AI49" s="59">
        <f>_xlfn.XLOOKUP(AG48,PFVar!$I$35:$FU$35,PFVar!$I$45:$FU$45)</f>
        <v>0</v>
      </c>
      <c r="AJ49" s="57">
        <f>_xlfn.XLOOKUP(AJ48,PFVar!$I$35:$FU$35,PFVar!$I$47:$FU$47)</f>
        <v>0</v>
      </c>
      <c r="AK49" s="58">
        <f>_xlfn.XLOOKUP(AJ48,PFVar!$I$35:$FU$35,PFVar!$I$44:$FU$44)</f>
        <v>0</v>
      </c>
      <c r="AL49" s="59">
        <f>_xlfn.XLOOKUP(AJ48,PFVar!$I$35:$FU$35,PFVar!$I$45:$FU$45)</f>
        <v>0</v>
      </c>
      <c r="AM49" s="57">
        <f>_xlfn.XLOOKUP(AM48,PFVar!$I$35:$FU$35,PFVar!$I$47:$FU$47)</f>
        <v>0</v>
      </c>
      <c r="AN49" s="58">
        <f>_xlfn.XLOOKUP(AM48,PFVar!$I$35:$FU$35,PFVar!$I$44:$FU$44)</f>
        <v>0</v>
      </c>
      <c r="AO49" s="59">
        <f>_xlfn.XLOOKUP(AM48,PFVar!$I$35:$FU$35,PFVar!$I$45:$FU$45)</f>
        <v>0</v>
      </c>
      <c r="AP49" s="57">
        <f>_xlfn.XLOOKUP(AP48,PFVar!$I$35:$FU$35,PFVar!$I$47:$FU$47)</f>
        <v>0</v>
      </c>
      <c r="AQ49" s="58">
        <f>_xlfn.XLOOKUP(AP48,PFVar!$I$35:$FU$35,PFVar!$I$44:$FU$44)</f>
        <v>0</v>
      </c>
      <c r="AR49" s="59">
        <f>_xlfn.XLOOKUP(AP48,PFVar!$I$35:$FU$35,PFVar!$I$45:$FU$45)</f>
        <v>0</v>
      </c>
      <c r="AS49" s="57">
        <f>_xlfn.XLOOKUP(AS48,PFVar!$I$35:$FU$35,PFVar!$I$47:$FU$47)</f>
        <v>0</v>
      </c>
      <c r="AT49" s="58">
        <f>_xlfn.XLOOKUP(AS48,PFVar!$I$35:$FU$35,PFVar!$I$44:$FU$44)</f>
        <v>0</v>
      </c>
      <c r="AU49" s="59">
        <f>_xlfn.XLOOKUP(AS48,PFVar!$I$35:$FU$35,PFVar!$I$45:$FU$45)</f>
        <v>0</v>
      </c>
      <c r="AV49" s="57">
        <f>_xlfn.XLOOKUP(AV48,PFVar!$I$35:$FU$35,PFVar!$I$47:$FU$47)</f>
        <v>0</v>
      </c>
      <c r="AW49" s="58">
        <f>_xlfn.XLOOKUP(AV48,PFVar!$I$35:$FU$35,PFVar!$I$44:$FU$44)</f>
        <v>0</v>
      </c>
      <c r="AX49" s="59">
        <f>_xlfn.XLOOKUP(AV48,PFVar!$I$35:$FU$35,PFVar!$I$45:$FU$45)</f>
        <v>0</v>
      </c>
      <c r="BB49" s="45"/>
      <c r="BC49" s="106"/>
      <c r="BD49" s="106">
        <f>_xlfn.XLOOKUP(BD48,PFVar!$I$35:$FU$35,PFVar!$I$47:$FU$47)</f>
        <v>0</v>
      </c>
      <c r="BE49" s="106">
        <f>_xlfn.XLOOKUP(BE48,PFVar!$I$35:$FU$35,PFVar!$I$47:$FU$47)</f>
        <v>0</v>
      </c>
      <c r="BF49" s="106">
        <f>_xlfn.XLOOKUP(BF48,PFVar!$I$35:$FU$35,PFVar!$I$47:$FU$47)</f>
        <v>0</v>
      </c>
      <c r="BG49" s="106">
        <f>_xlfn.XLOOKUP(BG48,PFVar!$I$35:$FU$35,PFVar!$I$47:$FU$47)</f>
        <v>0</v>
      </c>
      <c r="BH49" s="106">
        <f>_xlfn.XLOOKUP(BH48,PFVar!$I$35:$FU$35,PFVar!$I$47:$FU$47)</f>
        <v>0</v>
      </c>
      <c r="BI49" s="106">
        <f>_xlfn.XLOOKUP(BI48,PFVar!$I$35:$FU$35,PFVar!$I$47:$FU$47)</f>
        <v>0</v>
      </c>
      <c r="BJ49" s="106">
        <f>_xlfn.XLOOKUP(BJ48,PFVar!$I$35:$FU$35,PFVar!$I$47:$FU$47)</f>
        <v>0</v>
      </c>
      <c r="BK49" s="106">
        <f>_xlfn.XLOOKUP(BK48,PFVar!$I$35:$FU$35,PFVar!$I$47:$FU$47)</f>
        <v>0</v>
      </c>
      <c r="BL49" s="106">
        <f>_xlfn.XLOOKUP(BL48,PFVar!$I$35:$FU$35,PFVar!$I$47:$FU$47)</f>
        <v>0</v>
      </c>
      <c r="BM49" s="106">
        <f>_xlfn.XLOOKUP(BM48,PFVar!$I$35:$FU$35,PFVar!$I$47:$FU$47)</f>
        <v>0</v>
      </c>
      <c r="BN49" s="106">
        <f>_xlfn.XLOOKUP(BN48,PFVar!$I$35:$FU$35,PFVar!$I$47:$FU$47)</f>
        <v>0</v>
      </c>
      <c r="BO49" s="106"/>
    </row>
    <row r="50" spans="2:67" ht="9" customHeight="1" x14ac:dyDescent="0.25">
      <c r="B50" s="60"/>
      <c r="D50" s="61" t="s">
        <v>16</v>
      </c>
      <c r="E50" s="55"/>
      <c r="K50" s="45">
        <v>5</v>
      </c>
      <c r="L50" s="87" t="s">
        <v>134</v>
      </c>
      <c r="M50" s="88"/>
      <c r="N50" s="89"/>
      <c r="O50" s="87" t="s">
        <v>135</v>
      </c>
      <c r="P50" s="88"/>
      <c r="Q50" s="89"/>
      <c r="R50" s="87" t="s">
        <v>136</v>
      </c>
      <c r="S50" s="88"/>
      <c r="T50" s="89"/>
      <c r="U50" s="87" t="s">
        <v>137</v>
      </c>
      <c r="V50" s="88"/>
      <c r="W50" s="89"/>
      <c r="X50" s="87" t="s">
        <v>138</v>
      </c>
      <c r="Y50" s="88"/>
      <c r="Z50" s="89"/>
      <c r="AA50" s="87" t="s">
        <v>139</v>
      </c>
      <c r="AB50" s="88"/>
      <c r="AC50" s="89"/>
      <c r="AD50" s="87" t="s">
        <v>140</v>
      </c>
      <c r="AE50" s="88"/>
      <c r="AF50" s="89"/>
      <c r="AG50" s="87" t="s">
        <v>141</v>
      </c>
      <c r="AH50" s="88"/>
      <c r="AI50" s="89"/>
      <c r="AJ50" s="87" t="s">
        <v>142</v>
      </c>
      <c r="AK50" s="88"/>
      <c r="AL50" s="89"/>
      <c r="AM50" s="87">
        <v>55</v>
      </c>
      <c r="AN50" s="88"/>
      <c r="AO50" s="89"/>
      <c r="AP50" s="87" t="s">
        <v>144</v>
      </c>
      <c r="AQ50" s="88"/>
      <c r="AR50" s="89"/>
      <c r="AS50" s="87" t="s">
        <v>145</v>
      </c>
      <c r="AT50" s="88"/>
      <c r="AU50" s="89"/>
      <c r="AV50" s="87" t="s">
        <v>146</v>
      </c>
      <c r="AW50" s="88"/>
      <c r="AX50" s="89"/>
      <c r="BB50" s="45"/>
      <c r="BC50" s="105" t="s">
        <v>134</v>
      </c>
      <c r="BD50" s="105" t="s">
        <v>135</v>
      </c>
      <c r="BE50" s="105" t="s">
        <v>136</v>
      </c>
      <c r="BF50" s="105" t="s">
        <v>137</v>
      </c>
      <c r="BG50" s="105" t="s">
        <v>138</v>
      </c>
      <c r="BH50" s="105" t="s">
        <v>139</v>
      </c>
      <c r="BI50" s="105" t="s">
        <v>140</v>
      </c>
      <c r="BJ50" s="105" t="s">
        <v>141</v>
      </c>
      <c r="BK50" s="105" t="s">
        <v>142</v>
      </c>
      <c r="BL50" s="105">
        <v>55</v>
      </c>
      <c r="BM50" s="105" t="s">
        <v>144</v>
      </c>
      <c r="BN50" s="105" t="s">
        <v>145</v>
      </c>
      <c r="BO50" s="105" t="s">
        <v>146</v>
      </c>
    </row>
    <row r="51" spans="2:67" ht="9" customHeight="1" thickBot="1" x14ac:dyDescent="0.3">
      <c r="D51" s="61" t="str">
        <f>IF(E52="", "Amount", "Min")</f>
        <v>Amount</v>
      </c>
      <c r="E51" s="55" t="str">
        <f>IF(E52="", "", "Max")</f>
        <v/>
      </c>
      <c r="K51" s="45"/>
      <c r="L51" s="57">
        <f>_xlfn.XLOOKUP(L50,PFVar!$I$35:$FU$35,PFVar!$I$47:$FU$47)</f>
        <v>0</v>
      </c>
      <c r="M51" s="58">
        <f>_xlfn.XLOOKUP(L50,PFVar!$I$35:$FU$35,PFVar!$I$44:$FU$44)</f>
        <v>0</v>
      </c>
      <c r="N51" s="59">
        <f>_xlfn.XLOOKUP(L50,PFVar!$I$35:$FU$35,PFVar!$I$45:$FU$45)</f>
        <v>0</v>
      </c>
      <c r="O51" s="57">
        <f>_xlfn.XLOOKUP(O50,PFVar!$I$35:$FU$35,PFVar!$I$47:$FU$47)</f>
        <v>0</v>
      </c>
      <c r="P51" s="58">
        <f>_xlfn.XLOOKUP(O50,PFVar!$I$35:$FU$35,PFVar!$I$44:$FU$44)</f>
        <v>0</v>
      </c>
      <c r="Q51" s="59">
        <f>_xlfn.XLOOKUP(O50,PFVar!$I$35:$FU$35,PFVar!$I$45:$FU$45)</f>
        <v>0</v>
      </c>
      <c r="R51" s="57">
        <f>_xlfn.XLOOKUP(R50,PFVar!$I$35:$FU$35,PFVar!$I$47:$FU$47)</f>
        <v>0</v>
      </c>
      <c r="S51" s="58">
        <f>_xlfn.XLOOKUP(R50,PFVar!$I$35:$FU$35,PFVar!$I$44:$FU$44)</f>
        <v>0</v>
      </c>
      <c r="T51" s="59">
        <f>_xlfn.XLOOKUP(R50,PFVar!$I$35:$FU$35,PFVar!$I$45:$FU$45)</f>
        <v>0</v>
      </c>
      <c r="U51" s="57">
        <f>_xlfn.XLOOKUP(U50,PFVar!$I$35:$FU$35,PFVar!$I$47:$FU$47)</f>
        <v>0</v>
      </c>
      <c r="V51" s="58">
        <f>_xlfn.XLOOKUP(U50,PFVar!$I$35:$FU$35,PFVar!$I$44:$FU$44)</f>
        <v>0</v>
      </c>
      <c r="W51" s="59">
        <f>_xlfn.XLOOKUP(U50,PFVar!$I$35:$FU$35,PFVar!$I$45:$FU$45)</f>
        <v>0</v>
      </c>
      <c r="X51" s="57">
        <f>_xlfn.XLOOKUP(X50,PFVar!$I$35:$FU$35,PFVar!$I$47:$FU$47)</f>
        <v>0</v>
      </c>
      <c r="Y51" s="58">
        <f>_xlfn.XLOOKUP(X50,PFVar!$I$35:$FU$35,PFVar!$I$44:$FU$44)</f>
        <v>0</v>
      </c>
      <c r="Z51" s="59">
        <f>_xlfn.XLOOKUP(X50,PFVar!$I$35:$FU$35,PFVar!$I$45:$FU$45)</f>
        <v>0</v>
      </c>
      <c r="AA51" s="57">
        <f>_xlfn.XLOOKUP(AA50,PFVar!$I$35:$FU$35,PFVar!$I$47:$FU$47)</f>
        <v>0</v>
      </c>
      <c r="AB51" s="58">
        <f>_xlfn.XLOOKUP(AA50,PFVar!$I$35:$FU$35,PFVar!$I$44:$FU$44)</f>
        <v>0</v>
      </c>
      <c r="AC51" s="59">
        <f>_xlfn.XLOOKUP(AA50,PFVar!$I$35:$FU$35,PFVar!$I$45:$FU$45)</f>
        <v>0</v>
      </c>
      <c r="AD51" s="57">
        <f>_xlfn.XLOOKUP(AD50,PFVar!$I$35:$FU$35,PFVar!$I$47:$FU$47)</f>
        <v>0</v>
      </c>
      <c r="AE51" s="58">
        <f>_xlfn.XLOOKUP(AD50,PFVar!$I$35:$FU$35,PFVar!$I$44:$FU$44)</f>
        <v>0</v>
      </c>
      <c r="AF51" s="59">
        <f>_xlfn.XLOOKUP(AD50,PFVar!$I$35:$FU$35,PFVar!$I$45:$FU$45)</f>
        <v>0</v>
      </c>
      <c r="AG51" s="57">
        <f>_xlfn.XLOOKUP(AG50,PFVar!$I$35:$FU$35,PFVar!$I$47:$FU$47)</f>
        <v>0</v>
      </c>
      <c r="AH51" s="58">
        <f>_xlfn.XLOOKUP(AG50,PFVar!$I$35:$FU$35,PFVar!$I$44:$FU$44)</f>
        <v>0</v>
      </c>
      <c r="AI51" s="59">
        <f>_xlfn.XLOOKUP(AG50,PFVar!$I$35:$FU$35,PFVar!$I$45:$FU$45)</f>
        <v>0</v>
      </c>
      <c r="AJ51" s="57">
        <f>_xlfn.XLOOKUP(AJ50,PFVar!$I$35:$FU$35,PFVar!$I$47:$FU$47)</f>
        <v>0</v>
      </c>
      <c r="AK51" s="58">
        <f>_xlfn.XLOOKUP(AJ50,PFVar!$I$35:$FU$35,PFVar!$I$44:$FU$44)</f>
        <v>0</v>
      </c>
      <c r="AL51" s="59">
        <f>_xlfn.XLOOKUP(AJ50,PFVar!$I$35:$FU$35,PFVar!$I$45:$FU$45)</f>
        <v>0</v>
      </c>
      <c r="AM51" s="57">
        <f>_xlfn.XLOOKUP(AM50,PFVar!$I$35:$FU$35,PFVar!$I$47:$FU$47)</f>
        <v>0</v>
      </c>
      <c r="AN51" s="58">
        <f>_xlfn.XLOOKUP(AM50,PFVar!$I$35:$FU$35,PFVar!$I$44:$FU$44)</f>
        <v>0</v>
      </c>
      <c r="AO51" s="59">
        <f>_xlfn.XLOOKUP(AM50,PFVar!$I$35:$FU$35,PFVar!$I$45:$FU$45)</f>
        <v>0</v>
      </c>
      <c r="AP51" s="57">
        <f>_xlfn.XLOOKUP(AP50,PFVar!$I$35:$FU$35,PFVar!$I$47:$FU$47)</f>
        <v>0</v>
      </c>
      <c r="AQ51" s="58">
        <f>_xlfn.XLOOKUP(AP50,PFVar!$I$35:$FU$35,PFVar!$I$44:$FU$44)</f>
        <v>0</v>
      </c>
      <c r="AR51" s="59">
        <f>_xlfn.XLOOKUP(AP50,PFVar!$I$35:$FU$35,PFVar!$I$45:$FU$45)</f>
        <v>0</v>
      </c>
      <c r="AS51" s="57">
        <f>_xlfn.XLOOKUP(AS50,PFVar!$I$35:$FU$35,PFVar!$I$47:$FU$47)</f>
        <v>0</v>
      </c>
      <c r="AT51" s="58">
        <f>_xlfn.XLOOKUP(AS50,PFVar!$I$35:$FU$35,PFVar!$I$44:$FU$44)</f>
        <v>0</v>
      </c>
      <c r="AU51" s="59">
        <f>_xlfn.XLOOKUP(AS50,PFVar!$I$35:$FU$35,PFVar!$I$45:$FU$45)</f>
        <v>0</v>
      </c>
      <c r="AV51" s="57">
        <f>_xlfn.XLOOKUP(AV50,PFVar!$I$35:$FU$35,PFVar!$I$47:$FU$47)</f>
        <v>0</v>
      </c>
      <c r="AW51" s="58">
        <f>_xlfn.XLOOKUP(AV50,PFVar!$I$35:$FU$35,PFVar!$I$44:$FU$44)</f>
        <v>0</v>
      </c>
      <c r="AX51" s="59">
        <f>_xlfn.XLOOKUP(AV50,PFVar!$I$35:$FU$35,PFVar!$I$45:$FU$45)</f>
        <v>0</v>
      </c>
      <c r="BB51" s="45"/>
      <c r="BC51" s="106">
        <f>_xlfn.XLOOKUP(BC50,PFVar!$I$35:$FU$35,PFVar!$I$47:$FU$47)</f>
        <v>0</v>
      </c>
      <c r="BD51" s="106">
        <f>_xlfn.XLOOKUP(BD50,PFVar!$I$35:$FU$35,PFVar!$I$47:$FU$47)</f>
        <v>0</v>
      </c>
      <c r="BE51" s="106">
        <f>_xlfn.XLOOKUP(BE50,PFVar!$I$35:$FU$35,PFVar!$I$47:$FU$47)</f>
        <v>0</v>
      </c>
      <c r="BF51" s="106">
        <f>_xlfn.XLOOKUP(BF50,PFVar!$I$35:$FU$35,PFVar!$I$47:$FU$47)</f>
        <v>0</v>
      </c>
      <c r="BG51" s="106">
        <f>_xlfn.XLOOKUP(BG50,PFVar!$I$35:$FU$35,PFVar!$I$47:$FU$47)</f>
        <v>0</v>
      </c>
      <c r="BH51" s="106">
        <f>_xlfn.XLOOKUP(BH50,PFVar!$I$35:$FU$35,PFVar!$I$47:$FU$47)</f>
        <v>0</v>
      </c>
      <c r="BI51" s="106">
        <f>_xlfn.XLOOKUP(BI50,PFVar!$I$35:$FU$35,PFVar!$I$47:$FU$47)</f>
        <v>0</v>
      </c>
      <c r="BJ51" s="106">
        <f>_xlfn.XLOOKUP(BJ50,PFVar!$I$35:$FU$35,PFVar!$I$47:$FU$47)</f>
        <v>0</v>
      </c>
      <c r="BK51" s="106">
        <f>_xlfn.XLOOKUP(BK50,PFVar!$I$35:$FU$35,PFVar!$I$47:$FU$47)</f>
        <v>0</v>
      </c>
      <c r="BL51" s="106">
        <f>_xlfn.XLOOKUP(BL50,PFVar!$I$35:$FU$35,PFVar!$I$47:$FU$47)</f>
        <v>0</v>
      </c>
      <c r="BM51" s="106">
        <f>_xlfn.XLOOKUP(BM50,PFVar!$I$35:$FU$35,PFVar!$I$47:$FU$47)</f>
        <v>0</v>
      </c>
      <c r="BN51" s="106">
        <f>_xlfn.XLOOKUP(BN50,PFVar!$I$35:$FU$35,PFVar!$I$47:$FU$47)</f>
        <v>0</v>
      </c>
      <c r="BO51" s="106"/>
    </row>
    <row r="52" spans="2:67" ht="9" customHeight="1" x14ac:dyDescent="0.25">
      <c r="B52" s="63" t="s">
        <v>245</v>
      </c>
      <c r="D52" s="55">
        <f>IFERROR(IF(#REF!="All In", "All In", PFVar!R14),PFVar!R14)</f>
        <v>2.5</v>
      </c>
      <c r="E52" s="55" t="str">
        <f>IF(PFVar!R14=PFVar!S14, "", PFVar!S14)</f>
        <v/>
      </c>
      <c r="K52" s="45">
        <v>4</v>
      </c>
      <c r="L52" s="87" t="s">
        <v>147</v>
      </c>
      <c r="M52" s="88"/>
      <c r="N52" s="89"/>
      <c r="O52" s="87" t="s">
        <v>148</v>
      </c>
      <c r="P52" s="88"/>
      <c r="Q52" s="89"/>
      <c r="R52" s="87" t="s">
        <v>149</v>
      </c>
      <c r="S52" s="88"/>
      <c r="T52" s="89"/>
      <c r="U52" s="87" t="s">
        <v>150</v>
      </c>
      <c r="V52" s="88"/>
      <c r="W52" s="89"/>
      <c r="X52" s="87" t="s">
        <v>151</v>
      </c>
      <c r="Y52" s="88"/>
      <c r="Z52" s="89"/>
      <c r="AA52" s="87" t="s">
        <v>152</v>
      </c>
      <c r="AB52" s="88"/>
      <c r="AC52" s="89"/>
      <c r="AD52" s="87" t="s">
        <v>153</v>
      </c>
      <c r="AE52" s="88"/>
      <c r="AF52" s="89"/>
      <c r="AG52" s="87" t="s">
        <v>154</v>
      </c>
      <c r="AH52" s="88"/>
      <c r="AI52" s="89"/>
      <c r="AJ52" s="87" t="s">
        <v>155</v>
      </c>
      <c r="AK52" s="88"/>
      <c r="AL52" s="89"/>
      <c r="AM52" s="87" t="s">
        <v>156</v>
      </c>
      <c r="AN52" s="88"/>
      <c r="AO52" s="89"/>
      <c r="AP52" s="87">
        <v>44</v>
      </c>
      <c r="AQ52" s="88"/>
      <c r="AR52" s="89"/>
      <c r="AS52" s="87" t="s">
        <v>158</v>
      </c>
      <c r="AT52" s="88"/>
      <c r="AU52" s="89"/>
      <c r="AV52" s="87" t="s">
        <v>159</v>
      </c>
      <c r="AW52" s="88"/>
      <c r="AX52" s="89"/>
      <c r="BB52" s="45"/>
      <c r="BC52" s="105" t="s">
        <v>147</v>
      </c>
      <c r="BD52" s="105" t="s">
        <v>148</v>
      </c>
      <c r="BE52" s="105" t="s">
        <v>149</v>
      </c>
      <c r="BF52" s="105" t="s">
        <v>150</v>
      </c>
      <c r="BG52" s="105" t="s">
        <v>151</v>
      </c>
      <c r="BH52" s="105" t="s">
        <v>152</v>
      </c>
      <c r="BI52" s="105" t="s">
        <v>153</v>
      </c>
      <c r="BJ52" s="105" t="s">
        <v>154</v>
      </c>
      <c r="BK52" s="105" t="s">
        <v>155</v>
      </c>
      <c r="BL52" s="105" t="s">
        <v>156</v>
      </c>
      <c r="BM52" s="105">
        <v>44</v>
      </c>
      <c r="BN52" s="105" t="s">
        <v>158</v>
      </c>
      <c r="BO52" s="105" t="s">
        <v>159</v>
      </c>
    </row>
    <row r="53" spans="2:67" ht="9" customHeight="1" thickBot="1" x14ac:dyDescent="0.3">
      <c r="B53" s="60"/>
      <c r="K53" s="45"/>
      <c r="L53" s="57">
        <f>_xlfn.XLOOKUP(L52,PFVar!$I$35:$FU$35,PFVar!$I$47:$FU$47)</f>
        <v>0</v>
      </c>
      <c r="M53" s="58">
        <f>_xlfn.XLOOKUP(L52,PFVar!$I$35:$FU$35,PFVar!$I$44:$FU$44)</f>
        <v>0</v>
      </c>
      <c r="N53" s="59">
        <f>_xlfn.XLOOKUP(L52,PFVar!$I$35:$FU$35,PFVar!$I$45:$FU$45)</f>
        <v>0</v>
      </c>
      <c r="O53" s="57">
        <f>_xlfn.XLOOKUP(O52,PFVar!$I$35:$FU$35,PFVar!$I$47:$FU$47)</f>
        <v>0</v>
      </c>
      <c r="P53" s="58">
        <f>_xlfn.XLOOKUP(O52,PFVar!$I$35:$FU$35,PFVar!$I$44:$FU$44)</f>
        <v>0</v>
      </c>
      <c r="Q53" s="59">
        <f>_xlfn.XLOOKUP(O52,PFVar!$I$35:$FU$35,PFVar!$I$45:$FU$45)</f>
        <v>0</v>
      </c>
      <c r="R53" s="57">
        <f>_xlfn.XLOOKUP(R52,PFVar!$I$35:$FU$35,PFVar!$I$47:$FU$47)</f>
        <v>0</v>
      </c>
      <c r="S53" s="58">
        <f>_xlfn.XLOOKUP(R52,PFVar!$I$35:$FU$35,PFVar!$I$44:$FU$44)</f>
        <v>0</v>
      </c>
      <c r="T53" s="59">
        <f>_xlfn.XLOOKUP(R52,PFVar!$I$35:$FU$35,PFVar!$I$45:$FU$45)</f>
        <v>0</v>
      </c>
      <c r="U53" s="57">
        <f>_xlfn.XLOOKUP(U52,PFVar!$I$35:$FU$35,PFVar!$I$47:$FU$47)</f>
        <v>0</v>
      </c>
      <c r="V53" s="58">
        <f>_xlfn.XLOOKUP(U52,PFVar!$I$35:$FU$35,PFVar!$I$44:$FU$44)</f>
        <v>0</v>
      </c>
      <c r="W53" s="59">
        <f>_xlfn.XLOOKUP(U52,PFVar!$I$35:$FU$35,PFVar!$I$45:$FU$45)</f>
        <v>0</v>
      </c>
      <c r="X53" s="57">
        <f>_xlfn.XLOOKUP(X52,PFVar!$I$35:$FU$35,PFVar!$I$47:$FU$47)</f>
        <v>0</v>
      </c>
      <c r="Y53" s="58">
        <f>_xlfn.XLOOKUP(X52,PFVar!$I$35:$FU$35,PFVar!$I$44:$FU$44)</f>
        <v>0</v>
      </c>
      <c r="Z53" s="59">
        <f>_xlfn.XLOOKUP(X52,PFVar!$I$35:$FU$35,PFVar!$I$45:$FU$45)</f>
        <v>0</v>
      </c>
      <c r="AA53" s="57">
        <f>_xlfn.XLOOKUP(AA52,PFVar!$I$35:$FU$35,PFVar!$I$47:$FU$47)</f>
        <v>0</v>
      </c>
      <c r="AB53" s="58">
        <f>_xlfn.XLOOKUP(AA52,PFVar!$I$35:$FU$35,PFVar!$I$44:$FU$44)</f>
        <v>0</v>
      </c>
      <c r="AC53" s="59">
        <f>_xlfn.XLOOKUP(AA52,PFVar!$I$35:$FU$35,PFVar!$I$45:$FU$45)</f>
        <v>0</v>
      </c>
      <c r="AD53" s="57">
        <f>_xlfn.XLOOKUP(AD52,PFVar!$I$35:$FU$35,PFVar!$I$47:$FU$47)</f>
        <v>0</v>
      </c>
      <c r="AE53" s="58">
        <f>_xlfn.XLOOKUP(AD52,PFVar!$I$35:$FU$35,PFVar!$I$44:$FU$44)</f>
        <v>0</v>
      </c>
      <c r="AF53" s="59">
        <f>_xlfn.XLOOKUP(AD52,PFVar!$I$35:$FU$35,PFVar!$I$45:$FU$45)</f>
        <v>0</v>
      </c>
      <c r="AG53" s="57">
        <f>_xlfn.XLOOKUP(AG52,PFVar!$I$35:$FU$35,PFVar!$I$47:$FU$47)</f>
        <v>0</v>
      </c>
      <c r="AH53" s="58">
        <f>_xlfn.XLOOKUP(AG52,PFVar!$I$35:$FU$35,PFVar!$I$44:$FU$44)</f>
        <v>0</v>
      </c>
      <c r="AI53" s="59">
        <f>_xlfn.XLOOKUP(AG52,PFVar!$I$35:$FU$35,PFVar!$I$45:$FU$45)</f>
        <v>0</v>
      </c>
      <c r="AJ53" s="57">
        <f>_xlfn.XLOOKUP(AJ52,PFVar!$I$35:$FU$35,PFVar!$I$47:$FU$47)</f>
        <v>0</v>
      </c>
      <c r="AK53" s="58">
        <f>_xlfn.XLOOKUP(AJ52,PFVar!$I$35:$FU$35,PFVar!$I$44:$FU$44)</f>
        <v>0</v>
      </c>
      <c r="AL53" s="59">
        <f>_xlfn.XLOOKUP(AJ52,PFVar!$I$35:$FU$35,PFVar!$I$45:$FU$45)</f>
        <v>0</v>
      </c>
      <c r="AM53" s="57">
        <f>_xlfn.XLOOKUP(AM52,PFVar!$I$35:$FU$35,PFVar!$I$47:$FU$47)</f>
        <v>0</v>
      </c>
      <c r="AN53" s="58">
        <f>_xlfn.XLOOKUP(AM52,PFVar!$I$35:$FU$35,PFVar!$I$44:$FU$44)</f>
        <v>0</v>
      </c>
      <c r="AO53" s="59">
        <f>_xlfn.XLOOKUP(AM52,PFVar!$I$35:$FU$35,PFVar!$I$45:$FU$45)</f>
        <v>0</v>
      </c>
      <c r="AP53" s="57">
        <f>_xlfn.XLOOKUP(AP52,PFVar!$I$35:$FU$35,PFVar!$I$47:$FU$47)</f>
        <v>0</v>
      </c>
      <c r="AQ53" s="58">
        <f>_xlfn.XLOOKUP(AP52,PFVar!$I$35:$FU$35,PFVar!$I$44:$FU$44)</f>
        <v>0</v>
      </c>
      <c r="AR53" s="59">
        <f>_xlfn.XLOOKUP(AP52,PFVar!$I$35:$FU$35,PFVar!$I$45:$FU$45)</f>
        <v>0</v>
      </c>
      <c r="AS53" s="57">
        <f>_xlfn.XLOOKUP(AS52,PFVar!$I$35:$FU$35,PFVar!$I$47:$FU$47)</f>
        <v>0</v>
      </c>
      <c r="AT53" s="58">
        <f>_xlfn.XLOOKUP(AS52,PFVar!$I$35:$FU$35,PFVar!$I$44:$FU$44)</f>
        <v>0</v>
      </c>
      <c r="AU53" s="59">
        <f>_xlfn.XLOOKUP(AS52,PFVar!$I$35:$FU$35,PFVar!$I$45:$FU$45)</f>
        <v>0</v>
      </c>
      <c r="AV53" s="57">
        <f>_xlfn.XLOOKUP(AV52,PFVar!$I$35:$FU$35,PFVar!$I$47:$FU$47)</f>
        <v>0</v>
      </c>
      <c r="AW53" s="58">
        <f>_xlfn.XLOOKUP(AV52,PFVar!$I$35:$FU$35,PFVar!$I$44:$FU$44)</f>
        <v>0</v>
      </c>
      <c r="AX53" s="59">
        <f>_xlfn.XLOOKUP(AV52,PFVar!$I$35:$FU$35,PFVar!$I$45:$FU$45)</f>
        <v>0</v>
      </c>
      <c r="BB53" s="45"/>
      <c r="BC53" s="106">
        <f>_xlfn.XLOOKUP(BC52,PFVar!$I$35:$FU$35,PFVar!$I$47:$FU$47)</f>
        <v>0</v>
      </c>
      <c r="BD53" s="106">
        <f>_xlfn.XLOOKUP(BD52,PFVar!$I$35:$FU$35,PFVar!$I$47:$FU$47)</f>
        <v>0</v>
      </c>
      <c r="BE53" s="106">
        <f>_xlfn.XLOOKUP(BE52,PFVar!$I$35:$FU$35,PFVar!$I$47:$FU$47)</f>
        <v>0</v>
      </c>
      <c r="BF53" s="106">
        <f>_xlfn.XLOOKUP(BF52,PFVar!$I$35:$FU$35,PFVar!$I$47:$FU$47)</f>
        <v>0</v>
      </c>
      <c r="BG53" s="106">
        <f>_xlfn.XLOOKUP(BG52,PFVar!$I$35:$FU$35,PFVar!$I$47:$FU$47)</f>
        <v>0</v>
      </c>
      <c r="BH53" s="106">
        <f>_xlfn.XLOOKUP(BH52,PFVar!$I$35:$FU$35,PFVar!$I$47:$FU$47)</f>
        <v>0</v>
      </c>
      <c r="BI53" s="106">
        <f>_xlfn.XLOOKUP(BI52,PFVar!$I$35:$FU$35,PFVar!$I$47:$FU$47)</f>
        <v>0</v>
      </c>
      <c r="BJ53" s="106">
        <f>_xlfn.XLOOKUP(BJ52,PFVar!$I$35:$FU$35,PFVar!$I$47:$FU$47)</f>
        <v>0</v>
      </c>
      <c r="BK53" s="106">
        <f>_xlfn.XLOOKUP(BK52,PFVar!$I$35:$FU$35,PFVar!$I$47:$FU$47)</f>
        <v>0</v>
      </c>
      <c r="BL53" s="106">
        <f>_xlfn.XLOOKUP(BL52,PFVar!$I$35:$FU$35,PFVar!$I$47:$FU$47)</f>
        <v>0</v>
      </c>
      <c r="BM53" s="106">
        <f>_xlfn.XLOOKUP(BM52,PFVar!$I$35:$FU$35,PFVar!$I$47:$FU$47)</f>
        <v>0</v>
      </c>
      <c r="BN53" s="106">
        <f>_xlfn.XLOOKUP(BN52,PFVar!$I$35:$FU$35,PFVar!$I$47:$FU$47)</f>
        <v>0</v>
      </c>
      <c r="BO53" s="106"/>
    </row>
    <row r="54" spans="2:67" ht="9" customHeight="1" x14ac:dyDescent="0.25">
      <c r="K54" s="45">
        <v>3</v>
      </c>
      <c r="L54" s="87" t="s">
        <v>160</v>
      </c>
      <c r="M54" s="88"/>
      <c r="N54" s="89"/>
      <c r="O54" s="87" t="s">
        <v>161</v>
      </c>
      <c r="P54" s="88"/>
      <c r="Q54" s="89"/>
      <c r="R54" s="87" t="s">
        <v>162</v>
      </c>
      <c r="S54" s="88"/>
      <c r="T54" s="89"/>
      <c r="U54" s="87" t="s">
        <v>163</v>
      </c>
      <c r="V54" s="88"/>
      <c r="W54" s="89"/>
      <c r="X54" s="87" t="s">
        <v>164</v>
      </c>
      <c r="Y54" s="88"/>
      <c r="Z54" s="89"/>
      <c r="AA54" s="87" t="s">
        <v>165</v>
      </c>
      <c r="AB54" s="88"/>
      <c r="AC54" s="89"/>
      <c r="AD54" s="87" t="s">
        <v>166</v>
      </c>
      <c r="AE54" s="88"/>
      <c r="AF54" s="89"/>
      <c r="AG54" s="87" t="s">
        <v>167</v>
      </c>
      <c r="AH54" s="88"/>
      <c r="AI54" s="89"/>
      <c r="AJ54" s="87" t="s">
        <v>168</v>
      </c>
      <c r="AK54" s="88"/>
      <c r="AL54" s="89"/>
      <c r="AM54" s="87" t="s">
        <v>169</v>
      </c>
      <c r="AN54" s="88"/>
      <c r="AO54" s="89"/>
      <c r="AP54" s="87" t="s">
        <v>170</v>
      </c>
      <c r="AQ54" s="88"/>
      <c r="AR54" s="89"/>
      <c r="AS54" s="87">
        <v>33</v>
      </c>
      <c r="AT54" s="88"/>
      <c r="AU54" s="89"/>
      <c r="AV54" s="87" t="s">
        <v>172</v>
      </c>
      <c r="AW54" s="88"/>
      <c r="AX54" s="89"/>
      <c r="BB54" s="45"/>
      <c r="BC54" s="105" t="s">
        <v>160</v>
      </c>
      <c r="BD54" s="105" t="s">
        <v>161</v>
      </c>
      <c r="BE54" s="105" t="s">
        <v>162</v>
      </c>
      <c r="BF54" s="105" t="s">
        <v>163</v>
      </c>
      <c r="BG54" s="105" t="s">
        <v>164</v>
      </c>
      <c r="BH54" s="105" t="s">
        <v>165</v>
      </c>
      <c r="BI54" s="105" t="s">
        <v>166</v>
      </c>
      <c r="BJ54" s="105" t="s">
        <v>167</v>
      </c>
      <c r="BK54" s="105" t="s">
        <v>168</v>
      </c>
      <c r="BL54" s="105" t="s">
        <v>169</v>
      </c>
      <c r="BM54" s="105" t="s">
        <v>170</v>
      </c>
      <c r="BN54" s="105">
        <v>33</v>
      </c>
      <c r="BO54" s="105" t="s">
        <v>172</v>
      </c>
    </row>
    <row r="55" spans="2:67" ht="9" customHeight="1" thickBot="1" x14ac:dyDescent="0.3">
      <c r="K55" s="45"/>
      <c r="L55" s="57">
        <f>_xlfn.XLOOKUP(L54,PFVar!$I$35:$FU$35,PFVar!$I$47:$FU$47)</f>
        <v>0</v>
      </c>
      <c r="M55" s="58">
        <f>_xlfn.XLOOKUP(L54,PFVar!$I$35:$FU$35,PFVar!$I$44:$FU$44)</f>
        <v>0</v>
      </c>
      <c r="N55" s="59">
        <f>_xlfn.XLOOKUP(L54,PFVar!$I$35:$FU$35,PFVar!$I$45:$FU$45)</f>
        <v>0</v>
      </c>
      <c r="O55" s="57">
        <f>_xlfn.XLOOKUP(O54,PFVar!$I$35:$FU$35,PFVar!$I$47:$FU$47)</f>
        <v>0</v>
      </c>
      <c r="P55" s="58">
        <f>_xlfn.XLOOKUP(O54,PFVar!$I$35:$FU$35,PFVar!$I$44:$FU$44)</f>
        <v>0</v>
      </c>
      <c r="Q55" s="59">
        <f>_xlfn.XLOOKUP(O54,PFVar!$I$35:$FU$35,PFVar!$I$45:$FU$45)</f>
        <v>0</v>
      </c>
      <c r="R55" s="57">
        <f>_xlfn.XLOOKUP(R54,PFVar!$I$35:$FU$35,PFVar!$I$47:$FU$47)</f>
        <v>0</v>
      </c>
      <c r="S55" s="58">
        <f>_xlfn.XLOOKUP(R54,PFVar!$I$35:$FU$35,PFVar!$I$44:$FU$44)</f>
        <v>0</v>
      </c>
      <c r="T55" s="59">
        <f>_xlfn.XLOOKUP(R54,PFVar!$I$35:$FU$35,PFVar!$I$45:$FU$45)</f>
        <v>0</v>
      </c>
      <c r="U55" s="57">
        <f>_xlfn.XLOOKUP(U54,PFVar!$I$35:$FU$35,PFVar!$I$47:$FU$47)</f>
        <v>0</v>
      </c>
      <c r="V55" s="58">
        <f>_xlfn.XLOOKUP(U54,PFVar!$I$35:$FU$35,PFVar!$I$44:$FU$44)</f>
        <v>0</v>
      </c>
      <c r="W55" s="59">
        <f>_xlfn.XLOOKUP(U54,PFVar!$I$35:$FU$35,PFVar!$I$45:$FU$45)</f>
        <v>0</v>
      </c>
      <c r="X55" s="57">
        <f>_xlfn.XLOOKUP(X54,PFVar!$I$35:$FU$35,PFVar!$I$47:$FU$47)</f>
        <v>0</v>
      </c>
      <c r="Y55" s="58">
        <f>_xlfn.XLOOKUP(X54,PFVar!$I$35:$FU$35,PFVar!$I$44:$FU$44)</f>
        <v>0</v>
      </c>
      <c r="Z55" s="59">
        <f>_xlfn.XLOOKUP(X54,PFVar!$I$35:$FU$35,PFVar!$I$45:$FU$45)</f>
        <v>0</v>
      </c>
      <c r="AA55" s="57">
        <f>_xlfn.XLOOKUP(AA54,PFVar!$I$35:$FU$35,PFVar!$I$47:$FU$47)</f>
        <v>0</v>
      </c>
      <c r="AB55" s="58">
        <f>_xlfn.XLOOKUP(AA54,PFVar!$I$35:$FU$35,PFVar!$I$44:$FU$44)</f>
        <v>0</v>
      </c>
      <c r="AC55" s="59">
        <f>_xlfn.XLOOKUP(AA54,PFVar!$I$35:$FU$35,PFVar!$I$45:$FU$45)</f>
        <v>0</v>
      </c>
      <c r="AD55" s="57">
        <f>_xlfn.XLOOKUP(AD54,PFVar!$I$35:$FU$35,PFVar!$I$47:$FU$47)</f>
        <v>0</v>
      </c>
      <c r="AE55" s="58">
        <f>_xlfn.XLOOKUP(AD54,PFVar!$I$35:$FU$35,PFVar!$I$44:$FU$44)</f>
        <v>0</v>
      </c>
      <c r="AF55" s="59">
        <f>_xlfn.XLOOKUP(AD54,PFVar!$I$35:$FU$35,PFVar!$I$45:$FU$45)</f>
        <v>0</v>
      </c>
      <c r="AG55" s="57">
        <f>_xlfn.XLOOKUP(AG54,PFVar!$I$35:$FU$35,PFVar!$I$47:$FU$47)</f>
        <v>0</v>
      </c>
      <c r="AH55" s="58">
        <f>_xlfn.XLOOKUP(AG54,PFVar!$I$35:$FU$35,PFVar!$I$44:$FU$44)</f>
        <v>0</v>
      </c>
      <c r="AI55" s="59">
        <f>_xlfn.XLOOKUP(AG54,PFVar!$I$35:$FU$35,PFVar!$I$45:$FU$45)</f>
        <v>0</v>
      </c>
      <c r="AJ55" s="57">
        <f>_xlfn.XLOOKUP(AJ54,PFVar!$I$35:$FU$35,PFVar!$I$47:$FU$47)</f>
        <v>0</v>
      </c>
      <c r="AK55" s="58">
        <f>_xlfn.XLOOKUP(AJ54,PFVar!$I$35:$FU$35,PFVar!$I$44:$FU$44)</f>
        <v>0</v>
      </c>
      <c r="AL55" s="59">
        <f>_xlfn.XLOOKUP(AJ54,PFVar!$I$35:$FU$35,PFVar!$I$45:$FU$45)</f>
        <v>0</v>
      </c>
      <c r="AM55" s="57">
        <f>_xlfn.XLOOKUP(AM54,PFVar!$I$35:$FU$35,PFVar!$I$47:$FU$47)</f>
        <v>0</v>
      </c>
      <c r="AN55" s="58">
        <f>_xlfn.XLOOKUP(AM54,PFVar!$I$35:$FU$35,PFVar!$I$44:$FU$44)</f>
        <v>0</v>
      </c>
      <c r="AO55" s="59">
        <f>_xlfn.XLOOKUP(AM54,PFVar!$I$35:$FU$35,PFVar!$I$45:$FU$45)</f>
        <v>0</v>
      </c>
      <c r="AP55" s="57">
        <f>_xlfn.XLOOKUP(AP54,PFVar!$I$35:$FU$35,PFVar!$I$47:$FU$47)</f>
        <v>0</v>
      </c>
      <c r="AQ55" s="58">
        <f>_xlfn.XLOOKUP(AP54,PFVar!$I$35:$FU$35,PFVar!$I$44:$FU$44)</f>
        <v>0</v>
      </c>
      <c r="AR55" s="59">
        <f>_xlfn.XLOOKUP(AP54,PFVar!$I$35:$FU$35,PFVar!$I$45:$FU$45)</f>
        <v>0</v>
      </c>
      <c r="AS55" s="57">
        <f>_xlfn.XLOOKUP(AS54,PFVar!$I$35:$FU$35,PFVar!$I$47:$FU$47)</f>
        <v>0</v>
      </c>
      <c r="AT55" s="58">
        <f>_xlfn.XLOOKUP(AS54,PFVar!$I$35:$FU$35,PFVar!$I$44:$FU$44)</f>
        <v>0</v>
      </c>
      <c r="AU55" s="59">
        <f>_xlfn.XLOOKUP(AS54,PFVar!$I$35:$FU$35,PFVar!$I$45:$FU$45)</f>
        <v>0</v>
      </c>
      <c r="AV55" s="57">
        <f>_xlfn.XLOOKUP(AV54,PFVar!$I$35:$FU$35,PFVar!$I$47:$FU$47)</f>
        <v>0</v>
      </c>
      <c r="AW55" s="58">
        <f>_xlfn.XLOOKUP(AV54,PFVar!$I$35:$FU$35,PFVar!$I$44:$FU$44)</f>
        <v>0</v>
      </c>
      <c r="AX55" s="59">
        <f>_xlfn.XLOOKUP(AV54,PFVar!$I$35:$FU$35,PFVar!$I$45:$FU$45)</f>
        <v>0</v>
      </c>
      <c r="BB55" s="45"/>
      <c r="BC55" s="106">
        <f>_xlfn.XLOOKUP(BC54,PFVar!$I$35:$FU$35,PFVar!$I$47:$FU$47)</f>
        <v>0</v>
      </c>
      <c r="BD55" s="106">
        <f>_xlfn.XLOOKUP(BD54,PFVar!$I$35:$FU$35,PFVar!$I$47:$FU$47)</f>
        <v>0</v>
      </c>
      <c r="BE55" s="106">
        <f>_xlfn.XLOOKUP(BE54,PFVar!$I$35:$FU$35,PFVar!$I$47:$FU$47)</f>
        <v>0</v>
      </c>
      <c r="BF55" s="106">
        <f>_xlfn.XLOOKUP(BF54,PFVar!$I$35:$FU$35,PFVar!$I$47:$FU$47)</f>
        <v>0</v>
      </c>
      <c r="BG55" s="106">
        <f>_xlfn.XLOOKUP(BG54,PFVar!$I$35:$FU$35,PFVar!$I$47:$FU$47)</f>
        <v>0</v>
      </c>
      <c r="BH55" s="106">
        <f>_xlfn.XLOOKUP(BH54,PFVar!$I$35:$FU$35,PFVar!$I$47:$FU$47)</f>
        <v>0</v>
      </c>
      <c r="BI55" s="106">
        <f>_xlfn.XLOOKUP(BI54,PFVar!$I$35:$FU$35,PFVar!$I$47:$FU$47)</f>
        <v>0</v>
      </c>
      <c r="BJ55" s="106">
        <f>_xlfn.XLOOKUP(BJ54,PFVar!$I$35:$FU$35,PFVar!$I$47:$FU$47)</f>
        <v>0</v>
      </c>
      <c r="BK55" s="106">
        <f>_xlfn.XLOOKUP(BK54,PFVar!$I$35:$FU$35,PFVar!$I$47:$FU$47)</f>
        <v>0</v>
      </c>
      <c r="BL55" s="106">
        <f>_xlfn.XLOOKUP(BL54,PFVar!$I$35:$FU$35,PFVar!$I$47:$FU$47)</f>
        <v>0</v>
      </c>
      <c r="BM55" s="106">
        <f>_xlfn.XLOOKUP(BM54,PFVar!$I$35:$FU$35,PFVar!$I$47:$FU$47)</f>
        <v>0</v>
      </c>
      <c r="BN55" s="106">
        <f>_xlfn.XLOOKUP(BN54,PFVar!$I$35:$FU$35,PFVar!$I$47:$FU$47)</f>
        <v>0</v>
      </c>
      <c r="BO55" s="106"/>
    </row>
    <row r="56" spans="2:67" ht="9" customHeight="1" x14ac:dyDescent="0.25">
      <c r="K56" s="45">
        <v>2</v>
      </c>
      <c r="L56" s="87" t="s">
        <v>173</v>
      </c>
      <c r="M56" s="88"/>
      <c r="N56" s="89"/>
      <c r="O56" s="87" t="s">
        <v>174</v>
      </c>
      <c r="P56" s="88"/>
      <c r="Q56" s="89"/>
      <c r="R56" s="87" t="s">
        <v>175</v>
      </c>
      <c r="S56" s="88"/>
      <c r="T56" s="89"/>
      <c r="U56" s="87" t="s">
        <v>176</v>
      </c>
      <c r="V56" s="88"/>
      <c r="W56" s="89"/>
      <c r="X56" s="87" t="s">
        <v>177</v>
      </c>
      <c r="Y56" s="88"/>
      <c r="Z56" s="89"/>
      <c r="AA56" s="87" t="s">
        <v>178</v>
      </c>
      <c r="AB56" s="88"/>
      <c r="AC56" s="89"/>
      <c r="AD56" s="87" t="s">
        <v>179</v>
      </c>
      <c r="AE56" s="88"/>
      <c r="AF56" s="89"/>
      <c r="AG56" s="87" t="s">
        <v>180</v>
      </c>
      <c r="AH56" s="88"/>
      <c r="AI56" s="89"/>
      <c r="AJ56" s="87" t="s">
        <v>181</v>
      </c>
      <c r="AK56" s="88"/>
      <c r="AL56" s="89"/>
      <c r="AM56" s="87" t="s">
        <v>182</v>
      </c>
      <c r="AN56" s="88"/>
      <c r="AO56" s="89"/>
      <c r="AP56" s="87" t="s">
        <v>183</v>
      </c>
      <c r="AQ56" s="88"/>
      <c r="AR56" s="89"/>
      <c r="AS56" s="87" t="s">
        <v>184</v>
      </c>
      <c r="AT56" s="88"/>
      <c r="AU56" s="89"/>
      <c r="AV56" s="87">
        <v>22</v>
      </c>
      <c r="AW56" s="88"/>
      <c r="AX56" s="89"/>
      <c r="BB56" s="45"/>
      <c r="BC56" s="105" t="s">
        <v>173</v>
      </c>
      <c r="BD56" s="105" t="s">
        <v>174</v>
      </c>
      <c r="BE56" s="105" t="s">
        <v>175</v>
      </c>
      <c r="BF56" s="105" t="s">
        <v>176</v>
      </c>
      <c r="BG56" s="105" t="s">
        <v>177</v>
      </c>
      <c r="BH56" s="105" t="s">
        <v>178</v>
      </c>
      <c r="BI56" s="105" t="s">
        <v>179</v>
      </c>
      <c r="BJ56" s="105" t="s">
        <v>180</v>
      </c>
      <c r="BK56" s="105" t="s">
        <v>181</v>
      </c>
      <c r="BL56" s="105" t="s">
        <v>182</v>
      </c>
      <c r="BM56" s="105" t="s">
        <v>183</v>
      </c>
      <c r="BN56" s="105" t="s">
        <v>184</v>
      </c>
      <c r="BO56" s="105">
        <v>22</v>
      </c>
    </row>
    <row r="57" spans="2:67" ht="9" customHeight="1" thickBot="1" x14ac:dyDescent="0.3">
      <c r="K57" s="44"/>
      <c r="L57" s="57">
        <f>_xlfn.XLOOKUP(L56,PFVar!$I$35:$FU$35,PFVar!$I$47:$FU$47)</f>
        <v>0</v>
      </c>
      <c r="M57" s="58">
        <f>_xlfn.XLOOKUP(L56,PFVar!$I$35:$FU$35,PFVar!$I$44:$FU$44)</f>
        <v>0</v>
      </c>
      <c r="N57" s="59">
        <f>_xlfn.XLOOKUP(L56,PFVar!$I$35:$FU$35,PFVar!$I$45:$FU$45)</f>
        <v>0</v>
      </c>
      <c r="O57" s="57">
        <f>_xlfn.XLOOKUP(O56,PFVar!$I$35:$FU$35,PFVar!$I$47:$FU$47)</f>
        <v>0</v>
      </c>
      <c r="P57" s="58">
        <f>_xlfn.XLOOKUP(O56,PFVar!$I$35:$FU$35,PFVar!$I$44:$FU$44)</f>
        <v>0</v>
      </c>
      <c r="Q57" s="59">
        <f>_xlfn.XLOOKUP(O56,PFVar!$I$35:$FU$35,PFVar!$I$45:$FU$45)</f>
        <v>0</v>
      </c>
      <c r="R57" s="57">
        <f>_xlfn.XLOOKUP(R56,PFVar!$I$35:$FU$35,PFVar!$I$47:$FU$47)</f>
        <v>0</v>
      </c>
      <c r="S57" s="58">
        <f>_xlfn.XLOOKUP(R56,PFVar!$I$35:$FU$35,PFVar!$I$44:$FU$44)</f>
        <v>0</v>
      </c>
      <c r="T57" s="59">
        <f>_xlfn.XLOOKUP(R56,PFVar!$I$35:$FU$35,PFVar!$I$45:$FU$45)</f>
        <v>0</v>
      </c>
      <c r="U57" s="57">
        <f>_xlfn.XLOOKUP(U56,PFVar!$I$35:$FU$35,PFVar!$I$47:$FU$47)</f>
        <v>0</v>
      </c>
      <c r="V57" s="58">
        <f>_xlfn.XLOOKUP(U56,PFVar!$I$35:$FU$35,PFVar!$I$44:$FU$44)</f>
        <v>0</v>
      </c>
      <c r="W57" s="59">
        <f>_xlfn.XLOOKUP(U56,PFVar!$I$35:$FU$35,PFVar!$I$45:$FU$45)</f>
        <v>0</v>
      </c>
      <c r="X57" s="57">
        <f>_xlfn.XLOOKUP(X56,PFVar!$I$35:$FU$35,PFVar!$I$47:$FU$47)</f>
        <v>0</v>
      </c>
      <c r="Y57" s="58">
        <f>_xlfn.XLOOKUP(X56,PFVar!$I$35:$FU$35,PFVar!$I$44:$FU$44)</f>
        <v>0</v>
      </c>
      <c r="Z57" s="59">
        <f>_xlfn.XLOOKUP(X56,PFVar!$I$35:$FU$35,PFVar!$I$45:$FU$45)</f>
        <v>0</v>
      </c>
      <c r="AA57" s="57">
        <f>_xlfn.XLOOKUP(AA56,PFVar!$I$35:$FU$35,PFVar!$I$47:$FU$47)</f>
        <v>0</v>
      </c>
      <c r="AB57" s="58">
        <f>_xlfn.XLOOKUP(AA56,PFVar!$I$35:$FU$35,PFVar!$I$44:$FU$44)</f>
        <v>0</v>
      </c>
      <c r="AC57" s="59">
        <f>_xlfn.XLOOKUP(AA56,PFVar!$I$35:$FU$35,PFVar!$I$45:$FU$45)</f>
        <v>0</v>
      </c>
      <c r="AD57" s="57">
        <f>_xlfn.XLOOKUP(AD56,PFVar!$I$35:$FU$35,PFVar!$I$47:$FU$47)</f>
        <v>0</v>
      </c>
      <c r="AE57" s="58">
        <f>_xlfn.XLOOKUP(AD56,PFVar!$I$35:$FU$35,PFVar!$I$44:$FU$44)</f>
        <v>0</v>
      </c>
      <c r="AF57" s="59">
        <f>_xlfn.XLOOKUP(AD56,PFVar!$I$35:$FU$35,PFVar!$I$45:$FU$45)</f>
        <v>0</v>
      </c>
      <c r="AG57" s="57">
        <f>_xlfn.XLOOKUP(AG56,PFVar!$I$35:$FU$35,PFVar!$I$47:$FU$47)</f>
        <v>0</v>
      </c>
      <c r="AH57" s="58">
        <f>_xlfn.XLOOKUP(AG56,PFVar!$I$35:$FU$35,PFVar!$I$44:$FU$44)</f>
        <v>0</v>
      </c>
      <c r="AI57" s="59">
        <f>_xlfn.XLOOKUP(AG56,PFVar!$I$35:$FU$35,PFVar!$I$45:$FU$45)</f>
        <v>0</v>
      </c>
      <c r="AJ57" s="57">
        <f>_xlfn.XLOOKUP(AJ56,PFVar!$I$35:$FU$35,PFVar!$I$47:$FU$47)</f>
        <v>0</v>
      </c>
      <c r="AK57" s="58">
        <f>_xlfn.XLOOKUP(AJ56,PFVar!$I$35:$FU$35,PFVar!$I$44:$FU$44)</f>
        <v>0</v>
      </c>
      <c r="AL57" s="59">
        <f>_xlfn.XLOOKUP(AJ56,PFVar!$I$35:$FU$35,PFVar!$I$45:$FU$45)</f>
        <v>0</v>
      </c>
      <c r="AM57" s="57">
        <f>_xlfn.XLOOKUP(AM56,PFVar!$I$35:$FU$35,PFVar!$I$47:$FU$47)</f>
        <v>0</v>
      </c>
      <c r="AN57" s="58">
        <f>_xlfn.XLOOKUP(AM56,PFVar!$I$35:$FU$35,PFVar!$I$44:$FU$44)</f>
        <v>0</v>
      </c>
      <c r="AO57" s="59">
        <f>_xlfn.XLOOKUP(AM56,PFVar!$I$35:$FU$35,PFVar!$I$45:$FU$45)</f>
        <v>0</v>
      </c>
      <c r="AP57" s="57">
        <f>_xlfn.XLOOKUP(AP56,PFVar!$I$35:$FU$35,PFVar!$I$47:$FU$47)</f>
        <v>0</v>
      </c>
      <c r="AQ57" s="58">
        <f>_xlfn.XLOOKUP(AP56,PFVar!$I$35:$FU$35,PFVar!$I$44:$FU$44)</f>
        <v>0</v>
      </c>
      <c r="AR57" s="59">
        <f>_xlfn.XLOOKUP(AP56,PFVar!$I$35:$FU$35,PFVar!$I$45:$FU$45)</f>
        <v>0</v>
      </c>
      <c r="AS57" s="57">
        <f>_xlfn.XLOOKUP(AS56,PFVar!$I$35:$FU$35,PFVar!$I$47:$FU$47)</f>
        <v>0</v>
      </c>
      <c r="AT57" s="58">
        <f>_xlfn.XLOOKUP(AS56,PFVar!$I$35:$FU$35,PFVar!$I$44:$FU$44)</f>
        <v>0</v>
      </c>
      <c r="AU57" s="59">
        <f>_xlfn.XLOOKUP(AS56,PFVar!$I$35:$FU$35,PFVar!$I$45:$FU$45)</f>
        <v>0</v>
      </c>
      <c r="AV57" s="57">
        <f>_xlfn.XLOOKUP(AV56,PFVar!$I$35:$FU$35,PFVar!$I$47:$FU$47)</f>
        <v>0</v>
      </c>
      <c r="AW57" s="58">
        <f>_xlfn.XLOOKUP(AV56,PFVar!$I$35:$FU$35,PFVar!$I$44:$FU$44)</f>
        <v>0</v>
      </c>
      <c r="AX57" s="59">
        <f>_xlfn.XLOOKUP(AV56,PFVar!$I$35:$FU$35,PFVar!$I$45:$FU$45)</f>
        <v>0</v>
      </c>
      <c r="BB57" s="44"/>
      <c r="BC57" s="106">
        <f>_xlfn.XLOOKUP(BC56,PFVar!$I$35:$FU$35,PFVar!$I$47:$FU$47)</f>
        <v>0</v>
      </c>
      <c r="BD57" s="106">
        <f>_xlfn.XLOOKUP(BD56,PFVar!$I$35:$FU$35,PFVar!$I$47:$FU$47)</f>
        <v>0</v>
      </c>
      <c r="BE57" s="106">
        <f>_xlfn.XLOOKUP(BE56,PFVar!$I$35:$FU$35,PFVar!$I$47:$FU$47)</f>
        <v>0</v>
      </c>
      <c r="BF57" s="106">
        <f>_xlfn.XLOOKUP(BF56,PFVar!$I$35:$FU$35,PFVar!$I$47:$FU$47)</f>
        <v>0</v>
      </c>
      <c r="BG57" s="106">
        <f>_xlfn.XLOOKUP(BG56,PFVar!$I$35:$FU$35,PFVar!$I$47:$FU$47)</f>
        <v>0</v>
      </c>
      <c r="BH57" s="106">
        <f>_xlfn.XLOOKUP(BH56,PFVar!$I$35:$FU$35,PFVar!$I$47:$FU$47)</f>
        <v>0</v>
      </c>
      <c r="BI57" s="106">
        <f>_xlfn.XLOOKUP(BI56,PFVar!$I$35:$FU$35,PFVar!$I$47:$FU$47)</f>
        <v>0</v>
      </c>
      <c r="BJ57" s="106">
        <f>_xlfn.XLOOKUP(BJ56,PFVar!$I$35:$FU$35,PFVar!$I$47:$FU$47)</f>
        <v>0</v>
      </c>
      <c r="BK57" s="106">
        <f>_xlfn.XLOOKUP(BK56,PFVar!$I$35:$FU$35,PFVar!$I$47:$FU$47)</f>
        <v>0</v>
      </c>
      <c r="BL57" s="106">
        <f>_xlfn.XLOOKUP(BL56,PFVar!$I$35:$FU$35,PFVar!$I$47:$FU$47)</f>
        <v>0</v>
      </c>
      <c r="BM57" s="106"/>
      <c r="BN57" s="106"/>
      <c r="BO57" s="106"/>
    </row>
    <row r="58" spans="2:67" ht="9" customHeight="1" x14ac:dyDescent="0.25"/>
    <row r="59" spans="2:67" ht="14.25" customHeight="1" x14ac:dyDescent="0.25"/>
    <row r="60" spans="2:67" ht="14.25" customHeight="1" x14ac:dyDescent="0.25"/>
    <row r="61" spans="2:67" ht="14.25" customHeight="1" x14ac:dyDescent="0.25"/>
    <row r="62" spans="2:67" ht="14.25" customHeight="1" x14ac:dyDescent="0.25"/>
    <row r="63" spans="2:67" ht="14.25" customHeight="1" x14ac:dyDescent="0.25"/>
    <row r="64" spans="2:67" ht="14.25" customHeight="1" x14ac:dyDescent="0.25"/>
    <row r="65" spans="53:58" ht="14.25" customHeight="1" x14ac:dyDescent="0.25">
      <c r="BA65" s="2"/>
      <c r="BB65" s="81"/>
      <c r="BC65" s="81"/>
      <c r="BD65" s="81"/>
      <c r="BF65" s="6"/>
    </row>
    <row r="66" spans="53:58" ht="14.25" customHeight="1" x14ac:dyDescent="0.25">
      <c r="BA66" s="3"/>
      <c r="BB66" s="81"/>
      <c r="BC66" s="81"/>
      <c r="BD66" s="81"/>
      <c r="BE66" s="81"/>
      <c r="BF66" s="81"/>
    </row>
    <row r="67" spans="53:58" ht="14.25" customHeight="1" x14ac:dyDescent="0.25">
      <c r="BA67" s="3"/>
      <c r="BB67" s="81"/>
      <c r="BC67" s="81"/>
      <c r="BD67" s="81"/>
      <c r="BE67" s="81"/>
      <c r="BF67" s="81"/>
    </row>
    <row r="68" spans="53:58" ht="14.25" customHeight="1" x14ac:dyDescent="0.25">
      <c r="BA68" s="49"/>
      <c r="BB68" s="81"/>
      <c r="BC68" s="81"/>
      <c r="BD68" s="81"/>
      <c r="BE68" s="81"/>
      <c r="BF68" s="81"/>
    </row>
    <row r="69" spans="53:58" ht="14.25" customHeight="1" x14ac:dyDescent="0.25">
      <c r="BA69" s="49"/>
      <c r="BB69" s="81"/>
      <c r="BC69" s="81"/>
      <c r="BD69" s="81"/>
      <c r="BE69" s="81"/>
      <c r="BF69" s="81"/>
    </row>
    <row r="70" spans="53:58" ht="14.25" customHeight="1" x14ac:dyDescent="0.25">
      <c r="BA70" s="3"/>
      <c r="BB70" s="81"/>
      <c r="BC70" s="81"/>
      <c r="BD70" s="81"/>
      <c r="BE70" s="81"/>
      <c r="BF70" s="81"/>
    </row>
    <row r="71" spans="53:58" ht="14.25" customHeight="1" x14ac:dyDescent="0.25">
      <c r="BA71" s="3"/>
      <c r="BB71" s="81"/>
      <c r="BC71" s="81"/>
      <c r="BD71" s="81"/>
      <c r="BE71" s="81"/>
      <c r="BF71" s="81"/>
    </row>
    <row r="72" spans="53:58" ht="14.25" customHeight="1" x14ac:dyDescent="0.25">
      <c r="BA72" s="49"/>
      <c r="BB72" s="81"/>
      <c r="BC72" s="81"/>
      <c r="BD72" s="81"/>
      <c r="BE72" s="81"/>
      <c r="BF72" s="81"/>
    </row>
    <row r="73" spans="53:58" ht="14.25" customHeight="1" x14ac:dyDescent="0.25">
      <c r="BA73" s="49"/>
      <c r="BB73" s="81"/>
      <c r="BC73" s="81"/>
      <c r="BD73" s="81"/>
      <c r="BE73" s="81"/>
      <c r="BF73" s="81"/>
    </row>
    <row r="74" spans="53:58" ht="14.25" customHeight="1" x14ac:dyDescent="0.25">
      <c r="BA74" s="3"/>
      <c r="BB74" s="81"/>
      <c r="BC74" s="81"/>
      <c r="BD74" s="81"/>
      <c r="BE74" s="81"/>
      <c r="BF74" s="81"/>
    </row>
    <row r="75" spans="53:58" ht="14.25" customHeight="1" x14ac:dyDescent="0.25">
      <c r="BA75" s="3"/>
      <c r="BB75" s="81"/>
      <c r="BC75" s="81"/>
      <c r="BD75" s="81"/>
      <c r="BE75" s="81"/>
      <c r="BF75" s="81"/>
    </row>
    <row r="76" spans="53:58" ht="14.25" customHeight="1" x14ac:dyDescent="0.25">
      <c r="BA76" s="49"/>
      <c r="BB76" s="81"/>
      <c r="BC76" s="81"/>
      <c r="BD76" s="81"/>
      <c r="BE76" s="81"/>
      <c r="BF76" s="81"/>
    </row>
    <row r="77" spans="53:58" ht="14.25" customHeight="1" x14ac:dyDescent="0.25">
      <c r="BA77" s="49"/>
      <c r="BB77" s="81"/>
      <c r="BC77" s="81"/>
      <c r="BD77" s="81"/>
      <c r="BE77" s="81"/>
      <c r="BF77" s="81"/>
    </row>
    <row r="78" spans="53:58" ht="14.25" customHeight="1" x14ac:dyDescent="0.25">
      <c r="BA78" s="3"/>
      <c r="BB78" s="81"/>
      <c r="BC78" s="81"/>
      <c r="BD78" s="81"/>
      <c r="BE78" s="81"/>
      <c r="BF78" s="81"/>
    </row>
    <row r="79" spans="53:58" ht="14.25" customHeight="1" x14ac:dyDescent="0.25">
      <c r="BA79" s="3"/>
      <c r="BB79" s="81"/>
      <c r="BC79" s="81"/>
      <c r="BD79" s="81"/>
      <c r="BE79" s="81"/>
      <c r="BF79" s="81"/>
    </row>
    <row r="80" spans="53:58" ht="14.25" customHeight="1" x14ac:dyDescent="0.25">
      <c r="BA80" s="49"/>
      <c r="BB80" s="81"/>
      <c r="BC80" s="81"/>
      <c r="BD80" s="81"/>
      <c r="BE80" s="81"/>
      <c r="BF80" s="81"/>
    </row>
    <row r="81" spans="53:58" ht="14.25" customHeight="1" x14ac:dyDescent="0.25">
      <c r="BA81" s="3"/>
      <c r="BB81" s="81"/>
      <c r="BC81" s="81"/>
      <c r="BD81" s="81"/>
      <c r="BE81" s="81"/>
      <c r="BF81" s="81"/>
    </row>
    <row r="82" spans="53:58" ht="14.25" customHeight="1" x14ac:dyDescent="0.25">
      <c r="BA82" s="49"/>
      <c r="BB82" s="81"/>
      <c r="BC82" s="81"/>
      <c r="BD82" s="81"/>
      <c r="BE82" s="81"/>
      <c r="BF82" s="81"/>
    </row>
    <row r="83" spans="53:58" ht="14.25" customHeight="1" x14ac:dyDescent="0.25">
      <c r="BA83" s="3"/>
      <c r="BB83" s="81"/>
      <c r="BC83" s="81"/>
      <c r="BD83" s="81"/>
      <c r="BE83" s="81"/>
      <c r="BF83" s="81"/>
    </row>
    <row r="84" spans="53:58" ht="14.25" customHeight="1" x14ac:dyDescent="0.25">
      <c r="BA84" s="49"/>
      <c r="BB84" s="81"/>
      <c r="BC84" s="81"/>
      <c r="BD84" s="81"/>
      <c r="BE84" s="81"/>
      <c r="BF84" s="81"/>
    </row>
    <row r="85" spans="53:58" ht="14.25" customHeight="1" x14ac:dyDescent="0.25">
      <c r="BA85" s="3"/>
      <c r="BB85" s="81"/>
      <c r="BC85" s="81"/>
      <c r="BD85" s="81"/>
      <c r="BE85" s="81"/>
      <c r="BF85" s="81"/>
    </row>
    <row r="86" spans="53:58" ht="14.25" customHeight="1" x14ac:dyDescent="0.25"/>
    <row r="87" spans="53:58" ht="14.25" customHeight="1" x14ac:dyDescent="0.25"/>
    <row r="88" spans="53:58" ht="14.25" customHeight="1" x14ac:dyDescent="0.25"/>
    <row r="89" spans="53:58" ht="14.25" customHeight="1" x14ac:dyDescent="0.25"/>
    <row r="90" spans="53:58" ht="14.25" customHeight="1" x14ac:dyDescent="0.25"/>
    <row r="91" spans="53:58" ht="14.25" customHeight="1" x14ac:dyDescent="0.25"/>
    <row r="92" spans="53:58" ht="14.25" customHeight="1" x14ac:dyDescent="0.25"/>
    <row r="93" spans="53:58" ht="14.25" customHeight="1" x14ac:dyDescent="0.25"/>
    <row r="94" spans="53:58" ht="14.25" customHeight="1" x14ac:dyDescent="0.25"/>
    <row r="95" spans="53:58" ht="14.25" customHeight="1" x14ac:dyDescent="0.25"/>
    <row r="96" spans="53:58"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row r="1001" ht="14.25" customHeight="1" x14ac:dyDescent="0.25"/>
    <row r="1002" ht="14.25" customHeight="1" x14ac:dyDescent="0.25"/>
    <row r="1003" ht="14.25" customHeight="1" x14ac:dyDescent="0.25"/>
    <row r="1004" ht="14.25" customHeight="1" x14ac:dyDescent="0.25"/>
    <row r="1005" ht="14.25" customHeight="1" x14ac:dyDescent="0.25"/>
    <row r="1006" ht="14.25" customHeight="1" x14ac:dyDescent="0.25"/>
    <row r="1007" ht="14.25" customHeight="1" x14ac:dyDescent="0.25"/>
    <row r="1008" ht="14.25" customHeight="1" x14ac:dyDescent="0.25"/>
    <row r="1009" ht="14.25" customHeight="1" x14ac:dyDescent="0.25"/>
    <row r="1010" ht="14.25" customHeight="1" x14ac:dyDescent="0.25"/>
    <row r="1011" ht="14.25" customHeight="1" x14ac:dyDescent="0.25"/>
    <row r="1012" ht="14.25" customHeight="1" x14ac:dyDescent="0.25"/>
    <row r="1013" ht="14.25" customHeight="1" x14ac:dyDescent="0.25"/>
    <row r="1014" ht="14.25" customHeight="1" x14ac:dyDescent="0.25"/>
    <row r="1015" ht="14.25" customHeight="1" x14ac:dyDescent="0.25"/>
    <row r="1016" ht="14.25" customHeight="1" x14ac:dyDescent="0.25"/>
    <row r="1017" ht="14.25" customHeight="1" x14ac:dyDescent="0.25"/>
    <row r="1018" ht="14.25" customHeight="1" x14ac:dyDescent="0.25"/>
    <row r="1019" ht="14.25" customHeight="1" x14ac:dyDescent="0.25"/>
  </sheetData>
  <mergeCells count="533">
    <mergeCell ref="L25:N25"/>
    <mergeCell ref="L27:N27"/>
    <mergeCell ref="O3:Q3"/>
    <mergeCell ref="O5:Q5"/>
    <mergeCell ref="O7:Q7"/>
    <mergeCell ref="O9:Q9"/>
    <mergeCell ref="O11:Q11"/>
    <mergeCell ref="O13:Q13"/>
    <mergeCell ref="O15:Q15"/>
    <mergeCell ref="O17:Q17"/>
    <mergeCell ref="L13:N13"/>
    <mergeCell ref="L15:N15"/>
    <mergeCell ref="L17:N17"/>
    <mergeCell ref="L19:N19"/>
    <mergeCell ref="L21:N21"/>
    <mergeCell ref="L23:N23"/>
    <mergeCell ref="L3:N3"/>
    <mergeCell ref="L5:N5"/>
    <mergeCell ref="L7:N7"/>
    <mergeCell ref="L9:N9"/>
    <mergeCell ref="L11:N11"/>
    <mergeCell ref="O21:Q21"/>
    <mergeCell ref="O23:Q23"/>
    <mergeCell ref="O25:Q25"/>
    <mergeCell ref="R13:T13"/>
    <mergeCell ref="O27:Q27"/>
    <mergeCell ref="R3:T3"/>
    <mergeCell ref="R5:T5"/>
    <mergeCell ref="R15:T15"/>
    <mergeCell ref="R17:T17"/>
    <mergeCell ref="R19:T19"/>
    <mergeCell ref="R21:T21"/>
    <mergeCell ref="R23:T23"/>
    <mergeCell ref="R25:T25"/>
    <mergeCell ref="R27:T27"/>
    <mergeCell ref="X27:Z27"/>
    <mergeCell ref="U25:W25"/>
    <mergeCell ref="U27:W27"/>
    <mergeCell ref="X3:Z3"/>
    <mergeCell ref="X5:Z5"/>
    <mergeCell ref="X7:Z7"/>
    <mergeCell ref="X9:Z9"/>
    <mergeCell ref="X11:Z11"/>
    <mergeCell ref="X13:Z13"/>
    <mergeCell ref="X15:Z15"/>
    <mergeCell ref="U13:W13"/>
    <mergeCell ref="U15:W15"/>
    <mergeCell ref="U17:W17"/>
    <mergeCell ref="U19:W19"/>
    <mergeCell ref="U21:W21"/>
    <mergeCell ref="U23:W23"/>
    <mergeCell ref="U3:W3"/>
    <mergeCell ref="U5:W5"/>
    <mergeCell ref="U7:W7"/>
    <mergeCell ref="U9:W9"/>
    <mergeCell ref="U11:W11"/>
    <mergeCell ref="AD27:AF27"/>
    <mergeCell ref="AA25:AC25"/>
    <mergeCell ref="AA27:AC27"/>
    <mergeCell ref="AD3:AF3"/>
    <mergeCell ref="AD5:AF5"/>
    <mergeCell ref="AD7:AF7"/>
    <mergeCell ref="AD9:AF9"/>
    <mergeCell ref="AD11:AF11"/>
    <mergeCell ref="AD13:AF13"/>
    <mergeCell ref="AD15:AF15"/>
    <mergeCell ref="AA13:AC13"/>
    <mergeCell ref="AA15:AC15"/>
    <mergeCell ref="AA17:AC17"/>
    <mergeCell ref="AA19:AC19"/>
    <mergeCell ref="AA21:AC21"/>
    <mergeCell ref="AA23:AC23"/>
    <mergeCell ref="AA3:AC3"/>
    <mergeCell ref="AA5:AC5"/>
    <mergeCell ref="AA7:AC7"/>
    <mergeCell ref="AA9:AC9"/>
    <mergeCell ref="AA11:AC11"/>
    <mergeCell ref="AJ27:AL27"/>
    <mergeCell ref="AG25:AI25"/>
    <mergeCell ref="AG27:AI27"/>
    <mergeCell ref="AJ3:AL3"/>
    <mergeCell ref="AJ5:AL5"/>
    <mergeCell ref="AJ7:AL7"/>
    <mergeCell ref="AJ9:AL9"/>
    <mergeCell ref="AJ11:AL11"/>
    <mergeCell ref="AJ13:AL13"/>
    <mergeCell ref="AJ15:AL15"/>
    <mergeCell ref="AG13:AI13"/>
    <mergeCell ref="AG15:AI15"/>
    <mergeCell ref="AG17:AI17"/>
    <mergeCell ref="AG19:AI19"/>
    <mergeCell ref="AG21:AI21"/>
    <mergeCell ref="AG23:AI23"/>
    <mergeCell ref="AG3:AI3"/>
    <mergeCell ref="AG5:AI5"/>
    <mergeCell ref="AG7:AI7"/>
    <mergeCell ref="AG9:AI9"/>
    <mergeCell ref="AG11:AI11"/>
    <mergeCell ref="AP27:AR27"/>
    <mergeCell ref="AM25:AO25"/>
    <mergeCell ref="AM27:AO27"/>
    <mergeCell ref="AP3:AR3"/>
    <mergeCell ref="AP5:AR5"/>
    <mergeCell ref="AP7:AR7"/>
    <mergeCell ref="AP9:AR9"/>
    <mergeCell ref="AP11:AR11"/>
    <mergeCell ref="AP13:AR13"/>
    <mergeCell ref="AP15:AR15"/>
    <mergeCell ref="AM13:AO13"/>
    <mergeCell ref="AM15:AO15"/>
    <mergeCell ref="AM17:AO17"/>
    <mergeCell ref="AM19:AO19"/>
    <mergeCell ref="AM21:AO21"/>
    <mergeCell ref="AM23:AO23"/>
    <mergeCell ref="AM3:AO3"/>
    <mergeCell ref="AM5:AO5"/>
    <mergeCell ref="AM7:AO7"/>
    <mergeCell ref="AM9:AO9"/>
    <mergeCell ref="AM11:AO11"/>
    <mergeCell ref="AV27:AX27"/>
    <mergeCell ref="AS25:AU25"/>
    <mergeCell ref="AS27:AU27"/>
    <mergeCell ref="AV3:AX3"/>
    <mergeCell ref="AV5:AX5"/>
    <mergeCell ref="AV7:AX7"/>
    <mergeCell ref="AV9:AX9"/>
    <mergeCell ref="AV11:AX11"/>
    <mergeCell ref="AV13:AX13"/>
    <mergeCell ref="AV15:AX15"/>
    <mergeCell ref="AS13:AU13"/>
    <mergeCell ref="AS15:AU15"/>
    <mergeCell ref="AS17:AU17"/>
    <mergeCell ref="AS19:AU19"/>
    <mergeCell ref="AS21:AU21"/>
    <mergeCell ref="AS23:AU23"/>
    <mergeCell ref="AS3:AU3"/>
    <mergeCell ref="AS5:AU5"/>
    <mergeCell ref="AS7:AU7"/>
    <mergeCell ref="AS9:AU9"/>
    <mergeCell ref="AS11:AU11"/>
    <mergeCell ref="AA2:AC2"/>
    <mergeCell ref="X17:Z17"/>
    <mergeCell ref="X19:Z19"/>
    <mergeCell ref="O2:Q2"/>
    <mergeCell ref="R2:T2"/>
    <mergeCell ref="O19:Q19"/>
    <mergeCell ref="AV21:AX21"/>
    <mergeCell ref="AV23:AX23"/>
    <mergeCell ref="AV25:AX25"/>
    <mergeCell ref="AP21:AR21"/>
    <mergeCell ref="AP23:AR23"/>
    <mergeCell ref="AP25:AR25"/>
    <mergeCell ref="AJ21:AL21"/>
    <mergeCell ref="AJ23:AL23"/>
    <mergeCell ref="AJ25:AL25"/>
    <mergeCell ref="AD21:AF21"/>
    <mergeCell ref="AD23:AF23"/>
    <mergeCell ref="AD25:AF25"/>
    <mergeCell ref="X21:Z21"/>
    <mergeCell ref="X23:Z23"/>
    <mergeCell ref="X25:Z25"/>
    <mergeCell ref="R7:T7"/>
    <mergeCell ref="R9:T9"/>
    <mergeCell ref="R11:T11"/>
    <mergeCell ref="U31:W31"/>
    <mergeCell ref="X31:Z31"/>
    <mergeCell ref="AA31:AC31"/>
    <mergeCell ref="AD31:AF31"/>
    <mergeCell ref="AG31:AI31"/>
    <mergeCell ref="AJ31:AL31"/>
    <mergeCell ref="AV2:AX2"/>
    <mergeCell ref="L2:N2"/>
    <mergeCell ref="U2:W2"/>
    <mergeCell ref="X2:Z2"/>
    <mergeCell ref="AD2:AF2"/>
    <mergeCell ref="AJ2:AL2"/>
    <mergeCell ref="AP2:AR2"/>
    <mergeCell ref="AV17:AX17"/>
    <mergeCell ref="AV19:AX19"/>
    <mergeCell ref="AS2:AU2"/>
    <mergeCell ref="AP17:AR17"/>
    <mergeCell ref="AP19:AR19"/>
    <mergeCell ref="AM2:AO2"/>
    <mergeCell ref="AJ17:AL17"/>
    <mergeCell ref="AJ19:AL19"/>
    <mergeCell ref="AG2:AI2"/>
    <mergeCell ref="AD17:AF17"/>
    <mergeCell ref="AD19:AF19"/>
    <mergeCell ref="AA34:AC34"/>
    <mergeCell ref="AD34:AF34"/>
    <mergeCell ref="AG34:AI34"/>
    <mergeCell ref="AJ34:AL34"/>
    <mergeCell ref="AM31:AO31"/>
    <mergeCell ref="AP31:AR31"/>
    <mergeCell ref="AS31:AU31"/>
    <mergeCell ref="AV31:AX31"/>
    <mergeCell ref="L32:N32"/>
    <mergeCell ref="O32:Q32"/>
    <mergeCell ref="R32:T32"/>
    <mergeCell ref="U32:W32"/>
    <mergeCell ref="X32:Z32"/>
    <mergeCell ref="AA32:AC32"/>
    <mergeCell ref="AD32:AF32"/>
    <mergeCell ref="AG32:AI32"/>
    <mergeCell ref="AJ32:AL32"/>
    <mergeCell ref="AM32:AO32"/>
    <mergeCell ref="AP32:AR32"/>
    <mergeCell ref="AS32:AU32"/>
    <mergeCell ref="AV32:AX32"/>
    <mergeCell ref="L31:N31"/>
    <mergeCell ref="O31:Q31"/>
    <mergeCell ref="R31:T31"/>
    <mergeCell ref="AG38:AI38"/>
    <mergeCell ref="AJ38:AL38"/>
    <mergeCell ref="AM34:AO34"/>
    <mergeCell ref="AP34:AR34"/>
    <mergeCell ref="AS34:AU34"/>
    <mergeCell ref="AV34:AX34"/>
    <mergeCell ref="L36:N36"/>
    <mergeCell ref="O36:Q36"/>
    <mergeCell ref="R36:T36"/>
    <mergeCell ref="U36:W36"/>
    <mergeCell ref="X36:Z36"/>
    <mergeCell ref="AA36:AC36"/>
    <mergeCell ref="AD36:AF36"/>
    <mergeCell ref="AG36:AI36"/>
    <mergeCell ref="AJ36:AL36"/>
    <mergeCell ref="AM36:AO36"/>
    <mergeCell ref="AP36:AR36"/>
    <mergeCell ref="AS36:AU36"/>
    <mergeCell ref="AV36:AX36"/>
    <mergeCell ref="L34:N34"/>
    <mergeCell ref="O34:Q34"/>
    <mergeCell ref="R34:T34"/>
    <mergeCell ref="U34:W34"/>
    <mergeCell ref="X34:Z34"/>
    <mergeCell ref="AM38:AO38"/>
    <mergeCell ref="AP38:AR38"/>
    <mergeCell ref="AS38:AU38"/>
    <mergeCell ref="AV38:AX38"/>
    <mergeCell ref="L40:N40"/>
    <mergeCell ref="O40:Q40"/>
    <mergeCell ref="R40:T40"/>
    <mergeCell ref="U40:W40"/>
    <mergeCell ref="X40:Z40"/>
    <mergeCell ref="AA40:AC40"/>
    <mergeCell ref="AD40:AF40"/>
    <mergeCell ref="AG40:AI40"/>
    <mergeCell ref="AJ40:AL40"/>
    <mergeCell ref="AM40:AO40"/>
    <mergeCell ref="AP40:AR40"/>
    <mergeCell ref="AS40:AU40"/>
    <mergeCell ref="AV40:AX40"/>
    <mergeCell ref="L38:N38"/>
    <mergeCell ref="O38:Q38"/>
    <mergeCell ref="R38:T38"/>
    <mergeCell ref="U38:W38"/>
    <mergeCell ref="X38:Z38"/>
    <mergeCell ref="AA38:AC38"/>
    <mergeCell ref="AD38:AF38"/>
    <mergeCell ref="AV42:AX42"/>
    <mergeCell ref="L44:N44"/>
    <mergeCell ref="O44:Q44"/>
    <mergeCell ref="R44:T44"/>
    <mergeCell ref="U44:W44"/>
    <mergeCell ref="X44:Z44"/>
    <mergeCell ref="AA44:AC44"/>
    <mergeCell ref="AD44:AF44"/>
    <mergeCell ref="AG44:AI44"/>
    <mergeCell ref="AJ44:AL44"/>
    <mergeCell ref="AM44:AO44"/>
    <mergeCell ref="AP44:AR44"/>
    <mergeCell ref="AS44:AU44"/>
    <mergeCell ref="AV44:AX44"/>
    <mergeCell ref="L42:N42"/>
    <mergeCell ref="O42:Q42"/>
    <mergeCell ref="R42:T42"/>
    <mergeCell ref="U42:W42"/>
    <mergeCell ref="X42:Z42"/>
    <mergeCell ref="AA42:AC42"/>
    <mergeCell ref="AD42:AF42"/>
    <mergeCell ref="AG42:AI42"/>
    <mergeCell ref="AJ42:AL42"/>
    <mergeCell ref="U46:W46"/>
    <mergeCell ref="X46:Z46"/>
    <mergeCell ref="AA46:AC46"/>
    <mergeCell ref="AD46:AF46"/>
    <mergeCell ref="AG46:AI46"/>
    <mergeCell ref="AJ46:AL46"/>
    <mergeCell ref="AM42:AO42"/>
    <mergeCell ref="AP42:AR42"/>
    <mergeCell ref="AS42:AU42"/>
    <mergeCell ref="AA50:AC50"/>
    <mergeCell ref="AD50:AF50"/>
    <mergeCell ref="AG50:AI50"/>
    <mergeCell ref="AJ50:AL50"/>
    <mergeCell ref="AM46:AO46"/>
    <mergeCell ref="AP46:AR46"/>
    <mergeCell ref="AS46:AU46"/>
    <mergeCell ref="AV46:AX46"/>
    <mergeCell ref="L48:N48"/>
    <mergeCell ref="O48:Q48"/>
    <mergeCell ref="R48:T48"/>
    <mergeCell ref="U48:W48"/>
    <mergeCell ref="X48:Z48"/>
    <mergeCell ref="AA48:AC48"/>
    <mergeCell ref="AD48:AF48"/>
    <mergeCell ref="AG48:AI48"/>
    <mergeCell ref="AJ48:AL48"/>
    <mergeCell ref="AM48:AO48"/>
    <mergeCell ref="AP48:AR48"/>
    <mergeCell ref="AS48:AU48"/>
    <mergeCell ref="AV48:AX48"/>
    <mergeCell ref="L46:N46"/>
    <mergeCell ref="O46:Q46"/>
    <mergeCell ref="R46:T46"/>
    <mergeCell ref="AG54:AI54"/>
    <mergeCell ref="AJ54:AL54"/>
    <mergeCell ref="AM50:AO50"/>
    <mergeCell ref="AP50:AR50"/>
    <mergeCell ref="AS50:AU50"/>
    <mergeCell ref="AV50:AX50"/>
    <mergeCell ref="L52:N52"/>
    <mergeCell ref="O52:Q52"/>
    <mergeCell ref="R52:T52"/>
    <mergeCell ref="U52:W52"/>
    <mergeCell ref="X52:Z52"/>
    <mergeCell ref="AA52:AC52"/>
    <mergeCell ref="AD52:AF52"/>
    <mergeCell ref="AG52:AI52"/>
    <mergeCell ref="AJ52:AL52"/>
    <mergeCell ref="AM52:AO52"/>
    <mergeCell ref="AP52:AR52"/>
    <mergeCell ref="AS52:AU52"/>
    <mergeCell ref="AV52:AX52"/>
    <mergeCell ref="L50:N50"/>
    <mergeCell ref="O50:Q50"/>
    <mergeCell ref="R50:T50"/>
    <mergeCell ref="U50:W50"/>
    <mergeCell ref="X50:Z50"/>
    <mergeCell ref="AM54:AO54"/>
    <mergeCell ref="AP54:AR54"/>
    <mergeCell ref="AS54:AU54"/>
    <mergeCell ref="AV54:AX54"/>
    <mergeCell ref="L56:N56"/>
    <mergeCell ref="O56:Q56"/>
    <mergeCell ref="R56:T56"/>
    <mergeCell ref="U56:W56"/>
    <mergeCell ref="X56:Z56"/>
    <mergeCell ref="AA56:AC56"/>
    <mergeCell ref="AD56:AF56"/>
    <mergeCell ref="AG56:AI56"/>
    <mergeCell ref="AJ56:AL56"/>
    <mergeCell ref="AM56:AO56"/>
    <mergeCell ref="AP56:AR56"/>
    <mergeCell ref="AS56:AU56"/>
    <mergeCell ref="AV56:AX56"/>
    <mergeCell ref="L54:N54"/>
    <mergeCell ref="O54:Q54"/>
    <mergeCell ref="R54:T54"/>
    <mergeCell ref="U54:W54"/>
    <mergeCell ref="X54:Z54"/>
    <mergeCell ref="AA54:AC54"/>
    <mergeCell ref="AD54:AF54"/>
    <mergeCell ref="BL44:BL45"/>
    <mergeCell ref="BM44:BM45"/>
    <mergeCell ref="BN44:BN45"/>
    <mergeCell ref="BG44:BG45"/>
    <mergeCell ref="BH44:BH45"/>
    <mergeCell ref="BI44:BI45"/>
    <mergeCell ref="BJ44:BJ45"/>
    <mergeCell ref="BK44:BK45"/>
    <mergeCell ref="BC36:BC37"/>
    <mergeCell ref="BD36:BD37"/>
    <mergeCell ref="BE36:BE37"/>
    <mergeCell ref="BF36:BF37"/>
    <mergeCell ref="BG36:BG37"/>
    <mergeCell ref="BH36:BH37"/>
    <mergeCell ref="BI36:BI37"/>
    <mergeCell ref="BJ36:BJ37"/>
    <mergeCell ref="BK36:BK37"/>
    <mergeCell ref="BL36:BL37"/>
    <mergeCell ref="BM36:BM37"/>
    <mergeCell ref="BM42:BM43"/>
    <mergeCell ref="BC38:BC39"/>
    <mergeCell ref="BC40:BC41"/>
    <mergeCell ref="BC42:BC43"/>
    <mergeCell ref="BC44:BC45"/>
    <mergeCell ref="BL32:BL33"/>
    <mergeCell ref="BM32:BM33"/>
    <mergeCell ref="BN32:BN33"/>
    <mergeCell ref="BO32:BO33"/>
    <mergeCell ref="BC34:BC35"/>
    <mergeCell ref="BD34:BD35"/>
    <mergeCell ref="BE34:BE35"/>
    <mergeCell ref="BF34:BF35"/>
    <mergeCell ref="BG34:BG35"/>
    <mergeCell ref="BH34:BH35"/>
    <mergeCell ref="BI34:BI35"/>
    <mergeCell ref="BC32:BC33"/>
    <mergeCell ref="BD32:BD33"/>
    <mergeCell ref="BE32:BE33"/>
    <mergeCell ref="BF32:BF33"/>
    <mergeCell ref="BG32:BG33"/>
    <mergeCell ref="BH32:BH33"/>
    <mergeCell ref="BI32:BI33"/>
    <mergeCell ref="BJ32:BJ33"/>
    <mergeCell ref="BK32:BK33"/>
    <mergeCell ref="BJ34:BJ35"/>
    <mergeCell ref="BK34:BK35"/>
    <mergeCell ref="BL34:BL35"/>
    <mergeCell ref="BM34:BM35"/>
    <mergeCell ref="BN34:BN35"/>
    <mergeCell ref="BO34:BO35"/>
    <mergeCell ref="BO56:BO57"/>
    <mergeCell ref="BO36:BO37"/>
    <mergeCell ref="BN36:BN37"/>
    <mergeCell ref="BO38:BO39"/>
    <mergeCell ref="BO40:BO41"/>
    <mergeCell ref="BO42:BO43"/>
    <mergeCell ref="BO44:BO45"/>
    <mergeCell ref="BO46:BO47"/>
    <mergeCell ref="BO48:BO49"/>
    <mergeCell ref="BO50:BO51"/>
    <mergeCell ref="BO52:BO53"/>
    <mergeCell ref="BO54:BO55"/>
    <mergeCell ref="BN42:BN43"/>
    <mergeCell ref="BC46:BC47"/>
    <mergeCell ref="BC48:BC49"/>
    <mergeCell ref="BD38:BD39"/>
    <mergeCell ref="BE38:BE39"/>
    <mergeCell ref="BF38:BF39"/>
    <mergeCell ref="BD40:BD41"/>
    <mergeCell ref="BE40:BE41"/>
    <mergeCell ref="BF40:BF41"/>
    <mergeCell ref="BD42:BD43"/>
    <mergeCell ref="BE42:BE43"/>
    <mergeCell ref="BF42:BF43"/>
    <mergeCell ref="BD44:BD45"/>
    <mergeCell ref="BE44:BE45"/>
    <mergeCell ref="BF44:BF45"/>
    <mergeCell ref="BD46:BD47"/>
    <mergeCell ref="BE46:BE47"/>
    <mergeCell ref="BF46:BF47"/>
    <mergeCell ref="BG38:BG39"/>
    <mergeCell ref="BH38:BH39"/>
    <mergeCell ref="BI38:BI39"/>
    <mergeCell ref="BJ38:BJ39"/>
    <mergeCell ref="BK38:BK39"/>
    <mergeCell ref="BL38:BL39"/>
    <mergeCell ref="BM38:BM39"/>
    <mergeCell ref="BN38:BN39"/>
    <mergeCell ref="BN56:BN57"/>
    <mergeCell ref="BM56:BM57"/>
    <mergeCell ref="BG40:BG41"/>
    <mergeCell ref="BH40:BH41"/>
    <mergeCell ref="BI40:BI41"/>
    <mergeCell ref="BJ40:BJ41"/>
    <mergeCell ref="BK40:BK41"/>
    <mergeCell ref="BL40:BL41"/>
    <mergeCell ref="BM40:BM41"/>
    <mergeCell ref="BN40:BN41"/>
    <mergeCell ref="BG42:BG43"/>
    <mergeCell ref="BH42:BH43"/>
    <mergeCell ref="BI42:BI43"/>
    <mergeCell ref="BJ42:BJ43"/>
    <mergeCell ref="BK42:BK43"/>
    <mergeCell ref="BL42:BL43"/>
    <mergeCell ref="BG46:BG47"/>
    <mergeCell ref="BH46:BH47"/>
    <mergeCell ref="BI46:BI47"/>
    <mergeCell ref="BJ46:BJ47"/>
    <mergeCell ref="BK46:BK47"/>
    <mergeCell ref="BL46:BL47"/>
    <mergeCell ref="BM46:BM47"/>
    <mergeCell ref="BN46:BN47"/>
    <mergeCell ref="BD48:BD49"/>
    <mergeCell ref="BE48:BE49"/>
    <mergeCell ref="BF48:BF49"/>
    <mergeCell ref="BG48:BG49"/>
    <mergeCell ref="BH48:BH49"/>
    <mergeCell ref="BI48:BI49"/>
    <mergeCell ref="BJ48:BJ49"/>
    <mergeCell ref="BK48:BK49"/>
    <mergeCell ref="BL48:BL49"/>
    <mergeCell ref="BM48:BM49"/>
    <mergeCell ref="BN48:BN49"/>
    <mergeCell ref="BC50:BC51"/>
    <mergeCell ref="BC52:BC53"/>
    <mergeCell ref="BC54:BC55"/>
    <mergeCell ref="BC56:BC57"/>
    <mergeCell ref="BD50:BD51"/>
    <mergeCell ref="BE50:BE51"/>
    <mergeCell ref="BF50:BF51"/>
    <mergeCell ref="BG50:BG51"/>
    <mergeCell ref="BH50:BH51"/>
    <mergeCell ref="BD54:BD55"/>
    <mergeCell ref="BE54:BE55"/>
    <mergeCell ref="BF54:BF55"/>
    <mergeCell ref="BG54:BG55"/>
    <mergeCell ref="BH54:BH55"/>
    <mergeCell ref="BI50:BI51"/>
    <mergeCell ref="BJ50:BJ51"/>
    <mergeCell ref="BK50:BK51"/>
    <mergeCell ref="BL50:BL51"/>
    <mergeCell ref="BM50:BM51"/>
    <mergeCell ref="BN50:BN51"/>
    <mergeCell ref="BD52:BD53"/>
    <mergeCell ref="BE52:BE53"/>
    <mergeCell ref="BF52:BF53"/>
    <mergeCell ref="BG52:BG53"/>
    <mergeCell ref="BH52:BH53"/>
    <mergeCell ref="BI52:BI53"/>
    <mergeCell ref="BJ52:BJ53"/>
    <mergeCell ref="BK52:BK53"/>
    <mergeCell ref="BL52:BL53"/>
    <mergeCell ref="BM52:BM53"/>
    <mergeCell ref="BN52:BN53"/>
    <mergeCell ref="BI54:BI55"/>
    <mergeCell ref="BJ54:BJ55"/>
    <mergeCell ref="BK54:BK55"/>
    <mergeCell ref="BL54:BL55"/>
    <mergeCell ref="BM54:BM55"/>
    <mergeCell ref="BN54:BN55"/>
    <mergeCell ref="BD56:BD57"/>
    <mergeCell ref="BE56:BE57"/>
    <mergeCell ref="BF56:BF57"/>
    <mergeCell ref="BG56:BG57"/>
    <mergeCell ref="BH56:BH57"/>
    <mergeCell ref="BI56:BI57"/>
    <mergeCell ref="BJ56:BJ57"/>
    <mergeCell ref="BK56:BK57"/>
    <mergeCell ref="BL56:BL57"/>
  </mergeCells>
  <conditionalFormatting sqref="L4">
    <cfRule type="dataBar" priority="1113">
      <dataBar>
        <cfvo type="num" val="0"/>
        <cfvo type="num" val="1"/>
        <color rgb="FFFFD5DA"/>
      </dataBar>
      <extLst>
        <ext xmlns:x14="http://schemas.microsoft.com/office/spreadsheetml/2009/9/main" uri="{B025F937-C7B1-47D3-B67F-A62EFF666E3E}">
          <x14:id>{EB5B90E9-C5FB-4E60-B55E-E6E8950364F5}</x14:id>
        </ext>
      </extLst>
    </cfRule>
  </conditionalFormatting>
  <conditionalFormatting sqref="L6 L8 L10 L12 L14 L16 L18 L20 L22 L24 L26 L28">
    <cfRule type="dataBar" priority="1057">
      <dataBar>
        <cfvo type="num" val="0"/>
        <cfvo type="num" val="1"/>
        <color rgb="FFFFD5DA"/>
      </dataBar>
      <extLst>
        <ext xmlns:x14="http://schemas.microsoft.com/office/spreadsheetml/2009/9/main" uri="{B025F937-C7B1-47D3-B67F-A62EFF666E3E}">
          <x14:id>{5E7FBB20-F89E-4A16-93B2-304BFEE9A81A}</x14:id>
        </ext>
      </extLst>
    </cfRule>
  </conditionalFormatting>
  <conditionalFormatting sqref="L33">
    <cfRule type="dataBar" priority="1041">
      <dataBar>
        <cfvo type="num" val="0"/>
        <cfvo type="num" val="1"/>
        <color rgb="FFFFD5DA"/>
      </dataBar>
      <extLst>
        <ext xmlns:x14="http://schemas.microsoft.com/office/spreadsheetml/2009/9/main" uri="{B025F937-C7B1-47D3-B67F-A62EFF666E3E}">
          <x14:id>{55380B73-C39E-4A36-A8FD-98D4A29C9F18}</x14:id>
        </ext>
      </extLst>
    </cfRule>
  </conditionalFormatting>
  <conditionalFormatting sqref="L35">
    <cfRule type="dataBar" priority="980">
      <dataBar>
        <cfvo type="num" val="0"/>
        <cfvo type="num" val="1"/>
        <color rgb="FFFFD5DA"/>
      </dataBar>
      <extLst>
        <ext xmlns:x14="http://schemas.microsoft.com/office/spreadsheetml/2009/9/main" uri="{B025F937-C7B1-47D3-B67F-A62EFF666E3E}">
          <x14:id>{5735F780-BFEA-43E8-BAA5-FD213B686D91}</x14:id>
        </ext>
      </extLst>
    </cfRule>
  </conditionalFormatting>
  <conditionalFormatting sqref="L37">
    <cfRule type="dataBar" priority="941">
      <dataBar>
        <cfvo type="num" val="0"/>
        <cfvo type="num" val="1"/>
        <color rgb="FFFFD5DA"/>
      </dataBar>
      <extLst>
        <ext xmlns:x14="http://schemas.microsoft.com/office/spreadsheetml/2009/9/main" uri="{B025F937-C7B1-47D3-B67F-A62EFF666E3E}">
          <x14:id>{939772E1-49CF-458C-95B0-6CD8940EE480}</x14:id>
        </ext>
      </extLst>
    </cfRule>
  </conditionalFormatting>
  <conditionalFormatting sqref="L39">
    <cfRule type="dataBar" priority="902">
      <dataBar>
        <cfvo type="num" val="0"/>
        <cfvo type="num" val="1"/>
        <color rgb="FFFFD5DA"/>
      </dataBar>
      <extLst>
        <ext xmlns:x14="http://schemas.microsoft.com/office/spreadsheetml/2009/9/main" uri="{B025F937-C7B1-47D3-B67F-A62EFF666E3E}">
          <x14:id>{D020FF55-A089-480B-AA6D-338EDEBE0589}</x14:id>
        </ext>
      </extLst>
    </cfRule>
  </conditionalFormatting>
  <conditionalFormatting sqref="L41">
    <cfRule type="dataBar" priority="863">
      <dataBar>
        <cfvo type="num" val="0"/>
        <cfvo type="num" val="1"/>
        <color rgb="FFFFD5DA"/>
      </dataBar>
      <extLst>
        <ext xmlns:x14="http://schemas.microsoft.com/office/spreadsheetml/2009/9/main" uri="{B025F937-C7B1-47D3-B67F-A62EFF666E3E}">
          <x14:id>{0C8F7DF6-77A2-4051-B44A-50144B632711}</x14:id>
        </ext>
      </extLst>
    </cfRule>
  </conditionalFormatting>
  <conditionalFormatting sqref="L43">
    <cfRule type="dataBar" priority="788">
      <dataBar>
        <cfvo type="num" val="0"/>
        <cfvo type="num" val="1"/>
        <color rgb="FFFFD5DA"/>
      </dataBar>
      <extLst>
        <ext xmlns:x14="http://schemas.microsoft.com/office/spreadsheetml/2009/9/main" uri="{B025F937-C7B1-47D3-B67F-A62EFF666E3E}">
          <x14:id>{845C519E-4F70-4F0E-85F5-E93B71135EF2}</x14:id>
        </ext>
      </extLst>
    </cfRule>
  </conditionalFormatting>
  <conditionalFormatting sqref="L45">
    <cfRule type="dataBar" priority="785">
      <dataBar>
        <cfvo type="num" val="0"/>
        <cfvo type="num" val="1"/>
        <color rgb="FFFFD5DA"/>
      </dataBar>
      <extLst>
        <ext xmlns:x14="http://schemas.microsoft.com/office/spreadsheetml/2009/9/main" uri="{B025F937-C7B1-47D3-B67F-A62EFF666E3E}">
          <x14:id>{82EB9C93-75D8-40EB-991F-F23F65820782}</x14:id>
        </ext>
      </extLst>
    </cfRule>
  </conditionalFormatting>
  <conditionalFormatting sqref="L47">
    <cfRule type="dataBar" priority="710">
      <dataBar>
        <cfvo type="num" val="0"/>
        <cfvo type="num" val="1"/>
        <color rgb="FFFFD5DA"/>
      </dataBar>
      <extLst>
        <ext xmlns:x14="http://schemas.microsoft.com/office/spreadsheetml/2009/9/main" uri="{B025F937-C7B1-47D3-B67F-A62EFF666E3E}">
          <x14:id>{18984FA0-6C8B-46D7-B57B-2139EF1B246D}</x14:id>
        </ext>
      </extLst>
    </cfRule>
  </conditionalFormatting>
  <conditionalFormatting sqref="L49">
    <cfRule type="dataBar" priority="707">
      <dataBar>
        <cfvo type="num" val="0"/>
        <cfvo type="num" val="1"/>
        <color rgb="FFFFD5DA"/>
      </dataBar>
      <extLst>
        <ext xmlns:x14="http://schemas.microsoft.com/office/spreadsheetml/2009/9/main" uri="{B025F937-C7B1-47D3-B67F-A62EFF666E3E}">
          <x14:id>{5BEB957C-EC4A-4276-972F-C84C22878C70}</x14:id>
        </ext>
      </extLst>
    </cfRule>
  </conditionalFormatting>
  <conditionalFormatting sqref="L51">
    <cfRule type="dataBar" priority="632">
      <dataBar>
        <cfvo type="num" val="0"/>
        <cfvo type="num" val="1"/>
        <color rgb="FFFFD5DA"/>
      </dataBar>
      <extLst>
        <ext xmlns:x14="http://schemas.microsoft.com/office/spreadsheetml/2009/9/main" uri="{B025F937-C7B1-47D3-B67F-A62EFF666E3E}">
          <x14:id>{D573CED3-4FA0-4B16-8612-B1820F63FC8A}</x14:id>
        </ext>
      </extLst>
    </cfRule>
  </conditionalFormatting>
  <conditionalFormatting sqref="L53">
    <cfRule type="dataBar" priority="629">
      <dataBar>
        <cfvo type="num" val="0"/>
        <cfvo type="num" val="1"/>
        <color rgb="FFFFD5DA"/>
      </dataBar>
      <extLst>
        <ext xmlns:x14="http://schemas.microsoft.com/office/spreadsheetml/2009/9/main" uri="{B025F937-C7B1-47D3-B67F-A62EFF666E3E}">
          <x14:id>{94335086-28FC-4808-A881-45E61A30B488}</x14:id>
        </ext>
      </extLst>
    </cfRule>
  </conditionalFormatting>
  <conditionalFormatting sqref="L55">
    <cfRule type="dataBar" priority="554">
      <dataBar>
        <cfvo type="num" val="0"/>
        <cfvo type="num" val="1"/>
        <color rgb="FFFFD5DA"/>
      </dataBar>
      <extLst>
        <ext xmlns:x14="http://schemas.microsoft.com/office/spreadsheetml/2009/9/main" uri="{B025F937-C7B1-47D3-B67F-A62EFF666E3E}">
          <x14:id>{E671EE2A-CFD2-408D-838E-09CE113E649F}</x14:id>
        </ext>
      </extLst>
    </cfRule>
  </conditionalFormatting>
  <conditionalFormatting sqref="L57">
    <cfRule type="dataBar" priority="551">
      <dataBar>
        <cfvo type="num" val="0"/>
        <cfvo type="num" val="1"/>
        <color rgb="FFFFD5DA"/>
      </dataBar>
      <extLst>
        <ext xmlns:x14="http://schemas.microsoft.com/office/spreadsheetml/2009/9/main" uri="{B025F937-C7B1-47D3-B67F-A62EFF666E3E}">
          <x14:id>{4B8B2C57-42D5-4CB6-AFC8-DEFFFD4B54D0}</x14:id>
        </ext>
      </extLst>
    </cfRule>
  </conditionalFormatting>
  <conditionalFormatting sqref="L15:AX15 L19:AX19 L23:AX23 L25:AX25 L27:AX27 L32:AX32 L34:AX34 L36:AX36 L38:AX38 L40:AX40 L42:AX42 L44:AX44 L46:AX46 L48:AX48 L50:AX50 L52:AX52 L54:AX54 L56:AX56 L17:AX17 L21:AX21 L3:AW3 L5:AW5 L7:AW7 L9:AW9 L11:AW11 L13:AW13">
    <cfRule type="expression" dxfId="33" priority="1326">
      <formula>N4&gt;0.5</formula>
    </cfRule>
    <cfRule type="expression" dxfId="32" priority="1327">
      <formula>M4&gt;0.5</formula>
    </cfRule>
    <cfRule type="expression" dxfId="31" priority="1328">
      <formula>L4&gt;0.5</formula>
    </cfRule>
  </conditionalFormatting>
  <conditionalFormatting sqref="M4">
    <cfRule type="dataBar" priority="1115">
      <dataBar>
        <cfvo type="num" val="0"/>
        <cfvo type="num" val="1"/>
        <color theme="9" tint="0.59999389629810485"/>
      </dataBar>
      <extLst>
        <ext xmlns:x14="http://schemas.microsoft.com/office/spreadsheetml/2009/9/main" uri="{B025F937-C7B1-47D3-B67F-A62EFF666E3E}">
          <x14:id>{51B34863-F0A4-43C4-AAEE-5F761EF5B01E}</x14:id>
        </ext>
      </extLst>
    </cfRule>
  </conditionalFormatting>
  <conditionalFormatting sqref="M6 M8 M10 M12 M14 M16 M18 M20 M22 M24 M26 M28">
    <cfRule type="dataBar" priority="1059">
      <dataBar>
        <cfvo type="num" val="0"/>
        <cfvo type="num" val="1"/>
        <color theme="9" tint="0.59999389629810485"/>
      </dataBar>
      <extLst>
        <ext xmlns:x14="http://schemas.microsoft.com/office/spreadsheetml/2009/9/main" uri="{B025F937-C7B1-47D3-B67F-A62EFF666E3E}">
          <x14:id>{B2CAB641-F6ED-4E0D-96E9-CE101A0DA9A4}</x14:id>
        </ext>
      </extLst>
    </cfRule>
  </conditionalFormatting>
  <conditionalFormatting sqref="M33">
    <cfRule type="dataBar" priority="1043">
      <dataBar>
        <cfvo type="num" val="0"/>
        <cfvo type="num" val="1"/>
        <color theme="9" tint="0.59999389629810485"/>
      </dataBar>
      <extLst>
        <ext xmlns:x14="http://schemas.microsoft.com/office/spreadsheetml/2009/9/main" uri="{B025F937-C7B1-47D3-B67F-A62EFF666E3E}">
          <x14:id>{F402CBC7-49E7-4E67-B8EB-92126DB5FE6D}</x14:id>
        </ext>
      </extLst>
    </cfRule>
  </conditionalFormatting>
  <conditionalFormatting sqref="M35">
    <cfRule type="dataBar" priority="982">
      <dataBar>
        <cfvo type="num" val="0"/>
        <cfvo type="num" val="1"/>
        <color theme="9" tint="0.59999389629810485"/>
      </dataBar>
      <extLst>
        <ext xmlns:x14="http://schemas.microsoft.com/office/spreadsheetml/2009/9/main" uri="{B025F937-C7B1-47D3-B67F-A62EFF666E3E}">
          <x14:id>{B4A41B18-E1EE-44C5-9229-879A2C1B50E0}</x14:id>
        </ext>
      </extLst>
    </cfRule>
  </conditionalFormatting>
  <conditionalFormatting sqref="M37">
    <cfRule type="dataBar" priority="943">
      <dataBar>
        <cfvo type="num" val="0"/>
        <cfvo type="num" val="1"/>
        <color theme="9" tint="0.59999389629810485"/>
      </dataBar>
      <extLst>
        <ext xmlns:x14="http://schemas.microsoft.com/office/spreadsheetml/2009/9/main" uri="{B025F937-C7B1-47D3-B67F-A62EFF666E3E}">
          <x14:id>{DA180BA4-3E3D-4A63-B31F-647297A1058F}</x14:id>
        </ext>
      </extLst>
    </cfRule>
  </conditionalFormatting>
  <conditionalFormatting sqref="M39">
    <cfRule type="dataBar" priority="904">
      <dataBar>
        <cfvo type="num" val="0"/>
        <cfvo type="num" val="1"/>
        <color theme="9" tint="0.59999389629810485"/>
      </dataBar>
      <extLst>
        <ext xmlns:x14="http://schemas.microsoft.com/office/spreadsheetml/2009/9/main" uri="{B025F937-C7B1-47D3-B67F-A62EFF666E3E}">
          <x14:id>{0DF156A7-0D7B-43D6-8A64-44D46AF82398}</x14:id>
        </ext>
      </extLst>
    </cfRule>
  </conditionalFormatting>
  <conditionalFormatting sqref="M41">
    <cfRule type="dataBar" priority="865">
      <dataBar>
        <cfvo type="num" val="0"/>
        <cfvo type="num" val="1"/>
        <color theme="9" tint="0.59999389629810485"/>
      </dataBar>
      <extLst>
        <ext xmlns:x14="http://schemas.microsoft.com/office/spreadsheetml/2009/9/main" uri="{B025F937-C7B1-47D3-B67F-A62EFF666E3E}">
          <x14:id>{1518B187-EAC1-41FF-9630-B6AB74671B55}</x14:id>
        </ext>
      </extLst>
    </cfRule>
  </conditionalFormatting>
  <conditionalFormatting sqref="M43">
    <cfRule type="dataBar" priority="790">
      <dataBar>
        <cfvo type="num" val="0"/>
        <cfvo type="num" val="1"/>
        <color theme="9" tint="0.59999389629810485"/>
      </dataBar>
      <extLst>
        <ext xmlns:x14="http://schemas.microsoft.com/office/spreadsheetml/2009/9/main" uri="{B025F937-C7B1-47D3-B67F-A62EFF666E3E}">
          <x14:id>{07DB5846-8BE8-42EC-9B21-88053692F25D}</x14:id>
        </ext>
      </extLst>
    </cfRule>
  </conditionalFormatting>
  <conditionalFormatting sqref="M45">
    <cfRule type="dataBar" priority="787">
      <dataBar>
        <cfvo type="num" val="0"/>
        <cfvo type="num" val="1"/>
        <color theme="9" tint="0.59999389629810485"/>
      </dataBar>
      <extLst>
        <ext xmlns:x14="http://schemas.microsoft.com/office/spreadsheetml/2009/9/main" uri="{B025F937-C7B1-47D3-B67F-A62EFF666E3E}">
          <x14:id>{59D97D5D-951E-49B0-8537-457874CBECA0}</x14:id>
        </ext>
      </extLst>
    </cfRule>
  </conditionalFormatting>
  <conditionalFormatting sqref="M47">
    <cfRule type="dataBar" priority="712">
      <dataBar>
        <cfvo type="num" val="0"/>
        <cfvo type="num" val="1"/>
        <color theme="9" tint="0.59999389629810485"/>
      </dataBar>
      <extLst>
        <ext xmlns:x14="http://schemas.microsoft.com/office/spreadsheetml/2009/9/main" uri="{B025F937-C7B1-47D3-B67F-A62EFF666E3E}">
          <x14:id>{B485AD22-724F-4948-B390-A30FD5810413}</x14:id>
        </ext>
      </extLst>
    </cfRule>
  </conditionalFormatting>
  <conditionalFormatting sqref="M49">
    <cfRule type="dataBar" priority="709">
      <dataBar>
        <cfvo type="num" val="0"/>
        <cfvo type="num" val="1"/>
        <color theme="9" tint="0.59999389629810485"/>
      </dataBar>
      <extLst>
        <ext xmlns:x14="http://schemas.microsoft.com/office/spreadsheetml/2009/9/main" uri="{B025F937-C7B1-47D3-B67F-A62EFF666E3E}">
          <x14:id>{BCC9D6E7-A5FF-4567-9F88-7AB1E3FA8592}</x14:id>
        </ext>
      </extLst>
    </cfRule>
  </conditionalFormatting>
  <conditionalFormatting sqref="M51">
    <cfRule type="dataBar" priority="634">
      <dataBar>
        <cfvo type="num" val="0"/>
        <cfvo type="num" val="1"/>
        <color theme="9" tint="0.59999389629810485"/>
      </dataBar>
      <extLst>
        <ext xmlns:x14="http://schemas.microsoft.com/office/spreadsheetml/2009/9/main" uri="{B025F937-C7B1-47D3-B67F-A62EFF666E3E}">
          <x14:id>{9F16BAF2-84EF-4382-8ED0-1B46FD939A04}</x14:id>
        </ext>
      </extLst>
    </cfRule>
  </conditionalFormatting>
  <conditionalFormatting sqref="M53">
    <cfRule type="dataBar" priority="631">
      <dataBar>
        <cfvo type="num" val="0"/>
        <cfvo type="num" val="1"/>
        <color theme="9" tint="0.59999389629810485"/>
      </dataBar>
      <extLst>
        <ext xmlns:x14="http://schemas.microsoft.com/office/spreadsheetml/2009/9/main" uri="{B025F937-C7B1-47D3-B67F-A62EFF666E3E}">
          <x14:id>{4B26CD9F-61CF-41C5-A5F6-C562F2AD675D}</x14:id>
        </ext>
      </extLst>
    </cfRule>
  </conditionalFormatting>
  <conditionalFormatting sqref="M55">
    <cfRule type="dataBar" priority="556">
      <dataBar>
        <cfvo type="num" val="0"/>
        <cfvo type="num" val="1"/>
        <color theme="9" tint="0.59999389629810485"/>
      </dataBar>
      <extLst>
        <ext xmlns:x14="http://schemas.microsoft.com/office/spreadsheetml/2009/9/main" uri="{B025F937-C7B1-47D3-B67F-A62EFF666E3E}">
          <x14:id>{3419A00C-F55F-4AA4-BC2A-FC5EA6F3E196}</x14:id>
        </ext>
      </extLst>
    </cfRule>
  </conditionalFormatting>
  <conditionalFormatting sqref="M57">
    <cfRule type="dataBar" priority="553">
      <dataBar>
        <cfvo type="num" val="0"/>
        <cfvo type="num" val="1"/>
        <color theme="9" tint="0.59999389629810485"/>
      </dataBar>
      <extLst>
        <ext xmlns:x14="http://schemas.microsoft.com/office/spreadsheetml/2009/9/main" uri="{B025F937-C7B1-47D3-B67F-A62EFF666E3E}">
          <x14:id>{41B8A0AD-7E50-4DFA-8FC8-40C89EC30E60}</x14:id>
        </ext>
      </extLst>
    </cfRule>
  </conditionalFormatting>
  <conditionalFormatting sqref="N4">
    <cfRule type="dataBar" priority="1114">
      <dataBar>
        <cfvo type="num" val="0"/>
        <cfvo type="num" val="1"/>
        <color theme="0" tint="-0.14999847407452621"/>
      </dataBar>
      <extLst>
        <ext xmlns:x14="http://schemas.microsoft.com/office/spreadsheetml/2009/9/main" uri="{B025F937-C7B1-47D3-B67F-A62EFF666E3E}">
          <x14:id>{3A447EBA-6E6D-490A-BF96-006309D7608F}</x14:id>
        </ext>
      </extLst>
    </cfRule>
  </conditionalFormatting>
  <conditionalFormatting sqref="N6 N8 N10 N12 N14 N16 N18 N20 N22 N24 N26 N28">
    <cfRule type="dataBar" priority="1058">
      <dataBar>
        <cfvo type="num" val="0"/>
        <cfvo type="num" val="1"/>
        <color theme="0" tint="-0.14999847407452621"/>
      </dataBar>
      <extLst>
        <ext xmlns:x14="http://schemas.microsoft.com/office/spreadsheetml/2009/9/main" uri="{B025F937-C7B1-47D3-B67F-A62EFF666E3E}">
          <x14:id>{B62AE42B-27EC-4202-9F49-BAE2B1A1CDC4}</x14:id>
        </ext>
      </extLst>
    </cfRule>
  </conditionalFormatting>
  <conditionalFormatting sqref="N33">
    <cfRule type="dataBar" priority="1042">
      <dataBar>
        <cfvo type="num" val="0"/>
        <cfvo type="num" val="1"/>
        <color theme="0" tint="-0.14999847407452621"/>
      </dataBar>
      <extLst>
        <ext xmlns:x14="http://schemas.microsoft.com/office/spreadsheetml/2009/9/main" uri="{B025F937-C7B1-47D3-B67F-A62EFF666E3E}">
          <x14:id>{39C56D0E-C3E6-4562-9A31-911DBE835655}</x14:id>
        </ext>
      </extLst>
    </cfRule>
  </conditionalFormatting>
  <conditionalFormatting sqref="N35">
    <cfRule type="dataBar" priority="981">
      <dataBar>
        <cfvo type="num" val="0"/>
        <cfvo type="num" val="1"/>
        <color theme="0" tint="-0.14999847407452621"/>
      </dataBar>
      <extLst>
        <ext xmlns:x14="http://schemas.microsoft.com/office/spreadsheetml/2009/9/main" uri="{B025F937-C7B1-47D3-B67F-A62EFF666E3E}">
          <x14:id>{66E30087-46CE-4F85-BF56-77A24534B6FB}</x14:id>
        </ext>
      </extLst>
    </cfRule>
  </conditionalFormatting>
  <conditionalFormatting sqref="N37">
    <cfRule type="dataBar" priority="942">
      <dataBar>
        <cfvo type="num" val="0"/>
        <cfvo type="num" val="1"/>
        <color theme="0" tint="-0.14999847407452621"/>
      </dataBar>
      <extLst>
        <ext xmlns:x14="http://schemas.microsoft.com/office/spreadsheetml/2009/9/main" uri="{B025F937-C7B1-47D3-B67F-A62EFF666E3E}">
          <x14:id>{EB01FA62-6507-4672-94C3-A8A037E6AC3C}</x14:id>
        </ext>
      </extLst>
    </cfRule>
  </conditionalFormatting>
  <conditionalFormatting sqref="N39">
    <cfRule type="dataBar" priority="903">
      <dataBar>
        <cfvo type="num" val="0"/>
        <cfvo type="num" val="1"/>
        <color theme="0" tint="-0.14999847407452621"/>
      </dataBar>
      <extLst>
        <ext xmlns:x14="http://schemas.microsoft.com/office/spreadsheetml/2009/9/main" uri="{B025F937-C7B1-47D3-B67F-A62EFF666E3E}">
          <x14:id>{BA23BD23-0D05-4D2C-96BE-BDBB9C845E05}</x14:id>
        </ext>
      </extLst>
    </cfRule>
  </conditionalFormatting>
  <conditionalFormatting sqref="N41">
    <cfRule type="dataBar" priority="864">
      <dataBar>
        <cfvo type="num" val="0"/>
        <cfvo type="num" val="1"/>
        <color theme="0" tint="-0.14999847407452621"/>
      </dataBar>
      <extLst>
        <ext xmlns:x14="http://schemas.microsoft.com/office/spreadsheetml/2009/9/main" uri="{B025F937-C7B1-47D3-B67F-A62EFF666E3E}">
          <x14:id>{EA870922-7AAC-4BD1-B30A-993AF1281672}</x14:id>
        </ext>
      </extLst>
    </cfRule>
  </conditionalFormatting>
  <conditionalFormatting sqref="N43">
    <cfRule type="dataBar" priority="789">
      <dataBar>
        <cfvo type="num" val="0"/>
        <cfvo type="num" val="1"/>
        <color theme="0" tint="-0.14999847407452621"/>
      </dataBar>
      <extLst>
        <ext xmlns:x14="http://schemas.microsoft.com/office/spreadsheetml/2009/9/main" uri="{B025F937-C7B1-47D3-B67F-A62EFF666E3E}">
          <x14:id>{8CB97B55-74D6-4CD2-9D19-DCC834A89ACF}</x14:id>
        </ext>
      </extLst>
    </cfRule>
  </conditionalFormatting>
  <conditionalFormatting sqref="N45">
    <cfRule type="dataBar" priority="786">
      <dataBar>
        <cfvo type="num" val="0"/>
        <cfvo type="num" val="1"/>
        <color theme="0" tint="-0.14999847407452621"/>
      </dataBar>
      <extLst>
        <ext xmlns:x14="http://schemas.microsoft.com/office/spreadsheetml/2009/9/main" uri="{B025F937-C7B1-47D3-B67F-A62EFF666E3E}">
          <x14:id>{503EF3EF-3353-4EFB-9651-7977FC671899}</x14:id>
        </ext>
      </extLst>
    </cfRule>
  </conditionalFormatting>
  <conditionalFormatting sqref="N47">
    <cfRule type="dataBar" priority="711">
      <dataBar>
        <cfvo type="num" val="0"/>
        <cfvo type="num" val="1"/>
        <color theme="0" tint="-0.14999847407452621"/>
      </dataBar>
      <extLst>
        <ext xmlns:x14="http://schemas.microsoft.com/office/spreadsheetml/2009/9/main" uri="{B025F937-C7B1-47D3-B67F-A62EFF666E3E}">
          <x14:id>{5D98E90D-060A-492E-8DF6-AA9C0526EAD4}</x14:id>
        </ext>
      </extLst>
    </cfRule>
  </conditionalFormatting>
  <conditionalFormatting sqref="N49">
    <cfRule type="dataBar" priority="708">
      <dataBar>
        <cfvo type="num" val="0"/>
        <cfvo type="num" val="1"/>
        <color theme="0" tint="-0.14999847407452621"/>
      </dataBar>
      <extLst>
        <ext xmlns:x14="http://schemas.microsoft.com/office/spreadsheetml/2009/9/main" uri="{B025F937-C7B1-47D3-B67F-A62EFF666E3E}">
          <x14:id>{5D516885-2744-4320-BC4D-B980D374F41A}</x14:id>
        </ext>
      </extLst>
    </cfRule>
  </conditionalFormatting>
  <conditionalFormatting sqref="N51">
    <cfRule type="dataBar" priority="633">
      <dataBar>
        <cfvo type="num" val="0"/>
        <cfvo type="num" val="1"/>
        <color theme="0" tint="-0.14999847407452621"/>
      </dataBar>
      <extLst>
        <ext xmlns:x14="http://schemas.microsoft.com/office/spreadsheetml/2009/9/main" uri="{B025F937-C7B1-47D3-B67F-A62EFF666E3E}">
          <x14:id>{1B179995-BDC2-4C48-9017-05E447CB0C29}</x14:id>
        </ext>
      </extLst>
    </cfRule>
  </conditionalFormatting>
  <conditionalFormatting sqref="N53">
    <cfRule type="dataBar" priority="630">
      <dataBar>
        <cfvo type="num" val="0"/>
        <cfvo type="num" val="1"/>
        <color theme="0" tint="-0.14999847407452621"/>
      </dataBar>
      <extLst>
        <ext xmlns:x14="http://schemas.microsoft.com/office/spreadsheetml/2009/9/main" uri="{B025F937-C7B1-47D3-B67F-A62EFF666E3E}">
          <x14:id>{63E4FA5A-5F52-42C2-9F70-767ED5C35AE0}</x14:id>
        </ext>
      </extLst>
    </cfRule>
  </conditionalFormatting>
  <conditionalFormatting sqref="N55">
    <cfRule type="dataBar" priority="555">
      <dataBar>
        <cfvo type="num" val="0"/>
        <cfvo type="num" val="1"/>
        <color theme="0" tint="-0.14999847407452621"/>
      </dataBar>
      <extLst>
        <ext xmlns:x14="http://schemas.microsoft.com/office/spreadsheetml/2009/9/main" uri="{B025F937-C7B1-47D3-B67F-A62EFF666E3E}">
          <x14:id>{12ECB1A5-9B53-4F5A-84FF-882F4C66C748}</x14:id>
        </ext>
      </extLst>
    </cfRule>
  </conditionalFormatting>
  <conditionalFormatting sqref="N57">
    <cfRule type="dataBar" priority="552">
      <dataBar>
        <cfvo type="num" val="0"/>
        <cfvo type="num" val="1"/>
        <color theme="0" tint="-0.14999847407452621"/>
      </dataBar>
      <extLst>
        <ext xmlns:x14="http://schemas.microsoft.com/office/spreadsheetml/2009/9/main" uri="{B025F937-C7B1-47D3-B67F-A62EFF666E3E}">
          <x14:id>{96037164-B5D1-4C8C-A965-65EAFA3B9D6A}</x14:id>
        </ext>
      </extLst>
    </cfRule>
  </conditionalFormatting>
  <conditionalFormatting sqref="O4">
    <cfRule type="dataBar" priority="1066">
      <dataBar>
        <cfvo type="num" val="0"/>
        <cfvo type="num" val="1"/>
        <color rgb="FFFFD5DA"/>
      </dataBar>
      <extLst>
        <ext xmlns:x14="http://schemas.microsoft.com/office/spreadsheetml/2009/9/main" uri="{B025F937-C7B1-47D3-B67F-A62EFF666E3E}">
          <x14:id>{E79898B4-2A86-420D-B7BC-C70B9F4CCB37}</x14:id>
        </ext>
      </extLst>
    </cfRule>
  </conditionalFormatting>
  <conditionalFormatting sqref="O6 O8 O10 O12 O14 O16 O18 O20 O22 O24 O26 O28">
    <cfRule type="dataBar" priority="1053">
      <dataBar>
        <cfvo type="num" val="0"/>
        <cfvo type="num" val="1"/>
        <color rgb="FFFFD5DA"/>
      </dataBar>
      <extLst>
        <ext xmlns:x14="http://schemas.microsoft.com/office/spreadsheetml/2009/9/main" uri="{B025F937-C7B1-47D3-B67F-A62EFF666E3E}">
          <x14:id>{830C5D26-71EC-40D6-80C2-6ECF35EC864A}</x14:id>
        </ext>
      </extLst>
    </cfRule>
  </conditionalFormatting>
  <conditionalFormatting sqref="O33">
    <cfRule type="dataBar" priority="1016">
      <dataBar>
        <cfvo type="num" val="0"/>
        <cfvo type="num" val="1"/>
        <color rgb="FFFFD5DA"/>
      </dataBar>
      <extLst>
        <ext xmlns:x14="http://schemas.microsoft.com/office/spreadsheetml/2009/9/main" uri="{B025F937-C7B1-47D3-B67F-A62EFF666E3E}">
          <x14:id>{4E802D06-22E2-4AE0-9021-A920602A7EBE}</x14:id>
        </ext>
      </extLst>
    </cfRule>
  </conditionalFormatting>
  <conditionalFormatting sqref="O35">
    <cfRule type="dataBar" priority="977">
      <dataBar>
        <cfvo type="num" val="0"/>
        <cfvo type="num" val="1"/>
        <color rgb="FFFFD5DA"/>
      </dataBar>
      <extLst>
        <ext xmlns:x14="http://schemas.microsoft.com/office/spreadsheetml/2009/9/main" uri="{B025F937-C7B1-47D3-B67F-A62EFF666E3E}">
          <x14:id>{6C615DBD-F54C-4343-AB6A-DF8A4A429D87}</x14:id>
        </ext>
      </extLst>
    </cfRule>
  </conditionalFormatting>
  <conditionalFormatting sqref="O37">
    <cfRule type="dataBar" priority="938">
      <dataBar>
        <cfvo type="num" val="0"/>
        <cfvo type="num" val="1"/>
        <color rgb="FFFFD5DA"/>
      </dataBar>
      <extLst>
        <ext xmlns:x14="http://schemas.microsoft.com/office/spreadsheetml/2009/9/main" uri="{B025F937-C7B1-47D3-B67F-A62EFF666E3E}">
          <x14:id>{DB264836-DE14-4653-81CD-2E322DDE14FB}</x14:id>
        </ext>
      </extLst>
    </cfRule>
  </conditionalFormatting>
  <conditionalFormatting sqref="O39">
    <cfRule type="dataBar" priority="899">
      <dataBar>
        <cfvo type="num" val="0"/>
        <cfvo type="num" val="1"/>
        <color rgb="FFFFD5DA"/>
      </dataBar>
      <extLst>
        <ext xmlns:x14="http://schemas.microsoft.com/office/spreadsheetml/2009/9/main" uri="{B025F937-C7B1-47D3-B67F-A62EFF666E3E}">
          <x14:id>{72E53707-D18D-40FE-ACCF-582E0729B886}</x14:id>
        </ext>
      </extLst>
    </cfRule>
  </conditionalFormatting>
  <conditionalFormatting sqref="O41">
    <cfRule type="dataBar" priority="860">
      <dataBar>
        <cfvo type="num" val="0"/>
        <cfvo type="num" val="1"/>
        <color rgb="FFFFD5DA"/>
      </dataBar>
      <extLst>
        <ext xmlns:x14="http://schemas.microsoft.com/office/spreadsheetml/2009/9/main" uri="{B025F937-C7B1-47D3-B67F-A62EFF666E3E}">
          <x14:id>{2E0747D1-A2AA-461F-A49D-3C27D115503A}</x14:id>
        </ext>
      </extLst>
    </cfRule>
  </conditionalFormatting>
  <conditionalFormatting sqref="O43">
    <cfRule type="dataBar" priority="791">
      <dataBar>
        <cfvo type="num" val="0"/>
        <cfvo type="num" val="1"/>
        <color rgb="FFFFD5DA"/>
      </dataBar>
      <extLst>
        <ext xmlns:x14="http://schemas.microsoft.com/office/spreadsheetml/2009/9/main" uri="{B025F937-C7B1-47D3-B67F-A62EFF666E3E}">
          <x14:id>{4F154085-FE4E-4BAE-9DFD-F43F901767C2}</x14:id>
        </ext>
      </extLst>
    </cfRule>
  </conditionalFormatting>
  <conditionalFormatting sqref="O45">
    <cfRule type="dataBar" priority="782">
      <dataBar>
        <cfvo type="num" val="0"/>
        <cfvo type="num" val="1"/>
        <color rgb="FFFFD5DA"/>
      </dataBar>
      <extLst>
        <ext xmlns:x14="http://schemas.microsoft.com/office/spreadsheetml/2009/9/main" uri="{B025F937-C7B1-47D3-B67F-A62EFF666E3E}">
          <x14:id>{E4EDBC3F-6DEB-4854-86D3-D9DE69199F78}</x14:id>
        </ext>
      </extLst>
    </cfRule>
  </conditionalFormatting>
  <conditionalFormatting sqref="O47">
    <cfRule type="dataBar" priority="713">
      <dataBar>
        <cfvo type="num" val="0"/>
        <cfvo type="num" val="1"/>
        <color rgb="FFFFD5DA"/>
      </dataBar>
      <extLst>
        <ext xmlns:x14="http://schemas.microsoft.com/office/spreadsheetml/2009/9/main" uri="{B025F937-C7B1-47D3-B67F-A62EFF666E3E}">
          <x14:id>{7C3E9F4D-EE0C-4AE3-8443-F23707598E91}</x14:id>
        </ext>
      </extLst>
    </cfRule>
  </conditionalFormatting>
  <conditionalFormatting sqref="O49">
    <cfRule type="dataBar" priority="704">
      <dataBar>
        <cfvo type="num" val="0"/>
        <cfvo type="num" val="1"/>
        <color rgb="FFFFD5DA"/>
      </dataBar>
      <extLst>
        <ext xmlns:x14="http://schemas.microsoft.com/office/spreadsheetml/2009/9/main" uri="{B025F937-C7B1-47D3-B67F-A62EFF666E3E}">
          <x14:id>{74A3B3DC-1E14-4A80-8BFA-3EE29C315A4F}</x14:id>
        </ext>
      </extLst>
    </cfRule>
  </conditionalFormatting>
  <conditionalFormatting sqref="O51">
    <cfRule type="dataBar" priority="635">
      <dataBar>
        <cfvo type="num" val="0"/>
        <cfvo type="num" val="1"/>
        <color rgb="FFFFD5DA"/>
      </dataBar>
      <extLst>
        <ext xmlns:x14="http://schemas.microsoft.com/office/spreadsheetml/2009/9/main" uri="{B025F937-C7B1-47D3-B67F-A62EFF666E3E}">
          <x14:id>{44517271-0A0A-4345-859F-7849C55DD443}</x14:id>
        </ext>
      </extLst>
    </cfRule>
  </conditionalFormatting>
  <conditionalFormatting sqref="O53">
    <cfRule type="dataBar" priority="626">
      <dataBar>
        <cfvo type="num" val="0"/>
        <cfvo type="num" val="1"/>
        <color rgb="FFFFD5DA"/>
      </dataBar>
      <extLst>
        <ext xmlns:x14="http://schemas.microsoft.com/office/spreadsheetml/2009/9/main" uri="{B025F937-C7B1-47D3-B67F-A62EFF666E3E}">
          <x14:id>{A2B1D148-B2C5-4A40-906E-9F425E50DA6B}</x14:id>
        </ext>
      </extLst>
    </cfRule>
  </conditionalFormatting>
  <conditionalFormatting sqref="O55">
    <cfRule type="dataBar" priority="557">
      <dataBar>
        <cfvo type="num" val="0"/>
        <cfvo type="num" val="1"/>
        <color rgb="FFFFD5DA"/>
      </dataBar>
      <extLst>
        <ext xmlns:x14="http://schemas.microsoft.com/office/spreadsheetml/2009/9/main" uri="{B025F937-C7B1-47D3-B67F-A62EFF666E3E}">
          <x14:id>{C2E3DE5E-2328-4F73-80FD-5A807F21526F}</x14:id>
        </ext>
      </extLst>
    </cfRule>
  </conditionalFormatting>
  <conditionalFormatting sqref="O57">
    <cfRule type="dataBar" priority="548">
      <dataBar>
        <cfvo type="num" val="0"/>
        <cfvo type="num" val="1"/>
        <color rgb="FFFFD5DA"/>
      </dataBar>
      <extLst>
        <ext xmlns:x14="http://schemas.microsoft.com/office/spreadsheetml/2009/9/main" uri="{B025F937-C7B1-47D3-B67F-A62EFF666E3E}">
          <x14:id>{2EDB672C-C63B-493D-B2A0-8BE55DD137E3}</x14:id>
        </ext>
      </extLst>
    </cfRule>
  </conditionalFormatting>
  <conditionalFormatting sqref="P4">
    <cfRule type="dataBar" priority="1068">
      <dataBar>
        <cfvo type="num" val="0"/>
        <cfvo type="num" val="1"/>
        <color theme="9" tint="0.59999389629810485"/>
      </dataBar>
      <extLst>
        <ext xmlns:x14="http://schemas.microsoft.com/office/spreadsheetml/2009/9/main" uri="{B025F937-C7B1-47D3-B67F-A62EFF666E3E}">
          <x14:id>{E94FC0E2-87E8-4278-B7F1-B6D505E6B9D5}</x14:id>
        </ext>
      </extLst>
    </cfRule>
  </conditionalFormatting>
  <conditionalFormatting sqref="P6 P8 P10 P12 P14 P16 P18 P20 P22 P24 P26 P28">
    <cfRule type="dataBar" priority="1055">
      <dataBar>
        <cfvo type="num" val="0"/>
        <cfvo type="num" val="1"/>
        <color theme="9" tint="0.59999389629810485"/>
      </dataBar>
      <extLst>
        <ext xmlns:x14="http://schemas.microsoft.com/office/spreadsheetml/2009/9/main" uri="{B025F937-C7B1-47D3-B67F-A62EFF666E3E}">
          <x14:id>{0B4A9D1A-41F6-484D-9765-3E7909314660}</x14:id>
        </ext>
      </extLst>
    </cfRule>
  </conditionalFormatting>
  <conditionalFormatting sqref="P33">
    <cfRule type="dataBar" priority="1018">
      <dataBar>
        <cfvo type="num" val="0"/>
        <cfvo type="num" val="1"/>
        <color theme="9" tint="0.59999389629810485"/>
      </dataBar>
      <extLst>
        <ext xmlns:x14="http://schemas.microsoft.com/office/spreadsheetml/2009/9/main" uri="{B025F937-C7B1-47D3-B67F-A62EFF666E3E}">
          <x14:id>{7FE3BF17-ABF1-46A7-AD12-7B2915D9B54F}</x14:id>
        </ext>
      </extLst>
    </cfRule>
  </conditionalFormatting>
  <conditionalFormatting sqref="P35">
    <cfRule type="dataBar" priority="979">
      <dataBar>
        <cfvo type="num" val="0"/>
        <cfvo type="num" val="1"/>
        <color theme="9" tint="0.59999389629810485"/>
      </dataBar>
      <extLst>
        <ext xmlns:x14="http://schemas.microsoft.com/office/spreadsheetml/2009/9/main" uri="{B025F937-C7B1-47D3-B67F-A62EFF666E3E}">
          <x14:id>{2DFFCA2B-6A9A-4487-B57A-16EAA053C5F2}</x14:id>
        </ext>
      </extLst>
    </cfRule>
  </conditionalFormatting>
  <conditionalFormatting sqref="P37">
    <cfRule type="dataBar" priority="940">
      <dataBar>
        <cfvo type="num" val="0"/>
        <cfvo type="num" val="1"/>
        <color theme="9" tint="0.59999389629810485"/>
      </dataBar>
      <extLst>
        <ext xmlns:x14="http://schemas.microsoft.com/office/spreadsheetml/2009/9/main" uri="{B025F937-C7B1-47D3-B67F-A62EFF666E3E}">
          <x14:id>{327AC291-7A99-4632-8385-FF1FC449FD65}</x14:id>
        </ext>
      </extLst>
    </cfRule>
  </conditionalFormatting>
  <conditionalFormatting sqref="P39">
    <cfRule type="dataBar" priority="901">
      <dataBar>
        <cfvo type="num" val="0"/>
        <cfvo type="num" val="1"/>
        <color theme="9" tint="0.59999389629810485"/>
      </dataBar>
      <extLst>
        <ext xmlns:x14="http://schemas.microsoft.com/office/spreadsheetml/2009/9/main" uri="{B025F937-C7B1-47D3-B67F-A62EFF666E3E}">
          <x14:id>{AB40F71C-5ED9-4404-A835-E0E50007B323}</x14:id>
        </ext>
      </extLst>
    </cfRule>
  </conditionalFormatting>
  <conditionalFormatting sqref="P41">
    <cfRule type="dataBar" priority="862">
      <dataBar>
        <cfvo type="num" val="0"/>
        <cfvo type="num" val="1"/>
        <color theme="9" tint="0.59999389629810485"/>
      </dataBar>
      <extLst>
        <ext xmlns:x14="http://schemas.microsoft.com/office/spreadsheetml/2009/9/main" uri="{B025F937-C7B1-47D3-B67F-A62EFF666E3E}">
          <x14:id>{BA74AE8A-BB49-447C-BDDA-D2E44280E8E4}</x14:id>
        </ext>
      </extLst>
    </cfRule>
  </conditionalFormatting>
  <conditionalFormatting sqref="P43">
    <cfRule type="dataBar" priority="793">
      <dataBar>
        <cfvo type="num" val="0"/>
        <cfvo type="num" val="1"/>
        <color theme="9" tint="0.59999389629810485"/>
      </dataBar>
      <extLst>
        <ext xmlns:x14="http://schemas.microsoft.com/office/spreadsheetml/2009/9/main" uri="{B025F937-C7B1-47D3-B67F-A62EFF666E3E}">
          <x14:id>{DE69D2EF-5605-4237-A91F-3FF20C125B0C}</x14:id>
        </ext>
      </extLst>
    </cfRule>
  </conditionalFormatting>
  <conditionalFormatting sqref="P45">
    <cfRule type="dataBar" priority="784">
      <dataBar>
        <cfvo type="num" val="0"/>
        <cfvo type="num" val="1"/>
        <color theme="9" tint="0.59999389629810485"/>
      </dataBar>
      <extLst>
        <ext xmlns:x14="http://schemas.microsoft.com/office/spreadsheetml/2009/9/main" uri="{B025F937-C7B1-47D3-B67F-A62EFF666E3E}">
          <x14:id>{702EC1DE-826C-4D7B-BC0D-BA82014D44F2}</x14:id>
        </ext>
      </extLst>
    </cfRule>
  </conditionalFormatting>
  <conditionalFormatting sqref="P47">
    <cfRule type="dataBar" priority="715">
      <dataBar>
        <cfvo type="num" val="0"/>
        <cfvo type="num" val="1"/>
        <color theme="9" tint="0.59999389629810485"/>
      </dataBar>
      <extLst>
        <ext xmlns:x14="http://schemas.microsoft.com/office/spreadsheetml/2009/9/main" uri="{B025F937-C7B1-47D3-B67F-A62EFF666E3E}">
          <x14:id>{C84F6664-2EBD-4901-A937-78AB97D812D7}</x14:id>
        </ext>
      </extLst>
    </cfRule>
  </conditionalFormatting>
  <conditionalFormatting sqref="P49">
    <cfRule type="dataBar" priority="706">
      <dataBar>
        <cfvo type="num" val="0"/>
        <cfvo type="num" val="1"/>
        <color theme="9" tint="0.59999389629810485"/>
      </dataBar>
      <extLst>
        <ext xmlns:x14="http://schemas.microsoft.com/office/spreadsheetml/2009/9/main" uri="{B025F937-C7B1-47D3-B67F-A62EFF666E3E}">
          <x14:id>{1BE94A16-9D65-48A3-989D-4A0C1912712F}</x14:id>
        </ext>
      </extLst>
    </cfRule>
  </conditionalFormatting>
  <conditionalFormatting sqref="P51">
    <cfRule type="dataBar" priority="637">
      <dataBar>
        <cfvo type="num" val="0"/>
        <cfvo type="num" val="1"/>
        <color theme="9" tint="0.59999389629810485"/>
      </dataBar>
      <extLst>
        <ext xmlns:x14="http://schemas.microsoft.com/office/spreadsheetml/2009/9/main" uri="{B025F937-C7B1-47D3-B67F-A62EFF666E3E}">
          <x14:id>{E5818D7F-B0E8-47AD-AF1A-6DBC08552199}</x14:id>
        </ext>
      </extLst>
    </cfRule>
  </conditionalFormatting>
  <conditionalFormatting sqref="P53">
    <cfRule type="dataBar" priority="628">
      <dataBar>
        <cfvo type="num" val="0"/>
        <cfvo type="num" val="1"/>
        <color theme="9" tint="0.59999389629810485"/>
      </dataBar>
      <extLst>
        <ext xmlns:x14="http://schemas.microsoft.com/office/spreadsheetml/2009/9/main" uri="{B025F937-C7B1-47D3-B67F-A62EFF666E3E}">
          <x14:id>{F6086004-8F65-4C86-8A7C-E2A2EB845E29}</x14:id>
        </ext>
      </extLst>
    </cfRule>
  </conditionalFormatting>
  <conditionalFormatting sqref="P55">
    <cfRule type="dataBar" priority="559">
      <dataBar>
        <cfvo type="num" val="0"/>
        <cfvo type="num" val="1"/>
        <color theme="9" tint="0.59999389629810485"/>
      </dataBar>
      <extLst>
        <ext xmlns:x14="http://schemas.microsoft.com/office/spreadsheetml/2009/9/main" uri="{B025F937-C7B1-47D3-B67F-A62EFF666E3E}">
          <x14:id>{34C4213B-1EA3-468B-AB16-CC56D50145E3}</x14:id>
        </ext>
      </extLst>
    </cfRule>
  </conditionalFormatting>
  <conditionalFormatting sqref="P57">
    <cfRule type="dataBar" priority="550">
      <dataBar>
        <cfvo type="num" val="0"/>
        <cfvo type="num" val="1"/>
        <color theme="9" tint="0.59999389629810485"/>
      </dataBar>
      <extLst>
        <ext xmlns:x14="http://schemas.microsoft.com/office/spreadsheetml/2009/9/main" uri="{B025F937-C7B1-47D3-B67F-A62EFF666E3E}">
          <x14:id>{5F098420-07B0-4DC0-8D31-EE21547B06F2}</x14:id>
        </ext>
      </extLst>
    </cfRule>
  </conditionalFormatting>
  <conditionalFormatting sqref="Q4">
    <cfRule type="dataBar" priority="1067">
      <dataBar>
        <cfvo type="num" val="0"/>
        <cfvo type="num" val="1"/>
        <color theme="0" tint="-0.14999847407452621"/>
      </dataBar>
      <extLst>
        <ext xmlns:x14="http://schemas.microsoft.com/office/spreadsheetml/2009/9/main" uri="{B025F937-C7B1-47D3-B67F-A62EFF666E3E}">
          <x14:id>{9A2E316D-B305-4EE6-A2EE-A6E149BFDC86}</x14:id>
        </ext>
      </extLst>
    </cfRule>
  </conditionalFormatting>
  <conditionalFormatting sqref="Q6 Q8 Q10 Q12 Q14 Q16 Q18 Q20 Q22 Q24 Q26 Q28">
    <cfRule type="dataBar" priority="1054">
      <dataBar>
        <cfvo type="num" val="0"/>
        <cfvo type="num" val="1"/>
        <color theme="0" tint="-0.14999847407452621"/>
      </dataBar>
      <extLst>
        <ext xmlns:x14="http://schemas.microsoft.com/office/spreadsheetml/2009/9/main" uri="{B025F937-C7B1-47D3-B67F-A62EFF666E3E}">
          <x14:id>{6B41A06A-3C8C-4936-BAD2-2CEE4442B4B1}</x14:id>
        </ext>
      </extLst>
    </cfRule>
  </conditionalFormatting>
  <conditionalFormatting sqref="Q33">
    <cfRule type="dataBar" priority="1017">
      <dataBar>
        <cfvo type="num" val="0"/>
        <cfvo type="num" val="1"/>
        <color theme="0" tint="-0.14999847407452621"/>
      </dataBar>
      <extLst>
        <ext xmlns:x14="http://schemas.microsoft.com/office/spreadsheetml/2009/9/main" uri="{B025F937-C7B1-47D3-B67F-A62EFF666E3E}">
          <x14:id>{9D009248-587F-4E14-99DA-1A9776E7F116}</x14:id>
        </ext>
      </extLst>
    </cfRule>
  </conditionalFormatting>
  <conditionalFormatting sqref="Q35">
    <cfRule type="dataBar" priority="978">
      <dataBar>
        <cfvo type="num" val="0"/>
        <cfvo type="num" val="1"/>
        <color theme="0" tint="-0.14999847407452621"/>
      </dataBar>
      <extLst>
        <ext xmlns:x14="http://schemas.microsoft.com/office/spreadsheetml/2009/9/main" uri="{B025F937-C7B1-47D3-B67F-A62EFF666E3E}">
          <x14:id>{48C31267-D891-4E58-9FD4-9F7FB472B2E2}</x14:id>
        </ext>
      </extLst>
    </cfRule>
  </conditionalFormatting>
  <conditionalFormatting sqref="Q37">
    <cfRule type="dataBar" priority="939">
      <dataBar>
        <cfvo type="num" val="0"/>
        <cfvo type="num" val="1"/>
        <color theme="0" tint="-0.14999847407452621"/>
      </dataBar>
      <extLst>
        <ext xmlns:x14="http://schemas.microsoft.com/office/spreadsheetml/2009/9/main" uri="{B025F937-C7B1-47D3-B67F-A62EFF666E3E}">
          <x14:id>{FEA430CF-70B5-4CB2-B054-C238F9F4D177}</x14:id>
        </ext>
      </extLst>
    </cfRule>
  </conditionalFormatting>
  <conditionalFormatting sqref="Q39">
    <cfRule type="dataBar" priority="900">
      <dataBar>
        <cfvo type="num" val="0"/>
        <cfvo type="num" val="1"/>
        <color theme="0" tint="-0.14999847407452621"/>
      </dataBar>
      <extLst>
        <ext xmlns:x14="http://schemas.microsoft.com/office/spreadsheetml/2009/9/main" uri="{B025F937-C7B1-47D3-B67F-A62EFF666E3E}">
          <x14:id>{BA7F3BFD-EA27-4A90-913B-E42C27AE21DE}</x14:id>
        </ext>
      </extLst>
    </cfRule>
  </conditionalFormatting>
  <conditionalFormatting sqref="Q41">
    <cfRule type="dataBar" priority="861">
      <dataBar>
        <cfvo type="num" val="0"/>
        <cfvo type="num" val="1"/>
        <color theme="0" tint="-0.14999847407452621"/>
      </dataBar>
      <extLst>
        <ext xmlns:x14="http://schemas.microsoft.com/office/spreadsheetml/2009/9/main" uri="{B025F937-C7B1-47D3-B67F-A62EFF666E3E}">
          <x14:id>{E2F91789-1D4E-43C2-9CE3-55BF759B2692}</x14:id>
        </ext>
      </extLst>
    </cfRule>
  </conditionalFormatting>
  <conditionalFormatting sqref="Q43">
    <cfRule type="dataBar" priority="792">
      <dataBar>
        <cfvo type="num" val="0"/>
        <cfvo type="num" val="1"/>
        <color theme="0" tint="-0.14999847407452621"/>
      </dataBar>
      <extLst>
        <ext xmlns:x14="http://schemas.microsoft.com/office/spreadsheetml/2009/9/main" uri="{B025F937-C7B1-47D3-B67F-A62EFF666E3E}">
          <x14:id>{3DD0C2FC-C8DB-4611-8183-636E49F26792}</x14:id>
        </ext>
      </extLst>
    </cfRule>
  </conditionalFormatting>
  <conditionalFormatting sqref="Q45">
    <cfRule type="dataBar" priority="783">
      <dataBar>
        <cfvo type="num" val="0"/>
        <cfvo type="num" val="1"/>
        <color theme="0" tint="-0.14999847407452621"/>
      </dataBar>
      <extLst>
        <ext xmlns:x14="http://schemas.microsoft.com/office/spreadsheetml/2009/9/main" uri="{B025F937-C7B1-47D3-B67F-A62EFF666E3E}">
          <x14:id>{2202966E-A918-43C5-B160-E2674BF34DB2}</x14:id>
        </ext>
      </extLst>
    </cfRule>
  </conditionalFormatting>
  <conditionalFormatting sqref="Q47">
    <cfRule type="dataBar" priority="714">
      <dataBar>
        <cfvo type="num" val="0"/>
        <cfvo type="num" val="1"/>
        <color theme="0" tint="-0.14999847407452621"/>
      </dataBar>
      <extLst>
        <ext xmlns:x14="http://schemas.microsoft.com/office/spreadsheetml/2009/9/main" uri="{B025F937-C7B1-47D3-B67F-A62EFF666E3E}">
          <x14:id>{74879423-CA90-4978-A07C-A68F295ADC73}</x14:id>
        </ext>
      </extLst>
    </cfRule>
  </conditionalFormatting>
  <conditionalFormatting sqref="Q49">
    <cfRule type="dataBar" priority="705">
      <dataBar>
        <cfvo type="num" val="0"/>
        <cfvo type="num" val="1"/>
        <color theme="0" tint="-0.14999847407452621"/>
      </dataBar>
      <extLst>
        <ext xmlns:x14="http://schemas.microsoft.com/office/spreadsheetml/2009/9/main" uri="{B025F937-C7B1-47D3-B67F-A62EFF666E3E}">
          <x14:id>{16B34869-EF27-41E2-AB82-251EE5528681}</x14:id>
        </ext>
      </extLst>
    </cfRule>
  </conditionalFormatting>
  <conditionalFormatting sqref="Q51">
    <cfRule type="dataBar" priority="636">
      <dataBar>
        <cfvo type="num" val="0"/>
        <cfvo type="num" val="1"/>
        <color theme="0" tint="-0.14999847407452621"/>
      </dataBar>
      <extLst>
        <ext xmlns:x14="http://schemas.microsoft.com/office/spreadsheetml/2009/9/main" uri="{B025F937-C7B1-47D3-B67F-A62EFF666E3E}">
          <x14:id>{4DD6DD23-D037-4702-A7A0-DEFD7CC769D4}</x14:id>
        </ext>
      </extLst>
    </cfRule>
  </conditionalFormatting>
  <conditionalFormatting sqref="Q53">
    <cfRule type="dataBar" priority="627">
      <dataBar>
        <cfvo type="num" val="0"/>
        <cfvo type="num" val="1"/>
        <color theme="0" tint="-0.14999847407452621"/>
      </dataBar>
      <extLst>
        <ext xmlns:x14="http://schemas.microsoft.com/office/spreadsheetml/2009/9/main" uri="{B025F937-C7B1-47D3-B67F-A62EFF666E3E}">
          <x14:id>{E84D201C-FAF2-48EE-8323-69EFECFE1A8C}</x14:id>
        </ext>
      </extLst>
    </cfRule>
  </conditionalFormatting>
  <conditionalFormatting sqref="Q55">
    <cfRule type="dataBar" priority="558">
      <dataBar>
        <cfvo type="num" val="0"/>
        <cfvo type="num" val="1"/>
        <color theme="0" tint="-0.14999847407452621"/>
      </dataBar>
      <extLst>
        <ext xmlns:x14="http://schemas.microsoft.com/office/spreadsheetml/2009/9/main" uri="{B025F937-C7B1-47D3-B67F-A62EFF666E3E}">
          <x14:id>{D6FBBC2B-4844-4DF5-8628-421622958E07}</x14:id>
        </ext>
      </extLst>
    </cfRule>
  </conditionalFormatting>
  <conditionalFormatting sqref="Q57">
    <cfRule type="dataBar" priority="549">
      <dataBar>
        <cfvo type="num" val="0"/>
        <cfvo type="num" val="1"/>
        <color theme="0" tint="-0.14999847407452621"/>
      </dataBar>
      <extLst>
        <ext xmlns:x14="http://schemas.microsoft.com/office/spreadsheetml/2009/9/main" uri="{B025F937-C7B1-47D3-B67F-A62EFF666E3E}">
          <x14:id>{762BBEF5-A8C2-4B44-87A7-252A9C829F05}</x14:id>
        </ext>
      </extLst>
    </cfRule>
  </conditionalFormatting>
  <conditionalFormatting sqref="R8 R6 R10 R12 R14 R16 R18 R20 R22 R24 R26 R28 X6 X8 X10 X12 X14 X16 X18 X20 X22 X24 X26 X28 AD6 AD8 AD10 AD12 AD14 AD16 AD18 AD20 AD22 AD24 AD26 AD28 AJ6 AJ8 AJ10 AJ12 AJ14 AJ16 AJ18 AJ20 AJ22 AJ24 AJ26 AJ28 AP6 AP8 AP10 AP12 AP14 AP16 AP18 AP20 AP22 AP24 AP26 AP28 AV6 AV8 AV10 AV12 AV14 AV16 AV18 AV20 AV22 AV24 AV26 AV28">
    <cfRule type="dataBar" priority="1050">
      <dataBar>
        <cfvo type="num" val="0"/>
        <cfvo type="num" val="1"/>
        <color rgb="FFFFD5DA"/>
      </dataBar>
      <extLst>
        <ext xmlns:x14="http://schemas.microsoft.com/office/spreadsheetml/2009/9/main" uri="{B025F937-C7B1-47D3-B67F-A62EFF666E3E}">
          <x14:id>{BDD30849-D054-44C7-8BE9-321A98E961A1}</x14:id>
        </ext>
      </extLst>
    </cfRule>
  </conditionalFormatting>
  <conditionalFormatting sqref="R33">
    <cfRule type="dataBar" priority="1013">
      <dataBar>
        <cfvo type="num" val="0"/>
        <cfvo type="num" val="1"/>
        <color rgb="FFFFD5DA"/>
      </dataBar>
      <extLst>
        <ext xmlns:x14="http://schemas.microsoft.com/office/spreadsheetml/2009/9/main" uri="{B025F937-C7B1-47D3-B67F-A62EFF666E3E}">
          <x14:id>{32831762-5DD6-4383-82A9-6F145D1A81B5}</x14:id>
        </ext>
      </extLst>
    </cfRule>
  </conditionalFormatting>
  <conditionalFormatting sqref="R35">
    <cfRule type="dataBar" priority="974">
      <dataBar>
        <cfvo type="num" val="0"/>
        <cfvo type="num" val="1"/>
        <color rgb="FFFFD5DA"/>
      </dataBar>
      <extLst>
        <ext xmlns:x14="http://schemas.microsoft.com/office/spreadsheetml/2009/9/main" uri="{B025F937-C7B1-47D3-B67F-A62EFF666E3E}">
          <x14:id>{70E7F0A9-54EA-4D18-AF1E-4FC2CEA9D88F}</x14:id>
        </ext>
      </extLst>
    </cfRule>
  </conditionalFormatting>
  <conditionalFormatting sqref="R37">
    <cfRule type="dataBar" priority="935">
      <dataBar>
        <cfvo type="num" val="0"/>
        <cfvo type="num" val="1"/>
        <color rgb="FFFFD5DA"/>
      </dataBar>
      <extLst>
        <ext xmlns:x14="http://schemas.microsoft.com/office/spreadsheetml/2009/9/main" uri="{B025F937-C7B1-47D3-B67F-A62EFF666E3E}">
          <x14:id>{B01477AA-B02C-4AEF-84CD-17A58ECA44FB}</x14:id>
        </ext>
      </extLst>
    </cfRule>
  </conditionalFormatting>
  <conditionalFormatting sqref="R39">
    <cfRule type="dataBar" priority="896">
      <dataBar>
        <cfvo type="num" val="0"/>
        <cfvo type="num" val="1"/>
        <color rgb="FFFFD5DA"/>
      </dataBar>
      <extLst>
        <ext xmlns:x14="http://schemas.microsoft.com/office/spreadsheetml/2009/9/main" uri="{B025F937-C7B1-47D3-B67F-A62EFF666E3E}">
          <x14:id>{33CA3711-1A37-47CA-8BC9-FB3120EC07C5}</x14:id>
        </ext>
      </extLst>
    </cfRule>
  </conditionalFormatting>
  <conditionalFormatting sqref="R41">
    <cfRule type="dataBar" priority="857">
      <dataBar>
        <cfvo type="num" val="0"/>
        <cfvo type="num" val="1"/>
        <color rgb="FFFFD5DA"/>
      </dataBar>
      <extLst>
        <ext xmlns:x14="http://schemas.microsoft.com/office/spreadsheetml/2009/9/main" uri="{B025F937-C7B1-47D3-B67F-A62EFF666E3E}">
          <x14:id>{66E17421-6280-4435-AEB6-3E3A7A2A8E35}</x14:id>
        </ext>
      </extLst>
    </cfRule>
  </conditionalFormatting>
  <conditionalFormatting sqref="R43">
    <cfRule type="dataBar" priority="794">
      <dataBar>
        <cfvo type="num" val="0"/>
        <cfvo type="num" val="1"/>
        <color rgb="FFFFD5DA"/>
      </dataBar>
      <extLst>
        <ext xmlns:x14="http://schemas.microsoft.com/office/spreadsheetml/2009/9/main" uri="{B025F937-C7B1-47D3-B67F-A62EFF666E3E}">
          <x14:id>{12C6705F-D451-4EC3-B417-BF36C2A9A8FF}</x14:id>
        </ext>
      </extLst>
    </cfRule>
  </conditionalFormatting>
  <conditionalFormatting sqref="R45">
    <cfRule type="dataBar" priority="779">
      <dataBar>
        <cfvo type="num" val="0"/>
        <cfvo type="num" val="1"/>
        <color rgb="FFFFD5DA"/>
      </dataBar>
      <extLst>
        <ext xmlns:x14="http://schemas.microsoft.com/office/spreadsheetml/2009/9/main" uri="{B025F937-C7B1-47D3-B67F-A62EFF666E3E}">
          <x14:id>{3D6D18C7-890B-4FB7-9E6C-FA7E5FE7F66E}</x14:id>
        </ext>
      </extLst>
    </cfRule>
  </conditionalFormatting>
  <conditionalFormatting sqref="R47">
    <cfRule type="dataBar" priority="716">
      <dataBar>
        <cfvo type="num" val="0"/>
        <cfvo type="num" val="1"/>
        <color rgb="FFFFD5DA"/>
      </dataBar>
      <extLst>
        <ext xmlns:x14="http://schemas.microsoft.com/office/spreadsheetml/2009/9/main" uri="{B025F937-C7B1-47D3-B67F-A62EFF666E3E}">
          <x14:id>{88A8AC98-4184-4A65-9646-46358E222310}</x14:id>
        </ext>
      </extLst>
    </cfRule>
  </conditionalFormatting>
  <conditionalFormatting sqref="R49">
    <cfRule type="dataBar" priority="701">
      <dataBar>
        <cfvo type="num" val="0"/>
        <cfvo type="num" val="1"/>
        <color rgb="FFFFD5DA"/>
      </dataBar>
      <extLst>
        <ext xmlns:x14="http://schemas.microsoft.com/office/spreadsheetml/2009/9/main" uri="{B025F937-C7B1-47D3-B67F-A62EFF666E3E}">
          <x14:id>{9DACD65E-219E-4369-B93E-759E1EA0777D}</x14:id>
        </ext>
      </extLst>
    </cfRule>
  </conditionalFormatting>
  <conditionalFormatting sqref="R51">
    <cfRule type="dataBar" priority="638">
      <dataBar>
        <cfvo type="num" val="0"/>
        <cfvo type="num" val="1"/>
        <color rgb="FFFFD5DA"/>
      </dataBar>
      <extLst>
        <ext xmlns:x14="http://schemas.microsoft.com/office/spreadsheetml/2009/9/main" uri="{B025F937-C7B1-47D3-B67F-A62EFF666E3E}">
          <x14:id>{4F5255A3-50D3-47CC-BCCE-96C3361B1058}</x14:id>
        </ext>
      </extLst>
    </cfRule>
  </conditionalFormatting>
  <conditionalFormatting sqref="R53">
    <cfRule type="dataBar" priority="623">
      <dataBar>
        <cfvo type="num" val="0"/>
        <cfvo type="num" val="1"/>
        <color rgb="FFFFD5DA"/>
      </dataBar>
      <extLst>
        <ext xmlns:x14="http://schemas.microsoft.com/office/spreadsheetml/2009/9/main" uri="{B025F937-C7B1-47D3-B67F-A62EFF666E3E}">
          <x14:id>{F2A81EED-73D0-42B6-AC2E-BF7C8D7DE370}</x14:id>
        </ext>
      </extLst>
    </cfRule>
  </conditionalFormatting>
  <conditionalFormatting sqref="R55">
    <cfRule type="dataBar" priority="560">
      <dataBar>
        <cfvo type="num" val="0"/>
        <cfvo type="num" val="1"/>
        <color rgb="FFFFD5DA"/>
      </dataBar>
      <extLst>
        <ext xmlns:x14="http://schemas.microsoft.com/office/spreadsheetml/2009/9/main" uri="{B025F937-C7B1-47D3-B67F-A62EFF666E3E}">
          <x14:id>{06A2A414-96E6-42F4-A011-7E79F51C2A31}</x14:id>
        </ext>
      </extLst>
    </cfRule>
  </conditionalFormatting>
  <conditionalFormatting sqref="R57">
    <cfRule type="dataBar" priority="545">
      <dataBar>
        <cfvo type="num" val="0"/>
        <cfvo type="num" val="1"/>
        <color rgb="FFFFD5DA"/>
      </dataBar>
      <extLst>
        <ext xmlns:x14="http://schemas.microsoft.com/office/spreadsheetml/2009/9/main" uri="{B025F937-C7B1-47D3-B67F-A62EFF666E3E}">
          <x14:id>{1F05DE26-7C51-42CB-B807-E519D946DD93}</x14:id>
        </ext>
      </extLst>
    </cfRule>
  </conditionalFormatting>
  <conditionalFormatting sqref="S6 S8 S10 S12 S14 S16 S18 S20 S22 S24 S26 S28 Y6 Y8 Y10 Y12 Y14 Y16 Y18 Y20 Y22 Y24 Y26 Y28 AE6 AE8 AE10 AE12 AE14 AE16 AE18 AE20 AE22 AE24 AE26 AE28 AK6 AK8 AK10 AK12 AK14 AK16 AK18 AK20 AK22 AK24 AK26 AK28 AQ6 AQ8 AQ10 AQ12 AQ14 AQ16 AQ18 AQ20 AQ22 AQ24 AQ26 AQ28 AW6 AW8 AW10 AW12 AW14 AW16 AW18 AW20 AW22 AW24 AW26 AW28">
    <cfRule type="dataBar" priority="1052">
      <dataBar>
        <cfvo type="num" val="0"/>
        <cfvo type="num" val="1"/>
        <color theme="9" tint="0.59999389629810485"/>
      </dataBar>
      <extLst>
        <ext xmlns:x14="http://schemas.microsoft.com/office/spreadsheetml/2009/9/main" uri="{B025F937-C7B1-47D3-B67F-A62EFF666E3E}">
          <x14:id>{D4B07AB2-5273-4589-A911-D880C22C32A1}</x14:id>
        </ext>
      </extLst>
    </cfRule>
  </conditionalFormatting>
  <conditionalFormatting sqref="S33">
    <cfRule type="dataBar" priority="1015">
      <dataBar>
        <cfvo type="num" val="0"/>
        <cfvo type="num" val="1"/>
        <color theme="9" tint="0.59999389629810485"/>
      </dataBar>
      <extLst>
        <ext xmlns:x14="http://schemas.microsoft.com/office/spreadsheetml/2009/9/main" uri="{B025F937-C7B1-47D3-B67F-A62EFF666E3E}">
          <x14:id>{715445F7-7DAE-46E5-B057-35387403E57D}</x14:id>
        </ext>
      </extLst>
    </cfRule>
  </conditionalFormatting>
  <conditionalFormatting sqref="S35">
    <cfRule type="dataBar" priority="976">
      <dataBar>
        <cfvo type="num" val="0"/>
        <cfvo type="num" val="1"/>
        <color theme="9" tint="0.59999389629810485"/>
      </dataBar>
      <extLst>
        <ext xmlns:x14="http://schemas.microsoft.com/office/spreadsheetml/2009/9/main" uri="{B025F937-C7B1-47D3-B67F-A62EFF666E3E}">
          <x14:id>{3F2392EF-BE97-4810-B4B0-3450CA11A74F}</x14:id>
        </ext>
      </extLst>
    </cfRule>
  </conditionalFormatting>
  <conditionalFormatting sqref="S37">
    <cfRule type="dataBar" priority="937">
      <dataBar>
        <cfvo type="num" val="0"/>
        <cfvo type="num" val="1"/>
        <color theme="9" tint="0.59999389629810485"/>
      </dataBar>
      <extLst>
        <ext xmlns:x14="http://schemas.microsoft.com/office/spreadsheetml/2009/9/main" uri="{B025F937-C7B1-47D3-B67F-A62EFF666E3E}">
          <x14:id>{6EF9A539-EBCE-4971-A0B7-E40E39B3F252}</x14:id>
        </ext>
      </extLst>
    </cfRule>
  </conditionalFormatting>
  <conditionalFormatting sqref="S39">
    <cfRule type="dataBar" priority="898">
      <dataBar>
        <cfvo type="num" val="0"/>
        <cfvo type="num" val="1"/>
        <color theme="9" tint="0.59999389629810485"/>
      </dataBar>
      <extLst>
        <ext xmlns:x14="http://schemas.microsoft.com/office/spreadsheetml/2009/9/main" uri="{B025F937-C7B1-47D3-B67F-A62EFF666E3E}">
          <x14:id>{4C2EDCD5-676B-4250-8189-F276B340C575}</x14:id>
        </ext>
      </extLst>
    </cfRule>
  </conditionalFormatting>
  <conditionalFormatting sqref="S41">
    <cfRule type="dataBar" priority="859">
      <dataBar>
        <cfvo type="num" val="0"/>
        <cfvo type="num" val="1"/>
        <color theme="9" tint="0.59999389629810485"/>
      </dataBar>
      <extLst>
        <ext xmlns:x14="http://schemas.microsoft.com/office/spreadsheetml/2009/9/main" uri="{B025F937-C7B1-47D3-B67F-A62EFF666E3E}">
          <x14:id>{707ECE5F-CBC0-4D25-A341-975B4E2CD701}</x14:id>
        </ext>
      </extLst>
    </cfRule>
  </conditionalFormatting>
  <conditionalFormatting sqref="S43">
    <cfRule type="dataBar" priority="796">
      <dataBar>
        <cfvo type="num" val="0"/>
        <cfvo type="num" val="1"/>
        <color theme="9" tint="0.59999389629810485"/>
      </dataBar>
      <extLst>
        <ext xmlns:x14="http://schemas.microsoft.com/office/spreadsheetml/2009/9/main" uri="{B025F937-C7B1-47D3-B67F-A62EFF666E3E}">
          <x14:id>{D413C904-C231-42AB-969E-B4D10825DD84}</x14:id>
        </ext>
      </extLst>
    </cfRule>
  </conditionalFormatting>
  <conditionalFormatting sqref="S45">
    <cfRule type="dataBar" priority="781">
      <dataBar>
        <cfvo type="num" val="0"/>
        <cfvo type="num" val="1"/>
        <color theme="9" tint="0.59999389629810485"/>
      </dataBar>
      <extLst>
        <ext xmlns:x14="http://schemas.microsoft.com/office/spreadsheetml/2009/9/main" uri="{B025F937-C7B1-47D3-B67F-A62EFF666E3E}">
          <x14:id>{97A01BEC-99D6-4FBD-AB8F-A8E0B2F94860}</x14:id>
        </ext>
      </extLst>
    </cfRule>
  </conditionalFormatting>
  <conditionalFormatting sqref="S47">
    <cfRule type="dataBar" priority="718">
      <dataBar>
        <cfvo type="num" val="0"/>
        <cfvo type="num" val="1"/>
        <color theme="9" tint="0.59999389629810485"/>
      </dataBar>
      <extLst>
        <ext xmlns:x14="http://schemas.microsoft.com/office/spreadsheetml/2009/9/main" uri="{B025F937-C7B1-47D3-B67F-A62EFF666E3E}">
          <x14:id>{661627FF-EDBF-4162-A6E7-69FC70B1DB56}</x14:id>
        </ext>
      </extLst>
    </cfRule>
  </conditionalFormatting>
  <conditionalFormatting sqref="S49">
    <cfRule type="dataBar" priority="703">
      <dataBar>
        <cfvo type="num" val="0"/>
        <cfvo type="num" val="1"/>
        <color theme="9" tint="0.59999389629810485"/>
      </dataBar>
      <extLst>
        <ext xmlns:x14="http://schemas.microsoft.com/office/spreadsheetml/2009/9/main" uri="{B025F937-C7B1-47D3-B67F-A62EFF666E3E}">
          <x14:id>{E0FC969C-C206-40EF-B51D-76B75F07EB12}</x14:id>
        </ext>
      </extLst>
    </cfRule>
  </conditionalFormatting>
  <conditionalFormatting sqref="S51">
    <cfRule type="dataBar" priority="640">
      <dataBar>
        <cfvo type="num" val="0"/>
        <cfvo type="num" val="1"/>
        <color theme="9" tint="0.59999389629810485"/>
      </dataBar>
      <extLst>
        <ext xmlns:x14="http://schemas.microsoft.com/office/spreadsheetml/2009/9/main" uri="{B025F937-C7B1-47D3-B67F-A62EFF666E3E}">
          <x14:id>{F16311B7-4F65-4AC0-903C-2796313B09BB}</x14:id>
        </ext>
      </extLst>
    </cfRule>
  </conditionalFormatting>
  <conditionalFormatting sqref="S53">
    <cfRule type="dataBar" priority="625">
      <dataBar>
        <cfvo type="num" val="0"/>
        <cfvo type="num" val="1"/>
        <color theme="9" tint="0.59999389629810485"/>
      </dataBar>
      <extLst>
        <ext xmlns:x14="http://schemas.microsoft.com/office/spreadsheetml/2009/9/main" uri="{B025F937-C7B1-47D3-B67F-A62EFF666E3E}">
          <x14:id>{FB90363C-DD16-456D-9BFC-AFF7AC131DCB}</x14:id>
        </ext>
      </extLst>
    </cfRule>
  </conditionalFormatting>
  <conditionalFormatting sqref="S55">
    <cfRule type="dataBar" priority="562">
      <dataBar>
        <cfvo type="num" val="0"/>
        <cfvo type="num" val="1"/>
        <color theme="9" tint="0.59999389629810485"/>
      </dataBar>
      <extLst>
        <ext xmlns:x14="http://schemas.microsoft.com/office/spreadsheetml/2009/9/main" uri="{B025F937-C7B1-47D3-B67F-A62EFF666E3E}">
          <x14:id>{F7955611-75B1-4E2E-BC2F-952AFEBBC5ED}</x14:id>
        </ext>
      </extLst>
    </cfRule>
  </conditionalFormatting>
  <conditionalFormatting sqref="S57">
    <cfRule type="dataBar" priority="547">
      <dataBar>
        <cfvo type="num" val="0"/>
        <cfvo type="num" val="1"/>
        <color theme="9" tint="0.59999389629810485"/>
      </dataBar>
      <extLst>
        <ext xmlns:x14="http://schemas.microsoft.com/office/spreadsheetml/2009/9/main" uri="{B025F937-C7B1-47D3-B67F-A62EFF666E3E}">
          <x14:id>{3AB9E506-7D36-48D8-90F4-255F8EB19D8B}</x14:id>
        </ext>
      </extLst>
    </cfRule>
  </conditionalFormatting>
  <conditionalFormatting sqref="T8 T6 T10 T12 T14 T16 T18 T20 T22 T24 T26 T28 Z6 Z8 Z10 Z12 Z14 Z16 Z18 Z20 Z22 Z24 Z26 Z28 AF6 AF8 AF10 AF12 AF14 AF16 AF18 AF20 AF22 AF24 AF26 AF28 AL6 AL8 AL10 AL12 AL14 AL16 AL18 AL20 AL22 AL24 AL26 AL28 AR6 AR8 AR10 AR12 AR14 AR16 AR18 AR20 AR22 AR24 AR26 AR28 AX6 AX8 AX10 AX12 AX14 AX16 AX18 AX20 AX22 AX24 AX26 AX28">
    <cfRule type="dataBar" priority="1051">
      <dataBar>
        <cfvo type="num" val="0"/>
        <cfvo type="num" val="1"/>
        <color theme="0" tint="-0.14999847407452621"/>
      </dataBar>
      <extLst>
        <ext xmlns:x14="http://schemas.microsoft.com/office/spreadsheetml/2009/9/main" uri="{B025F937-C7B1-47D3-B67F-A62EFF666E3E}">
          <x14:id>{ADB64D95-A1A4-45FD-93D0-903BA3ED6F83}</x14:id>
        </ext>
      </extLst>
    </cfRule>
  </conditionalFormatting>
  <conditionalFormatting sqref="T33">
    <cfRule type="dataBar" priority="1014">
      <dataBar>
        <cfvo type="num" val="0"/>
        <cfvo type="num" val="1"/>
        <color theme="0" tint="-0.14999847407452621"/>
      </dataBar>
      <extLst>
        <ext xmlns:x14="http://schemas.microsoft.com/office/spreadsheetml/2009/9/main" uri="{B025F937-C7B1-47D3-B67F-A62EFF666E3E}">
          <x14:id>{EBF96F82-0076-40AA-935E-711486DF90DC}</x14:id>
        </ext>
      </extLst>
    </cfRule>
  </conditionalFormatting>
  <conditionalFormatting sqref="T35">
    <cfRule type="dataBar" priority="975">
      <dataBar>
        <cfvo type="num" val="0"/>
        <cfvo type="num" val="1"/>
        <color theme="0" tint="-0.14999847407452621"/>
      </dataBar>
      <extLst>
        <ext xmlns:x14="http://schemas.microsoft.com/office/spreadsheetml/2009/9/main" uri="{B025F937-C7B1-47D3-B67F-A62EFF666E3E}">
          <x14:id>{081E5C37-4299-4ECC-AF7E-27B7D362811C}</x14:id>
        </ext>
      </extLst>
    </cfRule>
  </conditionalFormatting>
  <conditionalFormatting sqref="T37">
    <cfRule type="dataBar" priority="936">
      <dataBar>
        <cfvo type="num" val="0"/>
        <cfvo type="num" val="1"/>
        <color theme="0" tint="-0.14999847407452621"/>
      </dataBar>
      <extLst>
        <ext xmlns:x14="http://schemas.microsoft.com/office/spreadsheetml/2009/9/main" uri="{B025F937-C7B1-47D3-B67F-A62EFF666E3E}">
          <x14:id>{9DE4951D-3FAF-4DE8-8ED0-C5EA82886195}</x14:id>
        </ext>
      </extLst>
    </cfRule>
  </conditionalFormatting>
  <conditionalFormatting sqref="T39">
    <cfRule type="dataBar" priority="897">
      <dataBar>
        <cfvo type="num" val="0"/>
        <cfvo type="num" val="1"/>
        <color theme="0" tint="-0.14999847407452621"/>
      </dataBar>
      <extLst>
        <ext xmlns:x14="http://schemas.microsoft.com/office/spreadsheetml/2009/9/main" uri="{B025F937-C7B1-47D3-B67F-A62EFF666E3E}">
          <x14:id>{E79BCF10-BDEB-418A-89D0-BFBC4D9CC1A3}</x14:id>
        </ext>
      </extLst>
    </cfRule>
  </conditionalFormatting>
  <conditionalFormatting sqref="T41">
    <cfRule type="dataBar" priority="858">
      <dataBar>
        <cfvo type="num" val="0"/>
        <cfvo type="num" val="1"/>
        <color theme="0" tint="-0.14999847407452621"/>
      </dataBar>
      <extLst>
        <ext xmlns:x14="http://schemas.microsoft.com/office/spreadsheetml/2009/9/main" uri="{B025F937-C7B1-47D3-B67F-A62EFF666E3E}">
          <x14:id>{1454DAF7-C8D4-4B96-A247-774C31296E2C}</x14:id>
        </ext>
      </extLst>
    </cfRule>
  </conditionalFormatting>
  <conditionalFormatting sqref="T43">
    <cfRule type="dataBar" priority="795">
      <dataBar>
        <cfvo type="num" val="0"/>
        <cfvo type="num" val="1"/>
        <color theme="0" tint="-0.14999847407452621"/>
      </dataBar>
      <extLst>
        <ext xmlns:x14="http://schemas.microsoft.com/office/spreadsheetml/2009/9/main" uri="{B025F937-C7B1-47D3-B67F-A62EFF666E3E}">
          <x14:id>{3928CD59-E238-4494-A848-59E2A514461A}</x14:id>
        </ext>
      </extLst>
    </cfRule>
  </conditionalFormatting>
  <conditionalFormatting sqref="T45">
    <cfRule type="dataBar" priority="780">
      <dataBar>
        <cfvo type="num" val="0"/>
        <cfvo type="num" val="1"/>
        <color theme="0" tint="-0.14999847407452621"/>
      </dataBar>
      <extLst>
        <ext xmlns:x14="http://schemas.microsoft.com/office/spreadsheetml/2009/9/main" uri="{B025F937-C7B1-47D3-B67F-A62EFF666E3E}">
          <x14:id>{64BDC601-E02C-440D-855F-422B62C502D0}</x14:id>
        </ext>
      </extLst>
    </cfRule>
  </conditionalFormatting>
  <conditionalFormatting sqref="T47">
    <cfRule type="dataBar" priority="717">
      <dataBar>
        <cfvo type="num" val="0"/>
        <cfvo type="num" val="1"/>
        <color theme="0" tint="-0.14999847407452621"/>
      </dataBar>
      <extLst>
        <ext xmlns:x14="http://schemas.microsoft.com/office/spreadsheetml/2009/9/main" uri="{B025F937-C7B1-47D3-B67F-A62EFF666E3E}">
          <x14:id>{2BA5C464-A864-45B2-A7EC-72EDBDB38317}</x14:id>
        </ext>
      </extLst>
    </cfRule>
  </conditionalFormatting>
  <conditionalFormatting sqref="T49">
    <cfRule type="dataBar" priority="702">
      <dataBar>
        <cfvo type="num" val="0"/>
        <cfvo type="num" val="1"/>
        <color theme="0" tint="-0.14999847407452621"/>
      </dataBar>
      <extLst>
        <ext xmlns:x14="http://schemas.microsoft.com/office/spreadsheetml/2009/9/main" uri="{B025F937-C7B1-47D3-B67F-A62EFF666E3E}">
          <x14:id>{02DE3E7F-BAC2-40B7-B7E4-3ABAB4A4BA45}</x14:id>
        </ext>
      </extLst>
    </cfRule>
  </conditionalFormatting>
  <conditionalFormatting sqref="T51">
    <cfRule type="dataBar" priority="639">
      <dataBar>
        <cfvo type="num" val="0"/>
        <cfvo type="num" val="1"/>
        <color theme="0" tint="-0.14999847407452621"/>
      </dataBar>
      <extLst>
        <ext xmlns:x14="http://schemas.microsoft.com/office/spreadsheetml/2009/9/main" uri="{B025F937-C7B1-47D3-B67F-A62EFF666E3E}">
          <x14:id>{DF263D94-5267-4631-BF48-ABB2DBC50E3C}</x14:id>
        </ext>
      </extLst>
    </cfRule>
  </conditionalFormatting>
  <conditionalFormatting sqref="T53">
    <cfRule type="dataBar" priority="624">
      <dataBar>
        <cfvo type="num" val="0"/>
        <cfvo type="num" val="1"/>
        <color theme="0" tint="-0.14999847407452621"/>
      </dataBar>
      <extLst>
        <ext xmlns:x14="http://schemas.microsoft.com/office/spreadsheetml/2009/9/main" uri="{B025F937-C7B1-47D3-B67F-A62EFF666E3E}">
          <x14:id>{E28CCEE9-A0AD-4D22-8B80-493939A17709}</x14:id>
        </ext>
      </extLst>
    </cfRule>
  </conditionalFormatting>
  <conditionalFormatting sqref="T55">
    <cfRule type="dataBar" priority="561">
      <dataBar>
        <cfvo type="num" val="0"/>
        <cfvo type="num" val="1"/>
        <color theme="0" tint="-0.14999847407452621"/>
      </dataBar>
      <extLst>
        <ext xmlns:x14="http://schemas.microsoft.com/office/spreadsheetml/2009/9/main" uri="{B025F937-C7B1-47D3-B67F-A62EFF666E3E}">
          <x14:id>{E85B427D-428A-4E28-9BDB-9FB87E4A916C}</x14:id>
        </ext>
      </extLst>
    </cfRule>
  </conditionalFormatting>
  <conditionalFormatting sqref="T57">
    <cfRule type="dataBar" priority="546">
      <dataBar>
        <cfvo type="num" val="0"/>
        <cfvo type="num" val="1"/>
        <color theme="0" tint="-0.14999847407452621"/>
      </dataBar>
      <extLst>
        <ext xmlns:x14="http://schemas.microsoft.com/office/spreadsheetml/2009/9/main" uri="{B025F937-C7B1-47D3-B67F-A62EFF666E3E}">
          <x14:id>{593F1456-1BC5-4DBC-B1D4-EE942E4D4150}</x14:id>
        </ext>
      </extLst>
    </cfRule>
  </conditionalFormatting>
  <conditionalFormatting sqref="U6 U8 U10 U12 U14 U16 U18 U20 U22 U24 U26 U28 AA6 AA8 AA10 AA12 AA14 AA16 AA18 AA20 AA22 AA24 AA26 AA28 AG6 AG8 AG10 AG12 AG14 AG16 AG18 AG20 AG22 AG24 AG26 AG28 AM6 AM8 AM10 AM12 AM14 AM16 AM18 AM20 AM22 AM24 AM26 AM28 AS6 AS8 AS10 AS12 AS14 AS16 AS18 AS20 AS22 AS24 AS26 AS28">
    <cfRule type="dataBar" priority="1047">
      <dataBar>
        <cfvo type="num" val="0"/>
        <cfvo type="num" val="1"/>
        <color rgb="FFFFD5DA"/>
      </dataBar>
      <extLst>
        <ext xmlns:x14="http://schemas.microsoft.com/office/spreadsheetml/2009/9/main" uri="{B025F937-C7B1-47D3-B67F-A62EFF666E3E}">
          <x14:id>{E3D67F03-91EB-4BA0-A696-F81AEF5463D7}</x14:id>
        </ext>
      </extLst>
    </cfRule>
  </conditionalFormatting>
  <conditionalFormatting sqref="U33">
    <cfRule type="dataBar" priority="1010">
      <dataBar>
        <cfvo type="num" val="0"/>
        <cfvo type="num" val="1"/>
        <color rgb="FFFFD5DA"/>
      </dataBar>
      <extLst>
        <ext xmlns:x14="http://schemas.microsoft.com/office/spreadsheetml/2009/9/main" uri="{B025F937-C7B1-47D3-B67F-A62EFF666E3E}">
          <x14:id>{684F396C-6DD7-4890-A5BF-BB9A81465D85}</x14:id>
        </ext>
      </extLst>
    </cfRule>
  </conditionalFormatting>
  <conditionalFormatting sqref="U35">
    <cfRule type="dataBar" priority="971">
      <dataBar>
        <cfvo type="num" val="0"/>
        <cfvo type="num" val="1"/>
        <color rgb="FFFFD5DA"/>
      </dataBar>
      <extLst>
        <ext xmlns:x14="http://schemas.microsoft.com/office/spreadsheetml/2009/9/main" uri="{B025F937-C7B1-47D3-B67F-A62EFF666E3E}">
          <x14:id>{DF608D8A-6C66-49A4-B881-28ABDF1EFC24}</x14:id>
        </ext>
      </extLst>
    </cfRule>
  </conditionalFormatting>
  <conditionalFormatting sqref="U37">
    <cfRule type="dataBar" priority="932">
      <dataBar>
        <cfvo type="num" val="0"/>
        <cfvo type="num" val="1"/>
        <color rgb="FFFFD5DA"/>
      </dataBar>
      <extLst>
        <ext xmlns:x14="http://schemas.microsoft.com/office/spreadsheetml/2009/9/main" uri="{B025F937-C7B1-47D3-B67F-A62EFF666E3E}">
          <x14:id>{832455F1-7C91-4419-8556-8899A6F9E8FC}</x14:id>
        </ext>
      </extLst>
    </cfRule>
  </conditionalFormatting>
  <conditionalFormatting sqref="U39">
    <cfRule type="dataBar" priority="893">
      <dataBar>
        <cfvo type="num" val="0"/>
        <cfvo type="num" val="1"/>
        <color rgb="FFFFD5DA"/>
      </dataBar>
      <extLst>
        <ext xmlns:x14="http://schemas.microsoft.com/office/spreadsheetml/2009/9/main" uri="{B025F937-C7B1-47D3-B67F-A62EFF666E3E}">
          <x14:id>{CC8E5AEF-D960-486E-A532-9E0F24240EEE}</x14:id>
        </ext>
      </extLst>
    </cfRule>
  </conditionalFormatting>
  <conditionalFormatting sqref="U41">
    <cfRule type="dataBar" priority="854">
      <dataBar>
        <cfvo type="num" val="0"/>
        <cfvo type="num" val="1"/>
        <color rgb="FFFFD5DA"/>
      </dataBar>
      <extLst>
        <ext xmlns:x14="http://schemas.microsoft.com/office/spreadsheetml/2009/9/main" uri="{B025F937-C7B1-47D3-B67F-A62EFF666E3E}">
          <x14:id>{A66FDD44-4E82-45E6-AD3A-2C97C513E63F}</x14:id>
        </ext>
      </extLst>
    </cfRule>
  </conditionalFormatting>
  <conditionalFormatting sqref="U43">
    <cfRule type="dataBar" priority="797">
      <dataBar>
        <cfvo type="num" val="0"/>
        <cfvo type="num" val="1"/>
        <color rgb="FFFFD5DA"/>
      </dataBar>
      <extLst>
        <ext xmlns:x14="http://schemas.microsoft.com/office/spreadsheetml/2009/9/main" uri="{B025F937-C7B1-47D3-B67F-A62EFF666E3E}">
          <x14:id>{6619C5D5-0CBF-4DCA-861F-6B4A3E971567}</x14:id>
        </ext>
      </extLst>
    </cfRule>
  </conditionalFormatting>
  <conditionalFormatting sqref="U45">
    <cfRule type="dataBar" priority="776">
      <dataBar>
        <cfvo type="num" val="0"/>
        <cfvo type="num" val="1"/>
        <color rgb="FFFFD5DA"/>
      </dataBar>
      <extLst>
        <ext xmlns:x14="http://schemas.microsoft.com/office/spreadsheetml/2009/9/main" uri="{B025F937-C7B1-47D3-B67F-A62EFF666E3E}">
          <x14:id>{3E0E4FB0-C68F-44A8-A81E-9CCFB1A1BDF4}</x14:id>
        </ext>
      </extLst>
    </cfRule>
  </conditionalFormatting>
  <conditionalFormatting sqref="U47">
    <cfRule type="dataBar" priority="719">
      <dataBar>
        <cfvo type="num" val="0"/>
        <cfvo type="num" val="1"/>
        <color rgb="FFFFD5DA"/>
      </dataBar>
      <extLst>
        <ext xmlns:x14="http://schemas.microsoft.com/office/spreadsheetml/2009/9/main" uri="{B025F937-C7B1-47D3-B67F-A62EFF666E3E}">
          <x14:id>{25D1BC0D-306D-4ECE-898B-D94C1459780A}</x14:id>
        </ext>
      </extLst>
    </cfRule>
  </conditionalFormatting>
  <conditionalFormatting sqref="U49">
    <cfRule type="dataBar" priority="698">
      <dataBar>
        <cfvo type="num" val="0"/>
        <cfvo type="num" val="1"/>
        <color rgb="FFFFD5DA"/>
      </dataBar>
      <extLst>
        <ext xmlns:x14="http://schemas.microsoft.com/office/spreadsheetml/2009/9/main" uri="{B025F937-C7B1-47D3-B67F-A62EFF666E3E}">
          <x14:id>{6F9752C4-E23B-4082-A3A8-0147060C5462}</x14:id>
        </ext>
      </extLst>
    </cfRule>
  </conditionalFormatting>
  <conditionalFormatting sqref="U51">
    <cfRule type="dataBar" priority="641">
      <dataBar>
        <cfvo type="num" val="0"/>
        <cfvo type="num" val="1"/>
        <color rgb="FFFFD5DA"/>
      </dataBar>
      <extLst>
        <ext xmlns:x14="http://schemas.microsoft.com/office/spreadsheetml/2009/9/main" uri="{B025F937-C7B1-47D3-B67F-A62EFF666E3E}">
          <x14:id>{F65AFBC8-F6BF-4B7E-8D80-ADFF8234A84B}</x14:id>
        </ext>
      </extLst>
    </cfRule>
  </conditionalFormatting>
  <conditionalFormatting sqref="U53">
    <cfRule type="dataBar" priority="620">
      <dataBar>
        <cfvo type="num" val="0"/>
        <cfvo type="num" val="1"/>
        <color rgb="FFFFD5DA"/>
      </dataBar>
      <extLst>
        <ext xmlns:x14="http://schemas.microsoft.com/office/spreadsheetml/2009/9/main" uri="{B025F937-C7B1-47D3-B67F-A62EFF666E3E}">
          <x14:id>{E0051EE5-CA65-4E61-9988-3A5FC2C173CB}</x14:id>
        </ext>
      </extLst>
    </cfRule>
  </conditionalFormatting>
  <conditionalFormatting sqref="U55">
    <cfRule type="dataBar" priority="563">
      <dataBar>
        <cfvo type="num" val="0"/>
        <cfvo type="num" val="1"/>
        <color rgb="FFFFD5DA"/>
      </dataBar>
      <extLst>
        <ext xmlns:x14="http://schemas.microsoft.com/office/spreadsheetml/2009/9/main" uri="{B025F937-C7B1-47D3-B67F-A62EFF666E3E}">
          <x14:id>{C94A67F4-5E4A-40F3-A660-543790A3FD02}</x14:id>
        </ext>
      </extLst>
    </cfRule>
  </conditionalFormatting>
  <conditionalFormatting sqref="U57">
    <cfRule type="dataBar" priority="542">
      <dataBar>
        <cfvo type="num" val="0"/>
        <cfvo type="num" val="1"/>
        <color rgb="FFFFD5DA"/>
      </dataBar>
      <extLst>
        <ext xmlns:x14="http://schemas.microsoft.com/office/spreadsheetml/2009/9/main" uri="{B025F937-C7B1-47D3-B67F-A62EFF666E3E}">
          <x14:id>{C274D289-F66A-4EAD-8C4D-2FD0B0C82CA4}</x14:id>
        </ext>
      </extLst>
    </cfRule>
  </conditionalFormatting>
  <conditionalFormatting sqref="V6 V8 V10 V12 V14 V16 V18 V20 V22 V24 V26 V28 AB6 AB8 AB10 AB12 AB14 AB16 AB18 AB20 AB22 AB24 AB26 AB28 AH6 AH8 AH10 AH12 AH14 AH16 AH18 AH20 AH22 AH24 AH26 AH28 AN6 AN8 AN10 AN12 AN14 AN16 AN18 AN20 AN22 AN24 AN26 AN28 AT6 AT8 AT10 AT12 AT14 AT16 AT18 AT20 AT22 AT24 AT26 AT28">
    <cfRule type="dataBar" priority="1049">
      <dataBar>
        <cfvo type="num" val="0"/>
        <cfvo type="num" val="1"/>
        <color theme="9" tint="0.59999389629810485"/>
      </dataBar>
      <extLst>
        <ext xmlns:x14="http://schemas.microsoft.com/office/spreadsheetml/2009/9/main" uri="{B025F937-C7B1-47D3-B67F-A62EFF666E3E}">
          <x14:id>{0FE29591-9947-460B-97E9-5046CB63EA90}</x14:id>
        </ext>
      </extLst>
    </cfRule>
  </conditionalFormatting>
  <conditionalFormatting sqref="V33">
    <cfRule type="dataBar" priority="1012">
      <dataBar>
        <cfvo type="num" val="0"/>
        <cfvo type="num" val="1"/>
        <color theme="9" tint="0.59999389629810485"/>
      </dataBar>
      <extLst>
        <ext xmlns:x14="http://schemas.microsoft.com/office/spreadsheetml/2009/9/main" uri="{B025F937-C7B1-47D3-B67F-A62EFF666E3E}">
          <x14:id>{43D96E2F-ACE0-4218-8331-6A69585DD34C}</x14:id>
        </ext>
      </extLst>
    </cfRule>
  </conditionalFormatting>
  <conditionalFormatting sqref="V35">
    <cfRule type="dataBar" priority="973">
      <dataBar>
        <cfvo type="num" val="0"/>
        <cfvo type="num" val="1"/>
        <color theme="9" tint="0.59999389629810485"/>
      </dataBar>
      <extLst>
        <ext xmlns:x14="http://schemas.microsoft.com/office/spreadsheetml/2009/9/main" uri="{B025F937-C7B1-47D3-B67F-A62EFF666E3E}">
          <x14:id>{8D8A17B6-2234-453E-A06D-4B38DB2C2D34}</x14:id>
        </ext>
      </extLst>
    </cfRule>
  </conditionalFormatting>
  <conditionalFormatting sqref="V37">
    <cfRule type="dataBar" priority="934">
      <dataBar>
        <cfvo type="num" val="0"/>
        <cfvo type="num" val="1"/>
        <color theme="9" tint="0.59999389629810485"/>
      </dataBar>
      <extLst>
        <ext xmlns:x14="http://schemas.microsoft.com/office/spreadsheetml/2009/9/main" uri="{B025F937-C7B1-47D3-B67F-A62EFF666E3E}">
          <x14:id>{E5BCE07B-2A96-41C4-808F-1E2EF7624928}</x14:id>
        </ext>
      </extLst>
    </cfRule>
  </conditionalFormatting>
  <conditionalFormatting sqref="V39">
    <cfRule type="dataBar" priority="895">
      <dataBar>
        <cfvo type="num" val="0"/>
        <cfvo type="num" val="1"/>
        <color theme="9" tint="0.59999389629810485"/>
      </dataBar>
      <extLst>
        <ext xmlns:x14="http://schemas.microsoft.com/office/spreadsheetml/2009/9/main" uri="{B025F937-C7B1-47D3-B67F-A62EFF666E3E}">
          <x14:id>{9D8EB808-C6A5-46A3-AA75-289E8628AD30}</x14:id>
        </ext>
      </extLst>
    </cfRule>
  </conditionalFormatting>
  <conditionalFormatting sqref="V41">
    <cfRule type="dataBar" priority="856">
      <dataBar>
        <cfvo type="num" val="0"/>
        <cfvo type="num" val="1"/>
        <color theme="9" tint="0.59999389629810485"/>
      </dataBar>
      <extLst>
        <ext xmlns:x14="http://schemas.microsoft.com/office/spreadsheetml/2009/9/main" uri="{B025F937-C7B1-47D3-B67F-A62EFF666E3E}">
          <x14:id>{010FC62C-7CC4-4E49-882A-AD2AD119704A}</x14:id>
        </ext>
      </extLst>
    </cfRule>
  </conditionalFormatting>
  <conditionalFormatting sqref="V43">
    <cfRule type="dataBar" priority="799">
      <dataBar>
        <cfvo type="num" val="0"/>
        <cfvo type="num" val="1"/>
        <color theme="9" tint="0.59999389629810485"/>
      </dataBar>
      <extLst>
        <ext xmlns:x14="http://schemas.microsoft.com/office/spreadsheetml/2009/9/main" uri="{B025F937-C7B1-47D3-B67F-A62EFF666E3E}">
          <x14:id>{61BCE389-60AF-48AE-8BDB-D2772314ABCE}</x14:id>
        </ext>
      </extLst>
    </cfRule>
  </conditionalFormatting>
  <conditionalFormatting sqref="V45">
    <cfRule type="dataBar" priority="778">
      <dataBar>
        <cfvo type="num" val="0"/>
        <cfvo type="num" val="1"/>
        <color theme="9" tint="0.59999389629810485"/>
      </dataBar>
      <extLst>
        <ext xmlns:x14="http://schemas.microsoft.com/office/spreadsheetml/2009/9/main" uri="{B025F937-C7B1-47D3-B67F-A62EFF666E3E}">
          <x14:id>{3CF48322-2705-4C56-84B1-95F2F6E957DC}</x14:id>
        </ext>
      </extLst>
    </cfRule>
  </conditionalFormatting>
  <conditionalFormatting sqref="V47">
    <cfRule type="dataBar" priority="721">
      <dataBar>
        <cfvo type="num" val="0"/>
        <cfvo type="num" val="1"/>
        <color theme="9" tint="0.59999389629810485"/>
      </dataBar>
      <extLst>
        <ext xmlns:x14="http://schemas.microsoft.com/office/spreadsheetml/2009/9/main" uri="{B025F937-C7B1-47D3-B67F-A62EFF666E3E}">
          <x14:id>{EAF08393-B2E2-45B1-8B46-11939756ACB9}</x14:id>
        </ext>
      </extLst>
    </cfRule>
  </conditionalFormatting>
  <conditionalFormatting sqref="V49">
    <cfRule type="dataBar" priority="700">
      <dataBar>
        <cfvo type="num" val="0"/>
        <cfvo type="num" val="1"/>
        <color theme="9" tint="0.59999389629810485"/>
      </dataBar>
      <extLst>
        <ext xmlns:x14="http://schemas.microsoft.com/office/spreadsheetml/2009/9/main" uri="{B025F937-C7B1-47D3-B67F-A62EFF666E3E}">
          <x14:id>{04F73410-D2F0-452F-8D9F-2EB189B82EB8}</x14:id>
        </ext>
      </extLst>
    </cfRule>
  </conditionalFormatting>
  <conditionalFormatting sqref="V51">
    <cfRule type="dataBar" priority="643">
      <dataBar>
        <cfvo type="num" val="0"/>
        <cfvo type="num" val="1"/>
        <color theme="9" tint="0.59999389629810485"/>
      </dataBar>
      <extLst>
        <ext xmlns:x14="http://schemas.microsoft.com/office/spreadsheetml/2009/9/main" uri="{B025F937-C7B1-47D3-B67F-A62EFF666E3E}">
          <x14:id>{70FC7BBF-7FA3-4BCC-8219-16109D936BEA}</x14:id>
        </ext>
      </extLst>
    </cfRule>
  </conditionalFormatting>
  <conditionalFormatting sqref="V53">
    <cfRule type="dataBar" priority="622">
      <dataBar>
        <cfvo type="num" val="0"/>
        <cfvo type="num" val="1"/>
        <color theme="9" tint="0.59999389629810485"/>
      </dataBar>
      <extLst>
        <ext xmlns:x14="http://schemas.microsoft.com/office/spreadsheetml/2009/9/main" uri="{B025F937-C7B1-47D3-B67F-A62EFF666E3E}">
          <x14:id>{36F6E1BE-AF6B-43ED-BFB2-0864808B1DF0}</x14:id>
        </ext>
      </extLst>
    </cfRule>
  </conditionalFormatting>
  <conditionalFormatting sqref="V55">
    <cfRule type="dataBar" priority="565">
      <dataBar>
        <cfvo type="num" val="0"/>
        <cfvo type="num" val="1"/>
        <color theme="9" tint="0.59999389629810485"/>
      </dataBar>
      <extLst>
        <ext xmlns:x14="http://schemas.microsoft.com/office/spreadsheetml/2009/9/main" uri="{B025F937-C7B1-47D3-B67F-A62EFF666E3E}">
          <x14:id>{95E2663C-98D0-4EEF-B134-511FAAF5F761}</x14:id>
        </ext>
      </extLst>
    </cfRule>
  </conditionalFormatting>
  <conditionalFormatting sqref="V57">
    <cfRule type="dataBar" priority="544">
      <dataBar>
        <cfvo type="num" val="0"/>
        <cfvo type="num" val="1"/>
        <color theme="9" tint="0.59999389629810485"/>
      </dataBar>
      <extLst>
        <ext xmlns:x14="http://schemas.microsoft.com/office/spreadsheetml/2009/9/main" uri="{B025F937-C7B1-47D3-B67F-A62EFF666E3E}">
          <x14:id>{6C0F1409-8E5B-4355-8F14-90AF81EFCA9E}</x14:id>
        </ext>
      </extLst>
    </cfRule>
  </conditionalFormatting>
  <conditionalFormatting sqref="W6 W8 W10 W12 W14 W16 W18 W20 W22 W24 W26 W28 AC6 AC8 AC10 AC12 AC14 AC16 AC18 AC20 AC22 AC24 AC26 AC28 AI6 AI8 AI10 AI12 AI14 AI16 AI18 AI20 AI22 AI24 AI26 AI28 AO6 AO8 AO10 AO12 AO14 AO16 AO18 AO20 AO22 AO24 AO26 AO28 AU6 AU8 AU10 AU12 AU14 AU16 AU18 AU20 AU22 AU24 AU26 AU28">
    <cfRule type="dataBar" priority="1048">
      <dataBar>
        <cfvo type="num" val="0"/>
        <cfvo type="num" val="1"/>
        <color theme="0" tint="-0.14999847407452621"/>
      </dataBar>
      <extLst>
        <ext xmlns:x14="http://schemas.microsoft.com/office/spreadsheetml/2009/9/main" uri="{B025F937-C7B1-47D3-B67F-A62EFF666E3E}">
          <x14:id>{7ECC4992-463D-423D-9862-3D22567E87E2}</x14:id>
        </ext>
      </extLst>
    </cfRule>
  </conditionalFormatting>
  <conditionalFormatting sqref="W33">
    <cfRule type="dataBar" priority="1011">
      <dataBar>
        <cfvo type="num" val="0"/>
        <cfvo type="num" val="1"/>
        <color theme="0" tint="-0.14999847407452621"/>
      </dataBar>
      <extLst>
        <ext xmlns:x14="http://schemas.microsoft.com/office/spreadsheetml/2009/9/main" uri="{B025F937-C7B1-47D3-B67F-A62EFF666E3E}">
          <x14:id>{FBC8455C-97FA-418F-9FBB-5EA828CCBEC9}</x14:id>
        </ext>
      </extLst>
    </cfRule>
  </conditionalFormatting>
  <conditionalFormatting sqref="W35">
    <cfRule type="dataBar" priority="972">
      <dataBar>
        <cfvo type="num" val="0"/>
        <cfvo type="num" val="1"/>
        <color theme="0" tint="-0.14999847407452621"/>
      </dataBar>
      <extLst>
        <ext xmlns:x14="http://schemas.microsoft.com/office/spreadsheetml/2009/9/main" uri="{B025F937-C7B1-47D3-B67F-A62EFF666E3E}">
          <x14:id>{1FBFB315-3C44-4AA7-B3C5-FC38D8858FB0}</x14:id>
        </ext>
      </extLst>
    </cfRule>
  </conditionalFormatting>
  <conditionalFormatting sqref="W37">
    <cfRule type="dataBar" priority="933">
      <dataBar>
        <cfvo type="num" val="0"/>
        <cfvo type="num" val="1"/>
        <color theme="0" tint="-0.14999847407452621"/>
      </dataBar>
      <extLst>
        <ext xmlns:x14="http://schemas.microsoft.com/office/spreadsheetml/2009/9/main" uri="{B025F937-C7B1-47D3-B67F-A62EFF666E3E}">
          <x14:id>{4DFB4B6F-6FA3-4480-9730-77708BF9F441}</x14:id>
        </ext>
      </extLst>
    </cfRule>
  </conditionalFormatting>
  <conditionalFormatting sqref="W39">
    <cfRule type="dataBar" priority="894">
      <dataBar>
        <cfvo type="num" val="0"/>
        <cfvo type="num" val="1"/>
        <color theme="0" tint="-0.14999847407452621"/>
      </dataBar>
      <extLst>
        <ext xmlns:x14="http://schemas.microsoft.com/office/spreadsheetml/2009/9/main" uri="{B025F937-C7B1-47D3-B67F-A62EFF666E3E}">
          <x14:id>{BDD5A3F2-0AE5-4320-89BA-483A6C4806D9}</x14:id>
        </ext>
      </extLst>
    </cfRule>
  </conditionalFormatting>
  <conditionalFormatting sqref="W41">
    <cfRule type="dataBar" priority="855">
      <dataBar>
        <cfvo type="num" val="0"/>
        <cfvo type="num" val="1"/>
        <color theme="0" tint="-0.14999847407452621"/>
      </dataBar>
      <extLst>
        <ext xmlns:x14="http://schemas.microsoft.com/office/spreadsheetml/2009/9/main" uri="{B025F937-C7B1-47D3-B67F-A62EFF666E3E}">
          <x14:id>{FDDECE3C-50FE-454A-A260-29AAC1A1BDCD}</x14:id>
        </ext>
      </extLst>
    </cfRule>
  </conditionalFormatting>
  <conditionalFormatting sqref="W43">
    <cfRule type="dataBar" priority="798">
      <dataBar>
        <cfvo type="num" val="0"/>
        <cfvo type="num" val="1"/>
        <color theme="0" tint="-0.14999847407452621"/>
      </dataBar>
      <extLst>
        <ext xmlns:x14="http://schemas.microsoft.com/office/spreadsheetml/2009/9/main" uri="{B025F937-C7B1-47D3-B67F-A62EFF666E3E}">
          <x14:id>{8980E920-B0E7-45E0-A7A6-C0352F2812FD}</x14:id>
        </ext>
      </extLst>
    </cfRule>
  </conditionalFormatting>
  <conditionalFormatting sqref="W45">
    <cfRule type="dataBar" priority="777">
      <dataBar>
        <cfvo type="num" val="0"/>
        <cfvo type="num" val="1"/>
        <color theme="0" tint="-0.14999847407452621"/>
      </dataBar>
      <extLst>
        <ext xmlns:x14="http://schemas.microsoft.com/office/spreadsheetml/2009/9/main" uri="{B025F937-C7B1-47D3-B67F-A62EFF666E3E}">
          <x14:id>{98783A18-D2E2-4CB7-827F-9617DAC4FF12}</x14:id>
        </ext>
      </extLst>
    </cfRule>
  </conditionalFormatting>
  <conditionalFormatting sqref="W47">
    <cfRule type="dataBar" priority="720">
      <dataBar>
        <cfvo type="num" val="0"/>
        <cfvo type="num" val="1"/>
        <color theme="0" tint="-0.14999847407452621"/>
      </dataBar>
      <extLst>
        <ext xmlns:x14="http://schemas.microsoft.com/office/spreadsheetml/2009/9/main" uri="{B025F937-C7B1-47D3-B67F-A62EFF666E3E}">
          <x14:id>{0EF5927A-A092-4DC3-82B9-87C1D91078DA}</x14:id>
        </ext>
      </extLst>
    </cfRule>
  </conditionalFormatting>
  <conditionalFormatting sqref="W49">
    <cfRule type="dataBar" priority="699">
      <dataBar>
        <cfvo type="num" val="0"/>
        <cfvo type="num" val="1"/>
        <color theme="0" tint="-0.14999847407452621"/>
      </dataBar>
      <extLst>
        <ext xmlns:x14="http://schemas.microsoft.com/office/spreadsheetml/2009/9/main" uri="{B025F937-C7B1-47D3-B67F-A62EFF666E3E}">
          <x14:id>{D038F51D-908E-479E-B290-323416EBE793}</x14:id>
        </ext>
      </extLst>
    </cfRule>
  </conditionalFormatting>
  <conditionalFormatting sqref="W51">
    <cfRule type="dataBar" priority="642">
      <dataBar>
        <cfvo type="num" val="0"/>
        <cfvo type="num" val="1"/>
        <color theme="0" tint="-0.14999847407452621"/>
      </dataBar>
      <extLst>
        <ext xmlns:x14="http://schemas.microsoft.com/office/spreadsheetml/2009/9/main" uri="{B025F937-C7B1-47D3-B67F-A62EFF666E3E}">
          <x14:id>{A5AA36F6-636D-4B42-BB4E-3EE6CE134706}</x14:id>
        </ext>
      </extLst>
    </cfRule>
  </conditionalFormatting>
  <conditionalFormatting sqref="W53">
    <cfRule type="dataBar" priority="621">
      <dataBar>
        <cfvo type="num" val="0"/>
        <cfvo type="num" val="1"/>
        <color theme="0" tint="-0.14999847407452621"/>
      </dataBar>
      <extLst>
        <ext xmlns:x14="http://schemas.microsoft.com/office/spreadsheetml/2009/9/main" uri="{B025F937-C7B1-47D3-B67F-A62EFF666E3E}">
          <x14:id>{03027917-507C-4391-A394-B19166E7E007}</x14:id>
        </ext>
      </extLst>
    </cfRule>
  </conditionalFormatting>
  <conditionalFormatting sqref="W55">
    <cfRule type="dataBar" priority="564">
      <dataBar>
        <cfvo type="num" val="0"/>
        <cfvo type="num" val="1"/>
        <color theme="0" tint="-0.14999847407452621"/>
      </dataBar>
      <extLst>
        <ext xmlns:x14="http://schemas.microsoft.com/office/spreadsheetml/2009/9/main" uri="{B025F937-C7B1-47D3-B67F-A62EFF666E3E}">
          <x14:id>{B98CC59A-EC9A-411D-AD1E-F4DE6F0DFCD3}</x14:id>
        </ext>
      </extLst>
    </cfRule>
  </conditionalFormatting>
  <conditionalFormatting sqref="W57">
    <cfRule type="dataBar" priority="543">
      <dataBar>
        <cfvo type="num" val="0"/>
        <cfvo type="num" val="1"/>
        <color theme="0" tint="-0.14999847407452621"/>
      </dataBar>
      <extLst>
        <ext xmlns:x14="http://schemas.microsoft.com/office/spreadsheetml/2009/9/main" uri="{B025F937-C7B1-47D3-B67F-A62EFF666E3E}">
          <x14:id>{EA48C075-36FF-4197-952A-927E3E29A95D}</x14:id>
        </ext>
      </extLst>
    </cfRule>
  </conditionalFormatting>
  <conditionalFormatting sqref="R4 X4 AD4 AJ4 AP4 AV4">
    <cfRule type="dataBar" priority="1063">
      <dataBar>
        <cfvo type="num" val="0"/>
        <cfvo type="num" val="1"/>
        <color rgb="FFFFD5DA"/>
      </dataBar>
      <extLst>
        <ext xmlns:x14="http://schemas.microsoft.com/office/spreadsheetml/2009/9/main" uri="{B025F937-C7B1-47D3-B67F-A62EFF666E3E}">
          <x14:id>{3E9C2682-81E9-4C36-8C59-EE8E415CF3D9}</x14:id>
        </ext>
      </extLst>
    </cfRule>
  </conditionalFormatting>
  <conditionalFormatting sqref="X33">
    <cfRule type="dataBar" priority="1007">
      <dataBar>
        <cfvo type="num" val="0"/>
        <cfvo type="num" val="1"/>
        <color rgb="FFFFD5DA"/>
      </dataBar>
      <extLst>
        <ext xmlns:x14="http://schemas.microsoft.com/office/spreadsheetml/2009/9/main" uri="{B025F937-C7B1-47D3-B67F-A62EFF666E3E}">
          <x14:id>{935E82FE-2A2F-49F4-A13D-D251A085EF8C}</x14:id>
        </ext>
      </extLst>
    </cfRule>
  </conditionalFormatting>
  <conditionalFormatting sqref="X35">
    <cfRule type="dataBar" priority="968">
      <dataBar>
        <cfvo type="num" val="0"/>
        <cfvo type="num" val="1"/>
        <color rgb="FFFFD5DA"/>
      </dataBar>
      <extLst>
        <ext xmlns:x14="http://schemas.microsoft.com/office/spreadsheetml/2009/9/main" uri="{B025F937-C7B1-47D3-B67F-A62EFF666E3E}">
          <x14:id>{905B88CF-AD8E-4CAD-BF5C-86B9E4DC83CA}</x14:id>
        </ext>
      </extLst>
    </cfRule>
  </conditionalFormatting>
  <conditionalFormatting sqref="X37">
    <cfRule type="dataBar" priority="929">
      <dataBar>
        <cfvo type="num" val="0"/>
        <cfvo type="num" val="1"/>
        <color rgb="FFFFD5DA"/>
      </dataBar>
      <extLst>
        <ext xmlns:x14="http://schemas.microsoft.com/office/spreadsheetml/2009/9/main" uri="{B025F937-C7B1-47D3-B67F-A62EFF666E3E}">
          <x14:id>{CC225813-797A-4C91-91F4-8CF984B81D71}</x14:id>
        </ext>
      </extLst>
    </cfRule>
  </conditionalFormatting>
  <conditionalFormatting sqref="X39">
    <cfRule type="dataBar" priority="890">
      <dataBar>
        <cfvo type="num" val="0"/>
        <cfvo type="num" val="1"/>
        <color rgb="FFFFD5DA"/>
      </dataBar>
      <extLst>
        <ext xmlns:x14="http://schemas.microsoft.com/office/spreadsheetml/2009/9/main" uri="{B025F937-C7B1-47D3-B67F-A62EFF666E3E}">
          <x14:id>{876DF042-40C5-4EB7-8CB4-6EE96B4AF0CE}</x14:id>
        </ext>
      </extLst>
    </cfRule>
  </conditionalFormatting>
  <conditionalFormatting sqref="X41">
    <cfRule type="dataBar" priority="851">
      <dataBar>
        <cfvo type="num" val="0"/>
        <cfvo type="num" val="1"/>
        <color rgb="FFFFD5DA"/>
      </dataBar>
      <extLst>
        <ext xmlns:x14="http://schemas.microsoft.com/office/spreadsheetml/2009/9/main" uri="{B025F937-C7B1-47D3-B67F-A62EFF666E3E}">
          <x14:id>{BA9097AC-52D9-4621-9C00-B2BC1F41F04F}</x14:id>
        </ext>
      </extLst>
    </cfRule>
  </conditionalFormatting>
  <conditionalFormatting sqref="X43">
    <cfRule type="dataBar" priority="800">
      <dataBar>
        <cfvo type="num" val="0"/>
        <cfvo type="num" val="1"/>
        <color rgb="FFFFD5DA"/>
      </dataBar>
      <extLst>
        <ext xmlns:x14="http://schemas.microsoft.com/office/spreadsheetml/2009/9/main" uri="{B025F937-C7B1-47D3-B67F-A62EFF666E3E}">
          <x14:id>{4B34AE90-39DF-433A-89AA-6E90606AD2F1}</x14:id>
        </ext>
      </extLst>
    </cfRule>
  </conditionalFormatting>
  <conditionalFormatting sqref="X45">
    <cfRule type="dataBar" priority="773">
      <dataBar>
        <cfvo type="num" val="0"/>
        <cfvo type="num" val="1"/>
        <color rgb="FFFFD5DA"/>
      </dataBar>
      <extLst>
        <ext xmlns:x14="http://schemas.microsoft.com/office/spreadsheetml/2009/9/main" uri="{B025F937-C7B1-47D3-B67F-A62EFF666E3E}">
          <x14:id>{C92F8F46-0B56-4701-87A0-048AD1CC7701}</x14:id>
        </ext>
      </extLst>
    </cfRule>
  </conditionalFormatting>
  <conditionalFormatting sqref="X47">
    <cfRule type="dataBar" priority="722">
      <dataBar>
        <cfvo type="num" val="0"/>
        <cfvo type="num" val="1"/>
        <color rgb="FFFFD5DA"/>
      </dataBar>
      <extLst>
        <ext xmlns:x14="http://schemas.microsoft.com/office/spreadsheetml/2009/9/main" uri="{B025F937-C7B1-47D3-B67F-A62EFF666E3E}">
          <x14:id>{FBD7862A-AC24-4B77-AA86-62A824D4CCBA}</x14:id>
        </ext>
      </extLst>
    </cfRule>
  </conditionalFormatting>
  <conditionalFormatting sqref="X49">
    <cfRule type="dataBar" priority="695">
      <dataBar>
        <cfvo type="num" val="0"/>
        <cfvo type="num" val="1"/>
        <color rgb="FFFFD5DA"/>
      </dataBar>
      <extLst>
        <ext xmlns:x14="http://schemas.microsoft.com/office/spreadsheetml/2009/9/main" uri="{B025F937-C7B1-47D3-B67F-A62EFF666E3E}">
          <x14:id>{EAE2C06F-6DE5-42ED-8631-FD1F38904609}</x14:id>
        </ext>
      </extLst>
    </cfRule>
  </conditionalFormatting>
  <conditionalFormatting sqref="X51">
    <cfRule type="dataBar" priority="644">
      <dataBar>
        <cfvo type="num" val="0"/>
        <cfvo type="num" val="1"/>
        <color rgb="FFFFD5DA"/>
      </dataBar>
      <extLst>
        <ext xmlns:x14="http://schemas.microsoft.com/office/spreadsheetml/2009/9/main" uri="{B025F937-C7B1-47D3-B67F-A62EFF666E3E}">
          <x14:id>{809FD2C6-F346-454A-90B2-216DD09FACD0}</x14:id>
        </ext>
      </extLst>
    </cfRule>
  </conditionalFormatting>
  <conditionalFormatting sqref="X53">
    <cfRule type="dataBar" priority="617">
      <dataBar>
        <cfvo type="num" val="0"/>
        <cfvo type="num" val="1"/>
        <color rgb="FFFFD5DA"/>
      </dataBar>
      <extLst>
        <ext xmlns:x14="http://schemas.microsoft.com/office/spreadsheetml/2009/9/main" uri="{B025F937-C7B1-47D3-B67F-A62EFF666E3E}">
          <x14:id>{729F9B34-A190-4DD8-B3EC-13B53DA82341}</x14:id>
        </ext>
      </extLst>
    </cfRule>
  </conditionalFormatting>
  <conditionalFormatting sqref="X55">
    <cfRule type="dataBar" priority="566">
      <dataBar>
        <cfvo type="num" val="0"/>
        <cfvo type="num" val="1"/>
        <color rgb="FFFFD5DA"/>
      </dataBar>
      <extLst>
        <ext xmlns:x14="http://schemas.microsoft.com/office/spreadsheetml/2009/9/main" uri="{B025F937-C7B1-47D3-B67F-A62EFF666E3E}">
          <x14:id>{DD58C2BD-6E42-42F4-9DE6-F990D82EC434}</x14:id>
        </ext>
      </extLst>
    </cfRule>
  </conditionalFormatting>
  <conditionalFormatting sqref="X57">
    <cfRule type="dataBar" priority="539">
      <dataBar>
        <cfvo type="num" val="0"/>
        <cfvo type="num" val="1"/>
        <color rgb="FFFFD5DA"/>
      </dataBar>
      <extLst>
        <ext xmlns:x14="http://schemas.microsoft.com/office/spreadsheetml/2009/9/main" uri="{B025F937-C7B1-47D3-B67F-A62EFF666E3E}">
          <x14:id>{4A051094-BFBE-4071-91A2-26E0B2BE0715}</x14:id>
        </ext>
      </extLst>
    </cfRule>
  </conditionalFormatting>
  <conditionalFormatting sqref="S4 Y4 AE4 AK4 AQ4 AW4">
    <cfRule type="dataBar" priority="1065">
      <dataBar>
        <cfvo type="num" val="0"/>
        <cfvo type="num" val="1"/>
        <color theme="9" tint="0.59999389629810485"/>
      </dataBar>
      <extLst>
        <ext xmlns:x14="http://schemas.microsoft.com/office/spreadsheetml/2009/9/main" uri="{B025F937-C7B1-47D3-B67F-A62EFF666E3E}">
          <x14:id>{780631AB-34C6-4565-AADA-C48628981DC2}</x14:id>
        </ext>
      </extLst>
    </cfRule>
  </conditionalFormatting>
  <conditionalFormatting sqref="Y33">
    <cfRule type="dataBar" priority="1009">
      <dataBar>
        <cfvo type="num" val="0"/>
        <cfvo type="num" val="1"/>
        <color theme="9" tint="0.59999389629810485"/>
      </dataBar>
      <extLst>
        <ext xmlns:x14="http://schemas.microsoft.com/office/spreadsheetml/2009/9/main" uri="{B025F937-C7B1-47D3-B67F-A62EFF666E3E}">
          <x14:id>{48DDE002-6A24-4C22-9159-2BADA511047A}</x14:id>
        </ext>
      </extLst>
    </cfRule>
  </conditionalFormatting>
  <conditionalFormatting sqref="Y35">
    <cfRule type="dataBar" priority="970">
      <dataBar>
        <cfvo type="num" val="0"/>
        <cfvo type="num" val="1"/>
        <color theme="9" tint="0.59999389629810485"/>
      </dataBar>
      <extLst>
        <ext xmlns:x14="http://schemas.microsoft.com/office/spreadsheetml/2009/9/main" uri="{B025F937-C7B1-47D3-B67F-A62EFF666E3E}">
          <x14:id>{A01D0A00-D3B8-4E51-ABF0-77D49463DDBB}</x14:id>
        </ext>
      </extLst>
    </cfRule>
  </conditionalFormatting>
  <conditionalFormatting sqref="Y37">
    <cfRule type="dataBar" priority="931">
      <dataBar>
        <cfvo type="num" val="0"/>
        <cfvo type="num" val="1"/>
        <color theme="9" tint="0.59999389629810485"/>
      </dataBar>
      <extLst>
        <ext xmlns:x14="http://schemas.microsoft.com/office/spreadsheetml/2009/9/main" uri="{B025F937-C7B1-47D3-B67F-A62EFF666E3E}">
          <x14:id>{5BA75BB2-8F09-4F71-BDCB-F65283FD058A}</x14:id>
        </ext>
      </extLst>
    </cfRule>
  </conditionalFormatting>
  <conditionalFormatting sqref="Y39">
    <cfRule type="dataBar" priority="892">
      <dataBar>
        <cfvo type="num" val="0"/>
        <cfvo type="num" val="1"/>
        <color theme="9" tint="0.59999389629810485"/>
      </dataBar>
      <extLst>
        <ext xmlns:x14="http://schemas.microsoft.com/office/spreadsheetml/2009/9/main" uri="{B025F937-C7B1-47D3-B67F-A62EFF666E3E}">
          <x14:id>{8120F6D3-2848-47AB-A3BC-5F3E69C299E2}</x14:id>
        </ext>
      </extLst>
    </cfRule>
  </conditionalFormatting>
  <conditionalFormatting sqref="Y41">
    <cfRule type="dataBar" priority="853">
      <dataBar>
        <cfvo type="num" val="0"/>
        <cfvo type="num" val="1"/>
        <color theme="9" tint="0.59999389629810485"/>
      </dataBar>
      <extLst>
        <ext xmlns:x14="http://schemas.microsoft.com/office/spreadsheetml/2009/9/main" uri="{B025F937-C7B1-47D3-B67F-A62EFF666E3E}">
          <x14:id>{ADEEF1B2-F7FF-4E25-AB4D-38CA9E0EC043}</x14:id>
        </ext>
      </extLst>
    </cfRule>
  </conditionalFormatting>
  <conditionalFormatting sqref="Y43">
    <cfRule type="dataBar" priority="802">
      <dataBar>
        <cfvo type="num" val="0"/>
        <cfvo type="num" val="1"/>
        <color theme="9" tint="0.59999389629810485"/>
      </dataBar>
      <extLst>
        <ext xmlns:x14="http://schemas.microsoft.com/office/spreadsheetml/2009/9/main" uri="{B025F937-C7B1-47D3-B67F-A62EFF666E3E}">
          <x14:id>{A25A55E0-8878-4B72-8E91-F84DBF61ECF5}</x14:id>
        </ext>
      </extLst>
    </cfRule>
  </conditionalFormatting>
  <conditionalFormatting sqref="Y45">
    <cfRule type="dataBar" priority="775">
      <dataBar>
        <cfvo type="num" val="0"/>
        <cfvo type="num" val="1"/>
        <color theme="9" tint="0.59999389629810485"/>
      </dataBar>
      <extLst>
        <ext xmlns:x14="http://schemas.microsoft.com/office/spreadsheetml/2009/9/main" uri="{B025F937-C7B1-47D3-B67F-A62EFF666E3E}">
          <x14:id>{ED5B569A-DB5F-44DA-9A37-515F4A3B996F}</x14:id>
        </ext>
      </extLst>
    </cfRule>
  </conditionalFormatting>
  <conditionalFormatting sqref="Y47">
    <cfRule type="dataBar" priority="724">
      <dataBar>
        <cfvo type="num" val="0"/>
        <cfvo type="num" val="1"/>
        <color theme="9" tint="0.59999389629810485"/>
      </dataBar>
      <extLst>
        <ext xmlns:x14="http://schemas.microsoft.com/office/spreadsheetml/2009/9/main" uri="{B025F937-C7B1-47D3-B67F-A62EFF666E3E}">
          <x14:id>{58DA0F65-A305-497B-A84B-CD55F4910B8C}</x14:id>
        </ext>
      </extLst>
    </cfRule>
  </conditionalFormatting>
  <conditionalFormatting sqref="Y49">
    <cfRule type="dataBar" priority="697">
      <dataBar>
        <cfvo type="num" val="0"/>
        <cfvo type="num" val="1"/>
        <color theme="9" tint="0.59999389629810485"/>
      </dataBar>
      <extLst>
        <ext xmlns:x14="http://schemas.microsoft.com/office/spreadsheetml/2009/9/main" uri="{B025F937-C7B1-47D3-B67F-A62EFF666E3E}">
          <x14:id>{4194258B-0D01-4006-8C63-00CC45C36C8B}</x14:id>
        </ext>
      </extLst>
    </cfRule>
  </conditionalFormatting>
  <conditionalFormatting sqref="Y51">
    <cfRule type="dataBar" priority="646">
      <dataBar>
        <cfvo type="num" val="0"/>
        <cfvo type="num" val="1"/>
        <color theme="9" tint="0.59999389629810485"/>
      </dataBar>
      <extLst>
        <ext xmlns:x14="http://schemas.microsoft.com/office/spreadsheetml/2009/9/main" uri="{B025F937-C7B1-47D3-B67F-A62EFF666E3E}">
          <x14:id>{115BA014-2D09-4D41-A726-D201033134CB}</x14:id>
        </ext>
      </extLst>
    </cfRule>
  </conditionalFormatting>
  <conditionalFormatting sqref="Y53">
    <cfRule type="dataBar" priority="619">
      <dataBar>
        <cfvo type="num" val="0"/>
        <cfvo type="num" val="1"/>
        <color theme="9" tint="0.59999389629810485"/>
      </dataBar>
      <extLst>
        <ext xmlns:x14="http://schemas.microsoft.com/office/spreadsheetml/2009/9/main" uri="{B025F937-C7B1-47D3-B67F-A62EFF666E3E}">
          <x14:id>{50C4FD05-D413-4B22-ACF0-1B86C67F9BC8}</x14:id>
        </ext>
      </extLst>
    </cfRule>
  </conditionalFormatting>
  <conditionalFormatting sqref="Y55">
    <cfRule type="dataBar" priority="568">
      <dataBar>
        <cfvo type="num" val="0"/>
        <cfvo type="num" val="1"/>
        <color theme="9" tint="0.59999389629810485"/>
      </dataBar>
      <extLst>
        <ext xmlns:x14="http://schemas.microsoft.com/office/spreadsheetml/2009/9/main" uri="{B025F937-C7B1-47D3-B67F-A62EFF666E3E}">
          <x14:id>{CA074C02-5B5D-419C-8EE7-3E15886ADA1F}</x14:id>
        </ext>
      </extLst>
    </cfRule>
  </conditionalFormatting>
  <conditionalFormatting sqref="Y57">
    <cfRule type="dataBar" priority="541">
      <dataBar>
        <cfvo type="num" val="0"/>
        <cfvo type="num" val="1"/>
        <color theme="9" tint="0.59999389629810485"/>
      </dataBar>
      <extLst>
        <ext xmlns:x14="http://schemas.microsoft.com/office/spreadsheetml/2009/9/main" uri="{B025F937-C7B1-47D3-B67F-A62EFF666E3E}">
          <x14:id>{A9CED3D4-A4CB-4CE0-835E-696F178E51A7}</x14:id>
        </ext>
      </extLst>
    </cfRule>
  </conditionalFormatting>
  <conditionalFormatting sqref="T4 Z4 AF4 AL4 AR4 AX4">
    <cfRule type="dataBar" priority="1064">
      <dataBar>
        <cfvo type="num" val="0"/>
        <cfvo type="num" val="1"/>
        <color theme="0" tint="-0.14999847407452621"/>
      </dataBar>
      <extLst>
        <ext xmlns:x14="http://schemas.microsoft.com/office/spreadsheetml/2009/9/main" uri="{B025F937-C7B1-47D3-B67F-A62EFF666E3E}">
          <x14:id>{2CD7E641-018A-44CD-835C-3E7D8EAA88C4}</x14:id>
        </ext>
      </extLst>
    </cfRule>
  </conditionalFormatting>
  <conditionalFormatting sqref="Z33">
    <cfRule type="dataBar" priority="1008">
      <dataBar>
        <cfvo type="num" val="0"/>
        <cfvo type="num" val="1"/>
        <color theme="0" tint="-0.14999847407452621"/>
      </dataBar>
      <extLst>
        <ext xmlns:x14="http://schemas.microsoft.com/office/spreadsheetml/2009/9/main" uri="{B025F937-C7B1-47D3-B67F-A62EFF666E3E}">
          <x14:id>{BDFFF155-4CE2-4916-A37C-63DA9A9179CE}</x14:id>
        </ext>
      </extLst>
    </cfRule>
  </conditionalFormatting>
  <conditionalFormatting sqref="Z35">
    <cfRule type="dataBar" priority="969">
      <dataBar>
        <cfvo type="num" val="0"/>
        <cfvo type="num" val="1"/>
        <color theme="0" tint="-0.14999847407452621"/>
      </dataBar>
      <extLst>
        <ext xmlns:x14="http://schemas.microsoft.com/office/spreadsheetml/2009/9/main" uri="{B025F937-C7B1-47D3-B67F-A62EFF666E3E}">
          <x14:id>{AF0E2F81-EB28-483E-9595-9C9DA8831504}</x14:id>
        </ext>
      </extLst>
    </cfRule>
  </conditionalFormatting>
  <conditionalFormatting sqref="Z37">
    <cfRule type="dataBar" priority="930">
      <dataBar>
        <cfvo type="num" val="0"/>
        <cfvo type="num" val="1"/>
        <color theme="0" tint="-0.14999847407452621"/>
      </dataBar>
      <extLst>
        <ext xmlns:x14="http://schemas.microsoft.com/office/spreadsheetml/2009/9/main" uri="{B025F937-C7B1-47D3-B67F-A62EFF666E3E}">
          <x14:id>{A7E73089-F501-424C-BBB3-48C46FBD1666}</x14:id>
        </ext>
      </extLst>
    </cfRule>
  </conditionalFormatting>
  <conditionalFormatting sqref="Z39">
    <cfRule type="dataBar" priority="891">
      <dataBar>
        <cfvo type="num" val="0"/>
        <cfvo type="num" val="1"/>
        <color theme="0" tint="-0.14999847407452621"/>
      </dataBar>
      <extLst>
        <ext xmlns:x14="http://schemas.microsoft.com/office/spreadsheetml/2009/9/main" uri="{B025F937-C7B1-47D3-B67F-A62EFF666E3E}">
          <x14:id>{32841E1E-7A80-41C5-9FD7-CD4FE3992903}</x14:id>
        </ext>
      </extLst>
    </cfRule>
  </conditionalFormatting>
  <conditionalFormatting sqref="Z41">
    <cfRule type="dataBar" priority="852">
      <dataBar>
        <cfvo type="num" val="0"/>
        <cfvo type="num" val="1"/>
        <color theme="0" tint="-0.14999847407452621"/>
      </dataBar>
      <extLst>
        <ext xmlns:x14="http://schemas.microsoft.com/office/spreadsheetml/2009/9/main" uri="{B025F937-C7B1-47D3-B67F-A62EFF666E3E}">
          <x14:id>{D7DD0E6C-35FE-4CF2-BC00-03A16520F507}</x14:id>
        </ext>
      </extLst>
    </cfRule>
  </conditionalFormatting>
  <conditionalFormatting sqref="Z43">
    <cfRule type="dataBar" priority="801">
      <dataBar>
        <cfvo type="num" val="0"/>
        <cfvo type="num" val="1"/>
        <color theme="0" tint="-0.14999847407452621"/>
      </dataBar>
      <extLst>
        <ext xmlns:x14="http://schemas.microsoft.com/office/spreadsheetml/2009/9/main" uri="{B025F937-C7B1-47D3-B67F-A62EFF666E3E}">
          <x14:id>{0F038BD0-8B00-4C65-A3D6-6C76AF3AB591}</x14:id>
        </ext>
      </extLst>
    </cfRule>
  </conditionalFormatting>
  <conditionalFormatting sqref="Z45">
    <cfRule type="dataBar" priority="774">
      <dataBar>
        <cfvo type="num" val="0"/>
        <cfvo type="num" val="1"/>
        <color theme="0" tint="-0.14999847407452621"/>
      </dataBar>
      <extLst>
        <ext xmlns:x14="http://schemas.microsoft.com/office/spreadsheetml/2009/9/main" uri="{B025F937-C7B1-47D3-B67F-A62EFF666E3E}">
          <x14:id>{6B29AA03-A675-431E-85CD-AB805A737436}</x14:id>
        </ext>
      </extLst>
    </cfRule>
  </conditionalFormatting>
  <conditionalFormatting sqref="Z47">
    <cfRule type="dataBar" priority="723">
      <dataBar>
        <cfvo type="num" val="0"/>
        <cfvo type="num" val="1"/>
        <color theme="0" tint="-0.14999847407452621"/>
      </dataBar>
      <extLst>
        <ext xmlns:x14="http://schemas.microsoft.com/office/spreadsheetml/2009/9/main" uri="{B025F937-C7B1-47D3-B67F-A62EFF666E3E}">
          <x14:id>{BA091F62-822D-4349-95AA-12B054196637}</x14:id>
        </ext>
      </extLst>
    </cfRule>
  </conditionalFormatting>
  <conditionalFormatting sqref="Z49">
    <cfRule type="dataBar" priority="696">
      <dataBar>
        <cfvo type="num" val="0"/>
        <cfvo type="num" val="1"/>
        <color theme="0" tint="-0.14999847407452621"/>
      </dataBar>
      <extLst>
        <ext xmlns:x14="http://schemas.microsoft.com/office/spreadsheetml/2009/9/main" uri="{B025F937-C7B1-47D3-B67F-A62EFF666E3E}">
          <x14:id>{7A33C0CA-D008-4DEC-A4E7-AAA2121EE1FA}</x14:id>
        </ext>
      </extLst>
    </cfRule>
  </conditionalFormatting>
  <conditionalFormatting sqref="Z51">
    <cfRule type="dataBar" priority="645">
      <dataBar>
        <cfvo type="num" val="0"/>
        <cfvo type="num" val="1"/>
        <color theme="0" tint="-0.14999847407452621"/>
      </dataBar>
      <extLst>
        <ext xmlns:x14="http://schemas.microsoft.com/office/spreadsheetml/2009/9/main" uri="{B025F937-C7B1-47D3-B67F-A62EFF666E3E}">
          <x14:id>{9365A2C0-090C-4948-ABF8-DD492CB4B94E}</x14:id>
        </ext>
      </extLst>
    </cfRule>
  </conditionalFormatting>
  <conditionalFormatting sqref="Z53">
    <cfRule type="dataBar" priority="618">
      <dataBar>
        <cfvo type="num" val="0"/>
        <cfvo type="num" val="1"/>
        <color theme="0" tint="-0.14999847407452621"/>
      </dataBar>
      <extLst>
        <ext xmlns:x14="http://schemas.microsoft.com/office/spreadsheetml/2009/9/main" uri="{B025F937-C7B1-47D3-B67F-A62EFF666E3E}">
          <x14:id>{980DD0C9-A606-4638-909F-CD76D2FCB60E}</x14:id>
        </ext>
      </extLst>
    </cfRule>
  </conditionalFormatting>
  <conditionalFormatting sqref="Z55">
    <cfRule type="dataBar" priority="567">
      <dataBar>
        <cfvo type="num" val="0"/>
        <cfvo type="num" val="1"/>
        <color theme="0" tint="-0.14999847407452621"/>
      </dataBar>
      <extLst>
        <ext xmlns:x14="http://schemas.microsoft.com/office/spreadsheetml/2009/9/main" uri="{B025F937-C7B1-47D3-B67F-A62EFF666E3E}">
          <x14:id>{09955E7B-F4B3-47DB-9DB9-B8CC32DE282F}</x14:id>
        </ext>
      </extLst>
    </cfRule>
  </conditionalFormatting>
  <conditionalFormatting sqref="Z57">
    <cfRule type="dataBar" priority="540">
      <dataBar>
        <cfvo type="num" val="0"/>
        <cfvo type="num" val="1"/>
        <color theme="0" tint="-0.14999847407452621"/>
      </dataBar>
      <extLst>
        <ext xmlns:x14="http://schemas.microsoft.com/office/spreadsheetml/2009/9/main" uri="{B025F937-C7B1-47D3-B67F-A62EFF666E3E}">
          <x14:id>{4754D93E-B9DE-4B3C-A314-F36860D25829}</x14:id>
        </ext>
      </extLst>
    </cfRule>
  </conditionalFormatting>
  <conditionalFormatting sqref="U4 AA4 AG4 AM4 AS4">
    <cfRule type="dataBar" priority="1060">
      <dataBar>
        <cfvo type="num" val="0"/>
        <cfvo type="num" val="1"/>
        <color rgb="FFFFD5DA"/>
      </dataBar>
      <extLst>
        <ext xmlns:x14="http://schemas.microsoft.com/office/spreadsheetml/2009/9/main" uri="{B025F937-C7B1-47D3-B67F-A62EFF666E3E}">
          <x14:id>{8F7CBD82-98D1-4DE2-A178-ECBEEBBCE597}</x14:id>
        </ext>
      </extLst>
    </cfRule>
  </conditionalFormatting>
  <conditionalFormatting sqref="AA33">
    <cfRule type="dataBar" priority="1004">
      <dataBar>
        <cfvo type="num" val="0"/>
        <cfvo type="num" val="1"/>
        <color rgb="FFFFD5DA"/>
      </dataBar>
      <extLst>
        <ext xmlns:x14="http://schemas.microsoft.com/office/spreadsheetml/2009/9/main" uri="{B025F937-C7B1-47D3-B67F-A62EFF666E3E}">
          <x14:id>{C0E870A3-3768-41F2-8203-7F92BF183D77}</x14:id>
        </ext>
      </extLst>
    </cfRule>
  </conditionalFormatting>
  <conditionalFormatting sqref="AA35">
    <cfRule type="dataBar" priority="965">
      <dataBar>
        <cfvo type="num" val="0"/>
        <cfvo type="num" val="1"/>
        <color rgb="FFFFD5DA"/>
      </dataBar>
      <extLst>
        <ext xmlns:x14="http://schemas.microsoft.com/office/spreadsheetml/2009/9/main" uri="{B025F937-C7B1-47D3-B67F-A62EFF666E3E}">
          <x14:id>{313E77A9-3290-4F57-85B3-1370AB61625F}</x14:id>
        </ext>
      </extLst>
    </cfRule>
  </conditionalFormatting>
  <conditionalFormatting sqref="AA37">
    <cfRule type="dataBar" priority="926">
      <dataBar>
        <cfvo type="num" val="0"/>
        <cfvo type="num" val="1"/>
        <color rgb="FFFFD5DA"/>
      </dataBar>
      <extLst>
        <ext xmlns:x14="http://schemas.microsoft.com/office/spreadsheetml/2009/9/main" uri="{B025F937-C7B1-47D3-B67F-A62EFF666E3E}">
          <x14:id>{1F4C5AFF-124A-4519-9654-DEAC6F18C22F}</x14:id>
        </ext>
      </extLst>
    </cfRule>
  </conditionalFormatting>
  <conditionalFormatting sqref="AA39">
    <cfRule type="dataBar" priority="887">
      <dataBar>
        <cfvo type="num" val="0"/>
        <cfvo type="num" val="1"/>
        <color rgb="FFFFD5DA"/>
      </dataBar>
      <extLst>
        <ext xmlns:x14="http://schemas.microsoft.com/office/spreadsheetml/2009/9/main" uri="{B025F937-C7B1-47D3-B67F-A62EFF666E3E}">
          <x14:id>{105D3928-A510-44F9-963D-49DC01949AD4}</x14:id>
        </ext>
      </extLst>
    </cfRule>
  </conditionalFormatting>
  <conditionalFormatting sqref="AA41">
    <cfRule type="dataBar" priority="848">
      <dataBar>
        <cfvo type="num" val="0"/>
        <cfvo type="num" val="1"/>
        <color rgb="FFFFD5DA"/>
      </dataBar>
      <extLst>
        <ext xmlns:x14="http://schemas.microsoft.com/office/spreadsheetml/2009/9/main" uri="{B025F937-C7B1-47D3-B67F-A62EFF666E3E}">
          <x14:id>{5FE49D11-38E8-4977-97D5-F9D9B5FA72FD}</x14:id>
        </ext>
      </extLst>
    </cfRule>
  </conditionalFormatting>
  <conditionalFormatting sqref="AA43">
    <cfRule type="dataBar" priority="803">
      <dataBar>
        <cfvo type="num" val="0"/>
        <cfvo type="num" val="1"/>
        <color rgb="FFFFD5DA"/>
      </dataBar>
      <extLst>
        <ext xmlns:x14="http://schemas.microsoft.com/office/spreadsheetml/2009/9/main" uri="{B025F937-C7B1-47D3-B67F-A62EFF666E3E}">
          <x14:id>{149AD82F-49EE-40E6-A317-5267FE77DC27}</x14:id>
        </ext>
      </extLst>
    </cfRule>
  </conditionalFormatting>
  <conditionalFormatting sqref="AA45">
    <cfRule type="dataBar" priority="770">
      <dataBar>
        <cfvo type="num" val="0"/>
        <cfvo type="num" val="1"/>
        <color rgb="FFFFD5DA"/>
      </dataBar>
      <extLst>
        <ext xmlns:x14="http://schemas.microsoft.com/office/spreadsheetml/2009/9/main" uri="{B025F937-C7B1-47D3-B67F-A62EFF666E3E}">
          <x14:id>{9A486BB9-D5EC-4B11-9787-94C562B2B5D8}</x14:id>
        </ext>
      </extLst>
    </cfRule>
  </conditionalFormatting>
  <conditionalFormatting sqref="AA47">
    <cfRule type="dataBar" priority="725">
      <dataBar>
        <cfvo type="num" val="0"/>
        <cfvo type="num" val="1"/>
        <color rgb="FFFFD5DA"/>
      </dataBar>
      <extLst>
        <ext xmlns:x14="http://schemas.microsoft.com/office/spreadsheetml/2009/9/main" uri="{B025F937-C7B1-47D3-B67F-A62EFF666E3E}">
          <x14:id>{B0055D05-0358-432A-A56D-8EDD16F36C1C}</x14:id>
        </ext>
      </extLst>
    </cfRule>
  </conditionalFormatting>
  <conditionalFormatting sqref="AA49">
    <cfRule type="dataBar" priority="692">
      <dataBar>
        <cfvo type="num" val="0"/>
        <cfvo type="num" val="1"/>
        <color rgb="FFFFD5DA"/>
      </dataBar>
      <extLst>
        <ext xmlns:x14="http://schemas.microsoft.com/office/spreadsheetml/2009/9/main" uri="{B025F937-C7B1-47D3-B67F-A62EFF666E3E}">
          <x14:id>{239B1449-0107-4B3D-B3F3-E36E5A4361A2}</x14:id>
        </ext>
      </extLst>
    </cfRule>
  </conditionalFormatting>
  <conditionalFormatting sqref="AA51">
    <cfRule type="dataBar" priority="647">
      <dataBar>
        <cfvo type="num" val="0"/>
        <cfvo type="num" val="1"/>
        <color rgb="FFFFD5DA"/>
      </dataBar>
      <extLst>
        <ext xmlns:x14="http://schemas.microsoft.com/office/spreadsheetml/2009/9/main" uri="{B025F937-C7B1-47D3-B67F-A62EFF666E3E}">
          <x14:id>{BD29EC78-3457-474C-8DFA-96ED11A2E518}</x14:id>
        </ext>
      </extLst>
    </cfRule>
  </conditionalFormatting>
  <conditionalFormatting sqref="AA53">
    <cfRule type="dataBar" priority="614">
      <dataBar>
        <cfvo type="num" val="0"/>
        <cfvo type="num" val="1"/>
        <color rgb="FFFFD5DA"/>
      </dataBar>
      <extLst>
        <ext xmlns:x14="http://schemas.microsoft.com/office/spreadsheetml/2009/9/main" uri="{B025F937-C7B1-47D3-B67F-A62EFF666E3E}">
          <x14:id>{D5952E5B-512A-49C8-ADD4-D475A307C15D}</x14:id>
        </ext>
      </extLst>
    </cfRule>
  </conditionalFormatting>
  <conditionalFormatting sqref="AA55">
    <cfRule type="dataBar" priority="569">
      <dataBar>
        <cfvo type="num" val="0"/>
        <cfvo type="num" val="1"/>
        <color rgb="FFFFD5DA"/>
      </dataBar>
      <extLst>
        <ext xmlns:x14="http://schemas.microsoft.com/office/spreadsheetml/2009/9/main" uri="{B025F937-C7B1-47D3-B67F-A62EFF666E3E}">
          <x14:id>{BF95F3E4-87DE-47CC-A040-B07B58D6DFF6}</x14:id>
        </ext>
      </extLst>
    </cfRule>
  </conditionalFormatting>
  <conditionalFormatting sqref="AA57">
    <cfRule type="dataBar" priority="536">
      <dataBar>
        <cfvo type="num" val="0"/>
        <cfvo type="num" val="1"/>
        <color rgb="FFFFD5DA"/>
      </dataBar>
      <extLst>
        <ext xmlns:x14="http://schemas.microsoft.com/office/spreadsheetml/2009/9/main" uri="{B025F937-C7B1-47D3-B67F-A62EFF666E3E}">
          <x14:id>{04EF5821-48D4-407C-AD52-741F4AFC5B2A}</x14:id>
        </ext>
      </extLst>
    </cfRule>
  </conditionalFormatting>
  <conditionalFormatting sqref="V4 AB4 AH4 AN4 AT4">
    <cfRule type="dataBar" priority="1062">
      <dataBar>
        <cfvo type="num" val="0"/>
        <cfvo type="num" val="1"/>
        <color theme="9" tint="0.59999389629810485"/>
      </dataBar>
      <extLst>
        <ext xmlns:x14="http://schemas.microsoft.com/office/spreadsheetml/2009/9/main" uri="{B025F937-C7B1-47D3-B67F-A62EFF666E3E}">
          <x14:id>{B170FE19-F3EC-4B6E-8197-50E246A9E631}</x14:id>
        </ext>
      </extLst>
    </cfRule>
  </conditionalFormatting>
  <conditionalFormatting sqref="AB33">
    <cfRule type="dataBar" priority="1006">
      <dataBar>
        <cfvo type="num" val="0"/>
        <cfvo type="num" val="1"/>
        <color theme="9" tint="0.59999389629810485"/>
      </dataBar>
      <extLst>
        <ext xmlns:x14="http://schemas.microsoft.com/office/spreadsheetml/2009/9/main" uri="{B025F937-C7B1-47D3-B67F-A62EFF666E3E}">
          <x14:id>{CE199974-97E8-4531-A3E6-25C949812311}</x14:id>
        </ext>
      </extLst>
    </cfRule>
  </conditionalFormatting>
  <conditionalFormatting sqref="AB35">
    <cfRule type="dataBar" priority="967">
      <dataBar>
        <cfvo type="num" val="0"/>
        <cfvo type="num" val="1"/>
        <color theme="9" tint="0.59999389629810485"/>
      </dataBar>
      <extLst>
        <ext xmlns:x14="http://schemas.microsoft.com/office/spreadsheetml/2009/9/main" uri="{B025F937-C7B1-47D3-B67F-A62EFF666E3E}">
          <x14:id>{EF836D67-5940-4563-BA78-92FCFF360ED1}</x14:id>
        </ext>
      </extLst>
    </cfRule>
  </conditionalFormatting>
  <conditionalFormatting sqref="AB37">
    <cfRule type="dataBar" priority="928">
      <dataBar>
        <cfvo type="num" val="0"/>
        <cfvo type="num" val="1"/>
        <color theme="9" tint="0.59999389629810485"/>
      </dataBar>
      <extLst>
        <ext xmlns:x14="http://schemas.microsoft.com/office/spreadsheetml/2009/9/main" uri="{B025F937-C7B1-47D3-B67F-A62EFF666E3E}">
          <x14:id>{4035F1A0-1BEF-4ADA-9F2A-0D3024DE128E}</x14:id>
        </ext>
      </extLst>
    </cfRule>
  </conditionalFormatting>
  <conditionalFormatting sqref="AB39">
    <cfRule type="dataBar" priority="889">
      <dataBar>
        <cfvo type="num" val="0"/>
        <cfvo type="num" val="1"/>
        <color theme="9" tint="0.59999389629810485"/>
      </dataBar>
      <extLst>
        <ext xmlns:x14="http://schemas.microsoft.com/office/spreadsheetml/2009/9/main" uri="{B025F937-C7B1-47D3-B67F-A62EFF666E3E}">
          <x14:id>{12C37F17-4B8F-449C-BD3F-C9FCD84B89A3}</x14:id>
        </ext>
      </extLst>
    </cfRule>
  </conditionalFormatting>
  <conditionalFormatting sqref="AB41">
    <cfRule type="dataBar" priority="850">
      <dataBar>
        <cfvo type="num" val="0"/>
        <cfvo type="num" val="1"/>
        <color theme="9" tint="0.59999389629810485"/>
      </dataBar>
      <extLst>
        <ext xmlns:x14="http://schemas.microsoft.com/office/spreadsheetml/2009/9/main" uri="{B025F937-C7B1-47D3-B67F-A62EFF666E3E}">
          <x14:id>{0B2F2AB2-0CF6-457D-8699-8EDB236261D7}</x14:id>
        </ext>
      </extLst>
    </cfRule>
  </conditionalFormatting>
  <conditionalFormatting sqref="AB43">
    <cfRule type="dataBar" priority="805">
      <dataBar>
        <cfvo type="num" val="0"/>
        <cfvo type="num" val="1"/>
        <color theme="9" tint="0.59999389629810485"/>
      </dataBar>
      <extLst>
        <ext xmlns:x14="http://schemas.microsoft.com/office/spreadsheetml/2009/9/main" uri="{B025F937-C7B1-47D3-B67F-A62EFF666E3E}">
          <x14:id>{F448F964-A041-4AD2-8C32-7811B740AB10}</x14:id>
        </ext>
      </extLst>
    </cfRule>
  </conditionalFormatting>
  <conditionalFormatting sqref="AB45">
    <cfRule type="dataBar" priority="772">
      <dataBar>
        <cfvo type="num" val="0"/>
        <cfvo type="num" val="1"/>
        <color theme="9" tint="0.59999389629810485"/>
      </dataBar>
      <extLst>
        <ext xmlns:x14="http://schemas.microsoft.com/office/spreadsheetml/2009/9/main" uri="{B025F937-C7B1-47D3-B67F-A62EFF666E3E}">
          <x14:id>{4F25FD80-6574-4FD9-9F84-29C58BAFA210}</x14:id>
        </ext>
      </extLst>
    </cfRule>
  </conditionalFormatting>
  <conditionalFormatting sqref="AB47">
    <cfRule type="dataBar" priority="727">
      <dataBar>
        <cfvo type="num" val="0"/>
        <cfvo type="num" val="1"/>
        <color theme="9" tint="0.59999389629810485"/>
      </dataBar>
      <extLst>
        <ext xmlns:x14="http://schemas.microsoft.com/office/spreadsheetml/2009/9/main" uri="{B025F937-C7B1-47D3-B67F-A62EFF666E3E}">
          <x14:id>{619D0877-06EB-4BF5-8B91-8DE89EF7B3E0}</x14:id>
        </ext>
      </extLst>
    </cfRule>
  </conditionalFormatting>
  <conditionalFormatting sqref="AB49">
    <cfRule type="dataBar" priority="694">
      <dataBar>
        <cfvo type="num" val="0"/>
        <cfvo type="num" val="1"/>
        <color theme="9" tint="0.59999389629810485"/>
      </dataBar>
      <extLst>
        <ext xmlns:x14="http://schemas.microsoft.com/office/spreadsheetml/2009/9/main" uri="{B025F937-C7B1-47D3-B67F-A62EFF666E3E}">
          <x14:id>{90C132F7-99F4-4132-AED2-FD3A1AF34723}</x14:id>
        </ext>
      </extLst>
    </cfRule>
  </conditionalFormatting>
  <conditionalFormatting sqref="AB51">
    <cfRule type="dataBar" priority="649">
      <dataBar>
        <cfvo type="num" val="0"/>
        <cfvo type="num" val="1"/>
        <color theme="9" tint="0.59999389629810485"/>
      </dataBar>
      <extLst>
        <ext xmlns:x14="http://schemas.microsoft.com/office/spreadsheetml/2009/9/main" uri="{B025F937-C7B1-47D3-B67F-A62EFF666E3E}">
          <x14:id>{1BCF4905-B0A3-4E09-9D1E-BE15277F85E6}</x14:id>
        </ext>
      </extLst>
    </cfRule>
  </conditionalFormatting>
  <conditionalFormatting sqref="AB53">
    <cfRule type="dataBar" priority="616">
      <dataBar>
        <cfvo type="num" val="0"/>
        <cfvo type="num" val="1"/>
        <color theme="9" tint="0.59999389629810485"/>
      </dataBar>
      <extLst>
        <ext xmlns:x14="http://schemas.microsoft.com/office/spreadsheetml/2009/9/main" uri="{B025F937-C7B1-47D3-B67F-A62EFF666E3E}">
          <x14:id>{7D403C47-CC81-4987-9C80-F7890BD3D257}</x14:id>
        </ext>
      </extLst>
    </cfRule>
  </conditionalFormatting>
  <conditionalFormatting sqref="AB55">
    <cfRule type="dataBar" priority="571">
      <dataBar>
        <cfvo type="num" val="0"/>
        <cfvo type="num" val="1"/>
        <color theme="9" tint="0.59999389629810485"/>
      </dataBar>
      <extLst>
        <ext xmlns:x14="http://schemas.microsoft.com/office/spreadsheetml/2009/9/main" uri="{B025F937-C7B1-47D3-B67F-A62EFF666E3E}">
          <x14:id>{B83B85DD-CF0A-4944-81A9-0D46056FD3FA}</x14:id>
        </ext>
      </extLst>
    </cfRule>
  </conditionalFormatting>
  <conditionalFormatting sqref="AB57">
    <cfRule type="dataBar" priority="538">
      <dataBar>
        <cfvo type="num" val="0"/>
        <cfvo type="num" val="1"/>
        <color theme="9" tint="0.59999389629810485"/>
      </dataBar>
      <extLst>
        <ext xmlns:x14="http://schemas.microsoft.com/office/spreadsheetml/2009/9/main" uri="{B025F937-C7B1-47D3-B67F-A62EFF666E3E}">
          <x14:id>{D8C59676-B8E9-41E5-A130-AAF4FB9B8EE8}</x14:id>
        </ext>
      </extLst>
    </cfRule>
  </conditionalFormatting>
  <conditionalFormatting sqref="W4 AC4 AI4 AO4 AU4">
    <cfRule type="dataBar" priority="1061">
      <dataBar>
        <cfvo type="num" val="0"/>
        <cfvo type="num" val="1"/>
        <color theme="0" tint="-0.14999847407452621"/>
      </dataBar>
      <extLst>
        <ext xmlns:x14="http://schemas.microsoft.com/office/spreadsheetml/2009/9/main" uri="{B025F937-C7B1-47D3-B67F-A62EFF666E3E}">
          <x14:id>{D94F16C5-F191-4ACB-9F36-B19494B7B985}</x14:id>
        </ext>
      </extLst>
    </cfRule>
  </conditionalFormatting>
  <conditionalFormatting sqref="AC33">
    <cfRule type="dataBar" priority="1005">
      <dataBar>
        <cfvo type="num" val="0"/>
        <cfvo type="num" val="1"/>
        <color theme="0" tint="-0.14999847407452621"/>
      </dataBar>
      <extLst>
        <ext xmlns:x14="http://schemas.microsoft.com/office/spreadsheetml/2009/9/main" uri="{B025F937-C7B1-47D3-B67F-A62EFF666E3E}">
          <x14:id>{508EBD28-3590-447F-AC51-3337B230637B}</x14:id>
        </ext>
      </extLst>
    </cfRule>
  </conditionalFormatting>
  <conditionalFormatting sqref="AC35">
    <cfRule type="dataBar" priority="966">
      <dataBar>
        <cfvo type="num" val="0"/>
        <cfvo type="num" val="1"/>
        <color theme="0" tint="-0.14999847407452621"/>
      </dataBar>
      <extLst>
        <ext xmlns:x14="http://schemas.microsoft.com/office/spreadsheetml/2009/9/main" uri="{B025F937-C7B1-47D3-B67F-A62EFF666E3E}">
          <x14:id>{2855FDA0-1221-411E-A6EE-EDD17324D3E3}</x14:id>
        </ext>
      </extLst>
    </cfRule>
  </conditionalFormatting>
  <conditionalFormatting sqref="AC37">
    <cfRule type="dataBar" priority="927">
      <dataBar>
        <cfvo type="num" val="0"/>
        <cfvo type="num" val="1"/>
        <color theme="0" tint="-0.14999847407452621"/>
      </dataBar>
      <extLst>
        <ext xmlns:x14="http://schemas.microsoft.com/office/spreadsheetml/2009/9/main" uri="{B025F937-C7B1-47D3-B67F-A62EFF666E3E}">
          <x14:id>{9E5221FB-AC39-4672-BA9D-748EBBFCC6CA}</x14:id>
        </ext>
      </extLst>
    </cfRule>
  </conditionalFormatting>
  <conditionalFormatting sqref="AC39">
    <cfRule type="dataBar" priority="888">
      <dataBar>
        <cfvo type="num" val="0"/>
        <cfvo type="num" val="1"/>
        <color theme="0" tint="-0.14999847407452621"/>
      </dataBar>
      <extLst>
        <ext xmlns:x14="http://schemas.microsoft.com/office/spreadsheetml/2009/9/main" uri="{B025F937-C7B1-47D3-B67F-A62EFF666E3E}">
          <x14:id>{E3ED760E-BB35-453B-8D2D-5BC0598BC6FB}</x14:id>
        </ext>
      </extLst>
    </cfRule>
  </conditionalFormatting>
  <conditionalFormatting sqref="AC41">
    <cfRule type="dataBar" priority="849">
      <dataBar>
        <cfvo type="num" val="0"/>
        <cfvo type="num" val="1"/>
        <color theme="0" tint="-0.14999847407452621"/>
      </dataBar>
      <extLst>
        <ext xmlns:x14="http://schemas.microsoft.com/office/spreadsheetml/2009/9/main" uri="{B025F937-C7B1-47D3-B67F-A62EFF666E3E}">
          <x14:id>{30843A79-D6B0-44D1-A950-8DDFF5FD454F}</x14:id>
        </ext>
      </extLst>
    </cfRule>
  </conditionalFormatting>
  <conditionalFormatting sqref="AC43">
    <cfRule type="dataBar" priority="804">
      <dataBar>
        <cfvo type="num" val="0"/>
        <cfvo type="num" val="1"/>
        <color theme="0" tint="-0.14999847407452621"/>
      </dataBar>
      <extLst>
        <ext xmlns:x14="http://schemas.microsoft.com/office/spreadsheetml/2009/9/main" uri="{B025F937-C7B1-47D3-B67F-A62EFF666E3E}">
          <x14:id>{4866B727-C240-4C86-94C8-BC1EBF5DA861}</x14:id>
        </ext>
      </extLst>
    </cfRule>
  </conditionalFormatting>
  <conditionalFormatting sqref="AC45">
    <cfRule type="dataBar" priority="771">
      <dataBar>
        <cfvo type="num" val="0"/>
        <cfvo type="num" val="1"/>
        <color theme="0" tint="-0.14999847407452621"/>
      </dataBar>
      <extLst>
        <ext xmlns:x14="http://schemas.microsoft.com/office/spreadsheetml/2009/9/main" uri="{B025F937-C7B1-47D3-B67F-A62EFF666E3E}">
          <x14:id>{1B02AE8A-0124-4D4E-8FBE-5DEEAF721A2B}</x14:id>
        </ext>
      </extLst>
    </cfRule>
  </conditionalFormatting>
  <conditionalFormatting sqref="AC47">
    <cfRule type="dataBar" priority="726">
      <dataBar>
        <cfvo type="num" val="0"/>
        <cfvo type="num" val="1"/>
        <color theme="0" tint="-0.14999847407452621"/>
      </dataBar>
      <extLst>
        <ext xmlns:x14="http://schemas.microsoft.com/office/spreadsheetml/2009/9/main" uri="{B025F937-C7B1-47D3-B67F-A62EFF666E3E}">
          <x14:id>{1199F11E-9858-4F87-9C85-96770B95F2E9}</x14:id>
        </ext>
      </extLst>
    </cfRule>
  </conditionalFormatting>
  <conditionalFormatting sqref="AC49">
    <cfRule type="dataBar" priority="693">
      <dataBar>
        <cfvo type="num" val="0"/>
        <cfvo type="num" val="1"/>
        <color theme="0" tint="-0.14999847407452621"/>
      </dataBar>
      <extLst>
        <ext xmlns:x14="http://schemas.microsoft.com/office/spreadsheetml/2009/9/main" uri="{B025F937-C7B1-47D3-B67F-A62EFF666E3E}">
          <x14:id>{86139CC3-2762-40C8-A988-F3A7B9497F2B}</x14:id>
        </ext>
      </extLst>
    </cfRule>
  </conditionalFormatting>
  <conditionalFormatting sqref="AC51">
    <cfRule type="dataBar" priority="648">
      <dataBar>
        <cfvo type="num" val="0"/>
        <cfvo type="num" val="1"/>
        <color theme="0" tint="-0.14999847407452621"/>
      </dataBar>
      <extLst>
        <ext xmlns:x14="http://schemas.microsoft.com/office/spreadsheetml/2009/9/main" uri="{B025F937-C7B1-47D3-B67F-A62EFF666E3E}">
          <x14:id>{2C86FCA9-3BCA-40CB-8BA4-509D703760A1}</x14:id>
        </ext>
      </extLst>
    </cfRule>
  </conditionalFormatting>
  <conditionalFormatting sqref="AC53">
    <cfRule type="dataBar" priority="615">
      <dataBar>
        <cfvo type="num" val="0"/>
        <cfvo type="num" val="1"/>
        <color theme="0" tint="-0.14999847407452621"/>
      </dataBar>
      <extLst>
        <ext xmlns:x14="http://schemas.microsoft.com/office/spreadsheetml/2009/9/main" uri="{B025F937-C7B1-47D3-B67F-A62EFF666E3E}">
          <x14:id>{50535C70-BB6F-45A3-9B18-9B7031FE14ED}</x14:id>
        </ext>
      </extLst>
    </cfRule>
  </conditionalFormatting>
  <conditionalFormatting sqref="AC55">
    <cfRule type="dataBar" priority="570">
      <dataBar>
        <cfvo type="num" val="0"/>
        <cfvo type="num" val="1"/>
        <color theme="0" tint="-0.14999847407452621"/>
      </dataBar>
      <extLst>
        <ext xmlns:x14="http://schemas.microsoft.com/office/spreadsheetml/2009/9/main" uri="{B025F937-C7B1-47D3-B67F-A62EFF666E3E}">
          <x14:id>{0C78CEF7-B173-4CBA-96A1-D6CC71A3B1C4}</x14:id>
        </ext>
      </extLst>
    </cfRule>
  </conditionalFormatting>
  <conditionalFormatting sqref="AC57">
    <cfRule type="dataBar" priority="537">
      <dataBar>
        <cfvo type="num" val="0"/>
        <cfvo type="num" val="1"/>
        <color theme="0" tint="-0.14999847407452621"/>
      </dataBar>
      <extLst>
        <ext xmlns:x14="http://schemas.microsoft.com/office/spreadsheetml/2009/9/main" uri="{B025F937-C7B1-47D3-B67F-A62EFF666E3E}">
          <x14:id>{1B94B39A-056D-456B-8F78-277F2A131A79}</x14:id>
        </ext>
      </extLst>
    </cfRule>
  </conditionalFormatting>
  <conditionalFormatting sqref="AD33">
    <cfRule type="dataBar" priority="1001">
      <dataBar>
        <cfvo type="num" val="0"/>
        <cfvo type="num" val="1"/>
        <color rgb="FFFFD5DA"/>
      </dataBar>
      <extLst>
        <ext xmlns:x14="http://schemas.microsoft.com/office/spreadsheetml/2009/9/main" uri="{B025F937-C7B1-47D3-B67F-A62EFF666E3E}">
          <x14:id>{D41DF84E-855E-4414-9B2C-442004649EA9}</x14:id>
        </ext>
      </extLst>
    </cfRule>
  </conditionalFormatting>
  <conditionalFormatting sqref="AD35">
    <cfRule type="dataBar" priority="962">
      <dataBar>
        <cfvo type="num" val="0"/>
        <cfvo type="num" val="1"/>
        <color rgb="FFFFD5DA"/>
      </dataBar>
      <extLst>
        <ext xmlns:x14="http://schemas.microsoft.com/office/spreadsheetml/2009/9/main" uri="{B025F937-C7B1-47D3-B67F-A62EFF666E3E}">
          <x14:id>{748CA702-B31B-4375-BB34-4292502C7719}</x14:id>
        </ext>
      </extLst>
    </cfRule>
  </conditionalFormatting>
  <conditionalFormatting sqref="AD37">
    <cfRule type="dataBar" priority="923">
      <dataBar>
        <cfvo type="num" val="0"/>
        <cfvo type="num" val="1"/>
        <color rgb="FFFFD5DA"/>
      </dataBar>
      <extLst>
        <ext xmlns:x14="http://schemas.microsoft.com/office/spreadsheetml/2009/9/main" uri="{B025F937-C7B1-47D3-B67F-A62EFF666E3E}">
          <x14:id>{37D66A8F-71A6-4A81-8951-8A106A4BF29F}</x14:id>
        </ext>
      </extLst>
    </cfRule>
  </conditionalFormatting>
  <conditionalFormatting sqref="AD39">
    <cfRule type="dataBar" priority="884">
      <dataBar>
        <cfvo type="num" val="0"/>
        <cfvo type="num" val="1"/>
        <color rgb="FFFFD5DA"/>
      </dataBar>
      <extLst>
        <ext xmlns:x14="http://schemas.microsoft.com/office/spreadsheetml/2009/9/main" uri="{B025F937-C7B1-47D3-B67F-A62EFF666E3E}">
          <x14:id>{9449C52F-1718-4190-A2F7-6E47A80E4A47}</x14:id>
        </ext>
      </extLst>
    </cfRule>
  </conditionalFormatting>
  <conditionalFormatting sqref="AD41">
    <cfRule type="dataBar" priority="845">
      <dataBar>
        <cfvo type="num" val="0"/>
        <cfvo type="num" val="1"/>
        <color rgb="FFFFD5DA"/>
      </dataBar>
      <extLst>
        <ext xmlns:x14="http://schemas.microsoft.com/office/spreadsheetml/2009/9/main" uri="{B025F937-C7B1-47D3-B67F-A62EFF666E3E}">
          <x14:id>{FC61EA76-7343-448F-A156-F8F2D65A4A93}</x14:id>
        </ext>
      </extLst>
    </cfRule>
  </conditionalFormatting>
  <conditionalFormatting sqref="AD43">
    <cfRule type="dataBar" priority="806">
      <dataBar>
        <cfvo type="num" val="0"/>
        <cfvo type="num" val="1"/>
        <color rgb="FFFFD5DA"/>
      </dataBar>
      <extLst>
        <ext xmlns:x14="http://schemas.microsoft.com/office/spreadsheetml/2009/9/main" uri="{B025F937-C7B1-47D3-B67F-A62EFF666E3E}">
          <x14:id>{44EA49A7-76E1-4709-96BE-5EEEFE5A3D13}</x14:id>
        </ext>
      </extLst>
    </cfRule>
  </conditionalFormatting>
  <conditionalFormatting sqref="AD45">
    <cfRule type="dataBar" priority="767">
      <dataBar>
        <cfvo type="num" val="0"/>
        <cfvo type="num" val="1"/>
        <color rgb="FFFFD5DA"/>
      </dataBar>
      <extLst>
        <ext xmlns:x14="http://schemas.microsoft.com/office/spreadsheetml/2009/9/main" uri="{B025F937-C7B1-47D3-B67F-A62EFF666E3E}">
          <x14:id>{4995B5A2-3F37-454B-B84A-A62AC964F8A2}</x14:id>
        </ext>
      </extLst>
    </cfRule>
  </conditionalFormatting>
  <conditionalFormatting sqref="AD47">
    <cfRule type="dataBar" priority="728">
      <dataBar>
        <cfvo type="num" val="0"/>
        <cfvo type="num" val="1"/>
        <color rgb="FFFFD5DA"/>
      </dataBar>
      <extLst>
        <ext xmlns:x14="http://schemas.microsoft.com/office/spreadsheetml/2009/9/main" uri="{B025F937-C7B1-47D3-B67F-A62EFF666E3E}">
          <x14:id>{82BE1166-7515-496B-8ED6-FC9D9360E7F4}</x14:id>
        </ext>
      </extLst>
    </cfRule>
  </conditionalFormatting>
  <conditionalFormatting sqref="AD49">
    <cfRule type="dataBar" priority="689">
      <dataBar>
        <cfvo type="num" val="0"/>
        <cfvo type="num" val="1"/>
        <color rgb="FFFFD5DA"/>
      </dataBar>
      <extLst>
        <ext xmlns:x14="http://schemas.microsoft.com/office/spreadsheetml/2009/9/main" uri="{B025F937-C7B1-47D3-B67F-A62EFF666E3E}">
          <x14:id>{06B69C74-DEB2-45A4-BED7-B07B5B2E42BD}</x14:id>
        </ext>
      </extLst>
    </cfRule>
  </conditionalFormatting>
  <conditionalFormatting sqref="AD51">
    <cfRule type="dataBar" priority="650">
      <dataBar>
        <cfvo type="num" val="0"/>
        <cfvo type="num" val="1"/>
        <color rgb="FFFFD5DA"/>
      </dataBar>
      <extLst>
        <ext xmlns:x14="http://schemas.microsoft.com/office/spreadsheetml/2009/9/main" uri="{B025F937-C7B1-47D3-B67F-A62EFF666E3E}">
          <x14:id>{E6483663-CAF9-4A9C-A58D-F2F826A507DA}</x14:id>
        </ext>
      </extLst>
    </cfRule>
  </conditionalFormatting>
  <conditionalFormatting sqref="AD53">
    <cfRule type="dataBar" priority="611">
      <dataBar>
        <cfvo type="num" val="0"/>
        <cfvo type="num" val="1"/>
        <color rgb="FFFFD5DA"/>
      </dataBar>
      <extLst>
        <ext xmlns:x14="http://schemas.microsoft.com/office/spreadsheetml/2009/9/main" uri="{B025F937-C7B1-47D3-B67F-A62EFF666E3E}">
          <x14:id>{FC76BD12-FD10-4321-B97A-C8E359A9F091}</x14:id>
        </ext>
      </extLst>
    </cfRule>
  </conditionalFormatting>
  <conditionalFormatting sqref="AD55">
    <cfRule type="dataBar" priority="572">
      <dataBar>
        <cfvo type="num" val="0"/>
        <cfvo type="num" val="1"/>
        <color rgb="FFFFD5DA"/>
      </dataBar>
      <extLst>
        <ext xmlns:x14="http://schemas.microsoft.com/office/spreadsheetml/2009/9/main" uri="{B025F937-C7B1-47D3-B67F-A62EFF666E3E}">
          <x14:id>{A73821E5-49D4-47D7-9B21-1B3CB48D42FD}</x14:id>
        </ext>
      </extLst>
    </cfRule>
  </conditionalFormatting>
  <conditionalFormatting sqref="AD57">
    <cfRule type="dataBar" priority="533">
      <dataBar>
        <cfvo type="num" val="0"/>
        <cfvo type="num" val="1"/>
        <color rgb="FFFFD5DA"/>
      </dataBar>
      <extLst>
        <ext xmlns:x14="http://schemas.microsoft.com/office/spreadsheetml/2009/9/main" uri="{B025F937-C7B1-47D3-B67F-A62EFF666E3E}">
          <x14:id>{06CFF093-29E3-4A42-84A1-4E24028373D6}</x14:id>
        </ext>
      </extLst>
    </cfRule>
  </conditionalFormatting>
  <conditionalFormatting sqref="AE33">
    <cfRule type="dataBar" priority="1003">
      <dataBar>
        <cfvo type="num" val="0"/>
        <cfvo type="num" val="1"/>
        <color theme="9" tint="0.59999389629810485"/>
      </dataBar>
      <extLst>
        <ext xmlns:x14="http://schemas.microsoft.com/office/spreadsheetml/2009/9/main" uri="{B025F937-C7B1-47D3-B67F-A62EFF666E3E}">
          <x14:id>{C5333144-9D82-4D58-83DC-DE1A74749772}</x14:id>
        </ext>
      </extLst>
    </cfRule>
  </conditionalFormatting>
  <conditionalFormatting sqref="AE35">
    <cfRule type="dataBar" priority="964">
      <dataBar>
        <cfvo type="num" val="0"/>
        <cfvo type="num" val="1"/>
        <color theme="9" tint="0.59999389629810485"/>
      </dataBar>
      <extLst>
        <ext xmlns:x14="http://schemas.microsoft.com/office/spreadsheetml/2009/9/main" uri="{B025F937-C7B1-47D3-B67F-A62EFF666E3E}">
          <x14:id>{FBE3FE80-26BB-4857-AE87-6BA02E1F00B9}</x14:id>
        </ext>
      </extLst>
    </cfRule>
  </conditionalFormatting>
  <conditionalFormatting sqref="AE37">
    <cfRule type="dataBar" priority="925">
      <dataBar>
        <cfvo type="num" val="0"/>
        <cfvo type="num" val="1"/>
        <color theme="9" tint="0.59999389629810485"/>
      </dataBar>
      <extLst>
        <ext xmlns:x14="http://schemas.microsoft.com/office/spreadsheetml/2009/9/main" uri="{B025F937-C7B1-47D3-B67F-A62EFF666E3E}">
          <x14:id>{52C0DA2F-6407-4E16-98C3-15E3B13035F4}</x14:id>
        </ext>
      </extLst>
    </cfRule>
  </conditionalFormatting>
  <conditionalFormatting sqref="AE39">
    <cfRule type="dataBar" priority="886">
      <dataBar>
        <cfvo type="num" val="0"/>
        <cfvo type="num" val="1"/>
        <color theme="9" tint="0.59999389629810485"/>
      </dataBar>
      <extLst>
        <ext xmlns:x14="http://schemas.microsoft.com/office/spreadsheetml/2009/9/main" uri="{B025F937-C7B1-47D3-B67F-A62EFF666E3E}">
          <x14:id>{24516B64-1ADE-4ED7-AF41-689C45B803B2}</x14:id>
        </ext>
      </extLst>
    </cfRule>
  </conditionalFormatting>
  <conditionalFormatting sqref="AE41">
    <cfRule type="dataBar" priority="847">
      <dataBar>
        <cfvo type="num" val="0"/>
        <cfvo type="num" val="1"/>
        <color theme="9" tint="0.59999389629810485"/>
      </dataBar>
      <extLst>
        <ext xmlns:x14="http://schemas.microsoft.com/office/spreadsheetml/2009/9/main" uri="{B025F937-C7B1-47D3-B67F-A62EFF666E3E}">
          <x14:id>{212060A4-D0D6-411E-9EFD-D87F217861CB}</x14:id>
        </ext>
      </extLst>
    </cfRule>
  </conditionalFormatting>
  <conditionalFormatting sqref="AE43">
    <cfRule type="dataBar" priority="808">
      <dataBar>
        <cfvo type="num" val="0"/>
        <cfvo type="num" val="1"/>
        <color theme="9" tint="0.59999389629810485"/>
      </dataBar>
      <extLst>
        <ext xmlns:x14="http://schemas.microsoft.com/office/spreadsheetml/2009/9/main" uri="{B025F937-C7B1-47D3-B67F-A62EFF666E3E}">
          <x14:id>{7E86C140-B448-4A0B-9DEB-2FA5740DCD5C}</x14:id>
        </ext>
      </extLst>
    </cfRule>
  </conditionalFormatting>
  <conditionalFormatting sqref="AE45">
    <cfRule type="dataBar" priority="769">
      <dataBar>
        <cfvo type="num" val="0"/>
        <cfvo type="num" val="1"/>
        <color theme="9" tint="0.59999389629810485"/>
      </dataBar>
      <extLst>
        <ext xmlns:x14="http://schemas.microsoft.com/office/spreadsheetml/2009/9/main" uri="{B025F937-C7B1-47D3-B67F-A62EFF666E3E}">
          <x14:id>{8E6191B8-7EC0-4D35-9417-9A3744334944}</x14:id>
        </ext>
      </extLst>
    </cfRule>
  </conditionalFormatting>
  <conditionalFormatting sqref="AE47">
    <cfRule type="dataBar" priority="730">
      <dataBar>
        <cfvo type="num" val="0"/>
        <cfvo type="num" val="1"/>
        <color theme="9" tint="0.59999389629810485"/>
      </dataBar>
      <extLst>
        <ext xmlns:x14="http://schemas.microsoft.com/office/spreadsheetml/2009/9/main" uri="{B025F937-C7B1-47D3-B67F-A62EFF666E3E}">
          <x14:id>{62E7DE24-0CF1-4895-9369-3D38496CD9A0}</x14:id>
        </ext>
      </extLst>
    </cfRule>
  </conditionalFormatting>
  <conditionalFormatting sqref="AE49">
    <cfRule type="dataBar" priority="691">
      <dataBar>
        <cfvo type="num" val="0"/>
        <cfvo type="num" val="1"/>
        <color theme="9" tint="0.59999389629810485"/>
      </dataBar>
      <extLst>
        <ext xmlns:x14="http://schemas.microsoft.com/office/spreadsheetml/2009/9/main" uri="{B025F937-C7B1-47D3-B67F-A62EFF666E3E}">
          <x14:id>{9DDD012A-BD82-4AE4-B1D5-D81911673B46}</x14:id>
        </ext>
      </extLst>
    </cfRule>
  </conditionalFormatting>
  <conditionalFormatting sqref="AE51">
    <cfRule type="dataBar" priority="652">
      <dataBar>
        <cfvo type="num" val="0"/>
        <cfvo type="num" val="1"/>
        <color theme="9" tint="0.59999389629810485"/>
      </dataBar>
      <extLst>
        <ext xmlns:x14="http://schemas.microsoft.com/office/spreadsheetml/2009/9/main" uri="{B025F937-C7B1-47D3-B67F-A62EFF666E3E}">
          <x14:id>{2308FD79-D935-4D57-B5D8-249677B0E627}</x14:id>
        </ext>
      </extLst>
    </cfRule>
  </conditionalFormatting>
  <conditionalFormatting sqref="AE53">
    <cfRule type="dataBar" priority="613">
      <dataBar>
        <cfvo type="num" val="0"/>
        <cfvo type="num" val="1"/>
        <color theme="9" tint="0.59999389629810485"/>
      </dataBar>
      <extLst>
        <ext xmlns:x14="http://schemas.microsoft.com/office/spreadsheetml/2009/9/main" uri="{B025F937-C7B1-47D3-B67F-A62EFF666E3E}">
          <x14:id>{602F973A-06FA-447F-B04D-BC6F24AD8B29}</x14:id>
        </ext>
      </extLst>
    </cfRule>
  </conditionalFormatting>
  <conditionalFormatting sqref="AE55">
    <cfRule type="dataBar" priority="574">
      <dataBar>
        <cfvo type="num" val="0"/>
        <cfvo type="num" val="1"/>
        <color theme="9" tint="0.59999389629810485"/>
      </dataBar>
      <extLst>
        <ext xmlns:x14="http://schemas.microsoft.com/office/spreadsheetml/2009/9/main" uri="{B025F937-C7B1-47D3-B67F-A62EFF666E3E}">
          <x14:id>{D2CFB6C0-5794-4619-AFCC-11FB4527FBF5}</x14:id>
        </ext>
      </extLst>
    </cfRule>
  </conditionalFormatting>
  <conditionalFormatting sqref="AE57">
    <cfRule type="dataBar" priority="535">
      <dataBar>
        <cfvo type="num" val="0"/>
        <cfvo type="num" val="1"/>
        <color theme="9" tint="0.59999389629810485"/>
      </dataBar>
      <extLst>
        <ext xmlns:x14="http://schemas.microsoft.com/office/spreadsheetml/2009/9/main" uri="{B025F937-C7B1-47D3-B67F-A62EFF666E3E}">
          <x14:id>{080B0C7A-1BED-41F0-B820-F95E51B2C3FD}</x14:id>
        </ext>
      </extLst>
    </cfRule>
  </conditionalFormatting>
  <conditionalFormatting sqref="AF33">
    <cfRule type="dataBar" priority="1002">
      <dataBar>
        <cfvo type="num" val="0"/>
        <cfvo type="num" val="1"/>
        <color theme="0" tint="-0.14999847407452621"/>
      </dataBar>
      <extLst>
        <ext xmlns:x14="http://schemas.microsoft.com/office/spreadsheetml/2009/9/main" uri="{B025F937-C7B1-47D3-B67F-A62EFF666E3E}">
          <x14:id>{E1DFA467-CA17-4D49-BF1F-CDBF769F36C7}</x14:id>
        </ext>
      </extLst>
    </cfRule>
  </conditionalFormatting>
  <conditionalFormatting sqref="AF35">
    <cfRule type="dataBar" priority="963">
      <dataBar>
        <cfvo type="num" val="0"/>
        <cfvo type="num" val="1"/>
        <color theme="0" tint="-0.14999847407452621"/>
      </dataBar>
      <extLst>
        <ext xmlns:x14="http://schemas.microsoft.com/office/spreadsheetml/2009/9/main" uri="{B025F937-C7B1-47D3-B67F-A62EFF666E3E}">
          <x14:id>{57279BF7-0079-4209-8444-82B769A5790D}</x14:id>
        </ext>
      </extLst>
    </cfRule>
  </conditionalFormatting>
  <conditionalFormatting sqref="AF37">
    <cfRule type="dataBar" priority="924">
      <dataBar>
        <cfvo type="num" val="0"/>
        <cfvo type="num" val="1"/>
        <color theme="0" tint="-0.14999847407452621"/>
      </dataBar>
      <extLst>
        <ext xmlns:x14="http://schemas.microsoft.com/office/spreadsheetml/2009/9/main" uri="{B025F937-C7B1-47D3-B67F-A62EFF666E3E}">
          <x14:id>{090BBEE5-D836-4866-92C0-44FD383A4E8F}</x14:id>
        </ext>
      </extLst>
    </cfRule>
  </conditionalFormatting>
  <conditionalFormatting sqref="AF39">
    <cfRule type="dataBar" priority="885">
      <dataBar>
        <cfvo type="num" val="0"/>
        <cfvo type="num" val="1"/>
        <color theme="0" tint="-0.14999847407452621"/>
      </dataBar>
      <extLst>
        <ext xmlns:x14="http://schemas.microsoft.com/office/spreadsheetml/2009/9/main" uri="{B025F937-C7B1-47D3-B67F-A62EFF666E3E}">
          <x14:id>{3B905355-0A51-49B0-A7A4-4B9391B5A22D}</x14:id>
        </ext>
      </extLst>
    </cfRule>
  </conditionalFormatting>
  <conditionalFormatting sqref="AF41">
    <cfRule type="dataBar" priority="846">
      <dataBar>
        <cfvo type="num" val="0"/>
        <cfvo type="num" val="1"/>
        <color theme="0" tint="-0.14999847407452621"/>
      </dataBar>
      <extLst>
        <ext xmlns:x14="http://schemas.microsoft.com/office/spreadsheetml/2009/9/main" uri="{B025F937-C7B1-47D3-B67F-A62EFF666E3E}">
          <x14:id>{026B006F-38E6-44F5-87EC-6C32E8132891}</x14:id>
        </ext>
      </extLst>
    </cfRule>
  </conditionalFormatting>
  <conditionalFormatting sqref="AF43">
    <cfRule type="dataBar" priority="807">
      <dataBar>
        <cfvo type="num" val="0"/>
        <cfvo type="num" val="1"/>
        <color theme="0" tint="-0.14999847407452621"/>
      </dataBar>
      <extLst>
        <ext xmlns:x14="http://schemas.microsoft.com/office/spreadsheetml/2009/9/main" uri="{B025F937-C7B1-47D3-B67F-A62EFF666E3E}">
          <x14:id>{DFD26F41-F60F-4EB8-B41D-DA9F63E8A00A}</x14:id>
        </ext>
      </extLst>
    </cfRule>
  </conditionalFormatting>
  <conditionalFormatting sqref="AF45">
    <cfRule type="dataBar" priority="768">
      <dataBar>
        <cfvo type="num" val="0"/>
        <cfvo type="num" val="1"/>
        <color theme="0" tint="-0.14999847407452621"/>
      </dataBar>
      <extLst>
        <ext xmlns:x14="http://schemas.microsoft.com/office/spreadsheetml/2009/9/main" uri="{B025F937-C7B1-47D3-B67F-A62EFF666E3E}">
          <x14:id>{C3A23FC8-6150-4C62-AFE9-188A2986CE7A}</x14:id>
        </ext>
      </extLst>
    </cfRule>
  </conditionalFormatting>
  <conditionalFormatting sqref="AF47">
    <cfRule type="dataBar" priority="729">
      <dataBar>
        <cfvo type="num" val="0"/>
        <cfvo type="num" val="1"/>
        <color theme="0" tint="-0.14999847407452621"/>
      </dataBar>
      <extLst>
        <ext xmlns:x14="http://schemas.microsoft.com/office/spreadsheetml/2009/9/main" uri="{B025F937-C7B1-47D3-B67F-A62EFF666E3E}">
          <x14:id>{5737C42F-030B-47C8-A46F-7DC7F3B97020}</x14:id>
        </ext>
      </extLst>
    </cfRule>
  </conditionalFormatting>
  <conditionalFormatting sqref="AF49">
    <cfRule type="dataBar" priority="690">
      <dataBar>
        <cfvo type="num" val="0"/>
        <cfvo type="num" val="1"/>
        <color theme="0" tint="-0.14999847407452621"/>
      </dataBar>
      <extLst>
        <ext xmlns:x14="http://schemas.microsoft.com/office/spreadsheetml/2009/9/main" uri="{B025F937-C7B1-47D3-B67F-A62EFF666E3E}">
          <x14:id>{C1C6FA9E-B10D-499A-BC89-B9F1A196B349}</x14:id>
        </ext>
      </extLst>
    </cfRule>
  </conditionalFormatting>
  <conditionalFormatting sqref="AF51">
    <cfRule type="dataBar" priority="651">
      <dataBar>
        <cfvo type="num" val="0"/>
        <cfvo type="num" val="1"/>
        <color theme="0" tint="-0.14999847407452621"/>
      </dataBar>
      <extLst>
        <ext xmlns:x14="http://schemas.microsoft.com/office/spreadsheetml/2009/9/main" uri="{B025F937-C7B1-47D3-B67F-A62EFF666E3E}">
          <x14:id>{C3D4426F-5BAE-4ED7-9D65-6FC211307C76}</x14:id>
        </ext>
      </extLst>
    </cfRule>
  </conditionalFormatting>
  <conditionalFormatting sqref="AF53">
    <cfRule type="dataBar" priority="612">
      <dataBar>
        <cfvo type="num" val="0"/>
        <cfvo type="num" val="1"/>
        <color theme="0" tint="-0.14999847407452621"/>
      </dataBar>
      <extLst>
        <ext xmlns:x14="http://schemas.microsoft.com/office/spreadsheetml/2009/9/main" uri="{B025F937-C7B1-47D3-B67F-A62EFF666E3E}">
          <x14:id>{41E12C0A-5A84-46FD-8656-08C3A2D804D1}</x14:id>
        </ext>
      </extLst>
    </cfRule>
  </conditionalFormatting>
  <conditionalFormatting sqref="AF55">
    <cfRule type="dataBar" priority="573">
      <dataBar>
        <cfvo type="num" val="0"/>
        <cfvo type="num" val="1"/>
        <color theme="0" tint="-0.14999847407452621"/>
      </dataBar>
      <extLst>
        <ext xmlns:x14="http://schemas.microsoft.com/office/spreadsheetml/2009/9/main" uri="{B025F937-C7B1-47D3-B67F-A62EFF666E3E}">
          <x14:id>{4DA67C6B-FDF2-44EE-AB94-0D6FF80F4AB6}</x14:id>
        </ext>
      </extLst>
    </cfRule>
  </conditionalFormatting>
  <conditionalFormatting sqref="AF57">
    <cfRule type="dataBar" priority="534">
      <dataBar>
        <cfvo type="num" val="0"/>
        <cfvo type="num" val="1"/>
        <color theme="0" tint="-0.14999847407452621"/>
      </dataBar>
      <extLst>
        <ext xmlns:x14="http://schemas.microsoft.com/office/spreadsheetml/2009/9/main" uri="{B025F937-C7B1-47D3-B67F-A62EFF666E3E}">
          <x14:id>{82065667-9A99-49C9-AA14-ABC93EE251BB}</x14:id>
        </ext>
      </extLst>
    </cfRule>
  </conditionalFormatting>
  <conditionalFormatting sqref="AG33">
    <cfRule type="dataBar" priority="998">
      <dataBar>
        <cfvo type="num" val="0"/>
        <cfvo type="num" val="1"/>
        <color rgb="FFFFD5DA"/>
      </dataBar>
      <extLst>
        <ext xmlns:x14="http://schemas.microsoft.com/office/spreadsheetml/2009/9/main" uri="{B025F937-C7B1-47D3-B67F-A62EFF666E3E}">
          <x14:id>{F46AA4C6-C686-4FCF-A81A-B829C43EFE4C}</x14:id>
        </ext>
      </extLst>
    </cfRule>
  </conditionalFormatting>
  <conditionalFormatting sqref="AG35">
    <cfRule type="dataBar" priority="959">
      <dataBar>
        <cfvo type="num" val="0"/>
        <cfvo type="num" val="1"/>
        <color rgb="FFFFD5DA"/>
      </dataBar>
      <extLst>
        <ext xmlns:x14="http://schemas.microsoft.com/office/spreadsheetml/2009/9/main" uri="{B025F937-C7B1-47D3-B67F-A62EFF666E3E}">
          <x14:id>{34ACC73C-E78B-402C-9C32-C4C4EC0F03F2}</x14:id>
        </ext>
      </extLst>
    </cfRule>
  </conditionalFormatting>
  <conditionalFormatting sqref="AG37">
    <cfRule type="dataBar" priority="920">
      <dataBar>
        <cfvo type="num" val="0"/>
        <cfvo type="num" val="1"/>
        <color rgb="FFFFD5DA"/>
      </dataBar>
      <extLst>
        <ext xmlns:x14="http://schemas.microsoft.com/office/spreadsheetml/2009/9/main" uri="{B025F937-C7B1-47D3-B67F-A62EFF666E3E}">
          <x14:id>{BF9EC7A0-41EA-41AC-BA21-3397BCC14065}</x14:id>
        </ext>
      </extLst>
    </cfRule>
  </conditionalFormatting>
  <conditionalFormatting sqref="AG39">
    <cfRule type="dataBar" priority="881">
      <dataBar>
        <cfvo type="num" val="0"/>
        <cfvo type="num" val="1"/>
        <color rgb="FFFFD5DA"/>
      </dataBar>
      <extLst>
        <ext xmlns:x14="http://schemas.microsoft.com/office/spreadsheetml/2009/9/main" uri="{B025F937-C7B1-47D3-B67F-A62EFF666E3E}">
          <x14:id>{01450806-F864-4C15-9B67-2D1EEBC830D2}</x14:id>
        </ext>
      </extLst>
    </cfRule>
  </conditionalFormatting>
  <conditionalFormatting sqref="AG41">
    <cfRule type="dataBar" priority="842">
      <dataBar>
        <cfvo type="num" val="0"/>
        <cfvo type="num" val="1"/>
        <color rgb="FFFFD5DA"/>
      </dataBar>
      <extLst>
        <ext xmlns:x14="http://schemas.microsoft.com/office/spreadsheetml/2009/9/main" uri="{B025F937-C7B1-47D3-B67F-A62EFF666E3E}">
          <x14:id>{2A4FB7D5-3FD5-4465-8E81-1DE400730688}</x14:id>
        </ext>
      </extLst>
    </cfRule>
  </conditionalFormatting>
  <conditionalFormatting sqref="AG43">
    <cfRule type="dataBar" priority="809">
      <dataBar>
        <cfvo type="num" val="0"/>
        <cfvo type="num" val="1"/>
        <color rgb="FFFFD5DA"/>
      </dataBar>
      <extLst>
        <ext xmlns:x14="http://schemas.microsoft.com/office/spreadsheetml/2009/9/main" uri="{B025F937-C7B1-47D3-B67F-A62EFF666E3E}">
          <x14:id>{5C001AD0-DA94-40F0-B00E-8AB212EED31E}</x14:id>
        </ext>
      </extLst>
    </cfRule>
  </conditionalFormatting>
  <conditionalFormatting sqref="AG45">
    <cfRule type="dataBar" priority="764">
      <dataBar>
        <cfvo type="num" val="0"/>
        <cfvo type="num" val="1"/>
        <color rgb="FFFFD5DA"/>
      </dataBar>
      <extLst>
        <ext xmlns:x14="http://schemas.microsoft.com/office/spreadsheetml/2009/9/main" uri="{B025F937-C7B1-47D3-B67F-A62EFF666E3E}">
          <x14:id>{724CD0A5-9701-47FE-9ECF-265222568D95}</x14:id>
        </ext>
      </extLst>
    </cfRule>
  </conditionalFormatting>
  <conditionalFormatting sqref="AG47">
    <cfRule type="dataBar" priority="731">
      <dataBar>
        <cfvo type="num" val="0"/>
        <cfvo type="num" val="1"/>
        <color rgb="FFFFD5DA"/>
      </dataBar>
      <extLst>
        <ext xmlns:x14="http://schemas.microsoft.com/office/spreadsheetml/2009/9/main" uri="{B025F937-C7B1-47D3-B67F-A62EFF666E3E}">
          <x14:id>{7CEB0B89-C779-4902-B098-E43939280EE9}</x14:id>
        </ext>
      </extLst>
    </cfRule>
  </conditionalFormatting>
  <conditionalFormatting sqref="AG49">
    <cfRule type="dataBar" priority="686">
      <dataBar>
        <cfvo type="num" val="0"/>
        <cfvo type="num" val="1"/>
        <color rgb="FFFFD5DA"/>
      </dataBar>
      <extLst>
        <ext xmlns:x14="http://schemas.microsoft.com/office/spreadsheetml/2009/9/main" uri="{B025F937-C7B1-47D3-B67F-A62EFF666E3E}">
          <x14:id>{4E76A677-5F7F-411F-B5C9-B0BE4E76458E}</x14:id>
        </ext>
      </extLst>
    </cfRule>
  </conditionalFormatting>
  <conditionalFormatting sqref="AG51">
    <cfRule type="dataBar" priority="653">
      <dataBar>
        <cfvo type="num" val="0"/>
        <cfvo type="num" val="1"/>
        <color rgb="FFFFD5DA"/>
      </dataBar>
      <extLst>
        <ext xmlns:x14="http://schemas.microsoft.com/office/spreadsheetml/2009/9/main" uri="{B025F937-C7B1-47D3-B67F-A62EFF666E3E}">
          <x14:id>{EA698A9B-6FAB-41E6-B289-DBFB96CB39E4}</x14:id>
        </ext>
      </extLst>
    </cfRule>
  </conditionalFormatting>
  <conditionalFormatting sqref="AG53">
    <cfRule type="dataBar" priority="608">
      <dataBar>
        <cfvo type="num" val="0"/>
        <cfvo type="num" val="1"/>
        <color rgb="FFFFD5DA"/>
      </dataBar>
      <extLst>
        <ext xmlns:x14="http://schemas.microsoft.com/office/spreadsheetml/2009/9/main" uri="{B025F937-C7B1-47D3-B67F-A62EFF666E3E}">
          <x14:id>{AFBF9B7C-B838-4D27-8059-D5694A71871A}</x14:id>
        </ext>
      </extLst>
    </cfRule>
  </conditionalFormatting>
  <conditionalFormatting sqref="AG55">
    <cfRule type="dataBar" priority="575">
      <dataBar>
        <cfvo type="num" val="0"/>
        <cfvo type="num" val="1"/>
        <color rgb="FFFFD5DA"/>
      </dataBar>
      <extLst>
        <ext xmlns:x14="http://schemas.microsoft.com/office/spreadsheetml/2009/9/main" uri="{B025F937-C7B1-47D3-B67F-A62EFF666E3E}">
          <x14:id>{445BE6CD-E437-4EF4-952E-140B871B6377}</x14:id>
        </ext>
      </extLst>
    </cfRule>
  </conditionalFormatting>
  <conditionalFormatting sqref="AG57">
    <cfRule type="dataBar" priority="530">
      <dataBar>
        <cfvo type="num" val="0"/>
        <cfvo type="num" val="1"/>
        <color rgb="FFFFD5DA"/>
      </dataBar>
      <extLst>
        <ext xmlns:x14="http://schemas.microsoft.com/office/spreadsheetml/2009/9/main" uri="{B025F937-C7B1-47D3-B67F-A62EFF666E3E}">
          <x14:id>{34ACCB65-B604-4B29-8CB8-DD3B7613584C}</x14:id>
        </ext>
      </extLst>
    </cfRule>
  </conditionalFormatting>
  <conditionalFormatting sqref="AH33">
    <cfRule type="dataBar" priority="1000">
      <dataBar>
        <cfvo type="num" val="0"/>
        <cfvo type="num" val="1"/>
        <color theme="9" tint="0.59999389629810485"/>
      </dataBar>
      <extLst>
        <ext xmlns:x14="http://schemas.microsoft.com/office/spreadsheetml/2009/9/main" uri="{B025F937-C7B1-47D3-B67F-A62EFF666E3E}">
          <x14:id>{40AC01F8-3160-49AA-91CA-231C8DF1CC25}</x14:id>
        </ext>
      </extLst>
    </cfRule>
  </conditionalFormatting>
  <conditionalFormatting sqref="AH35">
    <cfRule type="dataBar" priority="961">
      <dataBar>
        <cfvo type="num" val="0"/>
        <cfvo type="num" val="1"/>
        <color theme="9" tint="0.59999389629810485"/>
      </dataBar>
      <extLst>
        <ext xmlns:x14="http://schemas.microsoft.com/office/spreadsheetml/2009/9/main" uri="{B025F937-C7B1-47D3-B67F-A62EFF666E3E}">
          <x14:id>{00268164-CD21-4898-926E-AD6FE85F6326}</x14:id>
        </ext>
      </extLst>
    </cfRule>
  </conditionalFormatting>
  <conditionalFormatting sqref="AH37">
    <cfRule type="dataBar" priority="922">
      <dataBar>
        <cfvo type="num" val="0"/>
        <cfvo type="num" val="1"/>
        <color theme="9" tint="0.59999389629810485"/>
      </dataBar>
      <extLst>
        <ext xmlns:x14="http://schemas.microsoft.com/office/spreadsheetml/2009/9/main" uri="{B025F937-C7B1-47D3-B67F-A62EFF666E3E}">
          <x14:id>{E350FE4D-33AF-46F7-BBDC-DBD79699C6C7}</x14:id>
        </ext>
      </extLst>
    </cfRule>
  </conditionalFormatting>
  <conditionalFormatting sqref="AH39">
    <cfRule type="dataBar" priority="883">
      <dataBar>
        <cfvo type="num" val="0"/>
        <cfvo type="num" val="1"/>
        <color theme="9" tint="0.59999389629810485"/>
      </dataBar>
      <extLst>
        <ext xmlns:x14="http://schemas.microsoft.com/office/spreadsheetml/2009/9/main" uri="{B025F937-C7B1-47D3-B67F-A62EFF666E3E}">
          <x14:id>{5A4F952B-27E1-4EB7-B8D4-6E915AD553C1}</x14:id>
        </ext>
      </extLst>
    </cfRule>
  </conditionalFormatting>
  <conditionalFormatting sqref="AH41">
    <cfRule type="dataBar" priority="844">
      <dataBar>
        <cfvo type="num" val="0"/>
        <cfvo type="num" val="1"/>
        <color theme="9" tint="0.59999389629810485"/>
      </dataBar>
      <extLst>
        <ext xmlns:x14="http://schemas.microsoft.com/office/spreadsheetml/2009/9/main" uri="{B025F937-C7B1-47D3-B67F-A62EFF666E3E}">
          <x14:id>{965399D4-2625-4721-BEF8-A369C1A850DC}</x14:id>
        </ext>
      </extLst>
    </cfRule>
  </conditionalFormatting>
  <conditionalFormatting sqref="AH43">
    <cfRule type="dataBar" priority="811">
      <dataBar>
        <cfvo type="num" val="0"/>
        <cfvo type="num" val="1"/>
        <color theme="9" tint="0.59999389629810485"/>
      </dataBar>
      <extLst>
        <ext xmlns:x14="http://schemas.microsoft.com/office/spreadsheetml/2009/9/main" uri="{B025F937-C7B1-47D3-B67F-A62EFF666E3E}">
          <x14:id>{289223EA-DC32-45E0-97EB-015B51E564B6}</x14:id>
        </ext>
      </extLst>
    </cfRule>
  </conditionalFormatting>
  <conditionalFormatting sqref="AH45">
    <cfRule type="dataBar" priority="766">
      <dataBar>
        <cfvo type="num" val="0"/>
        <cfvo type="num" val="1"/>
        <color theme="9" tint="0.59999389629810485"/>
      </dataBar>
      <extLst>
        <ext xmlns:x14="http://schemas.microsoft.com/office/spreadsheetml/2009/9/main" uri="{B025F937-C7B1-47D3-B67F-A62EFF666E3E}">
          <x14:id>{B60916B0-A26F-4E3A-B485-B2D4BADDB78D}</x14:id>
        </ext>
      </extLst>
    </cfRule>
  </conditionalFormatting>
  <conditionalFormatting sqref="AH47">
    <cfRule type="dataBar" priority="733">
      <dataBar>
        <cfvo type="num" val="0"/>
        <cfvo type="num" val="1"/>
        <color theme="9" tint="0.59999389629810485"/>
      </dataBar>
      <extLst>
        <ext xmlns:x14="http://schemas.microsoft.com/office/spreadsheetml/2009/9/main" uri="{B025F937-C7B1-47D3-B67F-A62EFF666E3E}">
          <x14:id>{CE8E0ABD-B82C-4EE6-8AB7-33B323579653}</x14:id>
        </ext>
      </extLst>
    </cfRule>
  </conditionalFormatting>
  <conditionalFormatting sqref="AH49">
    <cfRule type="dataBar" priority="688">
      <dataBar>
        <cfvo type="num" val="0"/>
        <cfvo type="num" val="1"/>
        <color theme="9" tint="0.59999389629810485"/>
      </dataBar>
      <extLst>
        <ext xmlns:x14="http://schemas.microsoft.com/office/spreadsheetml/2009/9/main" uri="{B025F937-C7B1-47D3-B67F-A62EFF666E3E}">
          <x14:id>{D7520005-A3D0-4706-A748-99977264AD97}</x14:id>
        </ext>
      </extLst>
    </cfRule>
  </conditionalFormatting>
  <conditionalFormatting sqref="AH51">
    <cfRule type="dataBar" priority="655">
      <dataBar>
        <cfvo type="num" val="0"/>
        <cfvo type="num" val="1"/>
        <color theme="9" tint="0.59999389629810485"/>
      </dataBar>
      <extLst>
        <ext xmlns:x14="http://schemas.microsoft.com/office/spreadsheetml/2009/9/main" uri="{B025F937-C7B1-47D3-B67F-A62EFF666E3E}">
          <x14:id>{B09DDB40-505D-489F-8A8A-19DA6F468145}</x14:id>
        </ext>
      </extLst>
    </cfRule>
  </conditionalFormatting>
  <conditionalFormatting sqref="AH53">
    <cfRule type="dataBar" priority="610">
      <dataBar>
        <cfvo type="num" val="0"/>
        <cfvo type="num" val="1"/>
        <color theme="9" tint="0.59999389629810485"/>
      </dataBar>
      <extLst>
        <ext xmlns:x14="http://schemas.microsoft.com/office/spreadsheetml/2009/9/main" uri="{B025F937-C7B1-47D3-B67F-A62EFF666E3E}">
          <x14:id>{F6711CE1-4F36-40DB-AB53-E3E941B9E5BE}</x14:id>
        </ext>
      </extLst>
    </cfRule>
  </conditionalFormatting>
  <conditionalFormatting sqref="AH55">
    <cfRule type="dataBar" priority="577">
      <dataBar>
        <cfvo type="num" val="0"/>
        <cfvo type="num" val="1"/>
        <color theme="9" tint="0.59999389629810485"/>
      </dataBar>
      <extLst>
        <ext xmlns:x14="http://schemas.microsoft.com/office/spreadsheetml/2009/9/main" uri="{B025F937-C7B1-47D3-B67F-A62EFF666E3E}">
          <x14:id>{717B1318-42B4-44E2-8CFD-920F82D9FF09}</x14:id>
        </ext>
      </extLst>
    </cfRule>
  </conditionalFormatting>
  <conditionalFormatting sqref="AH57">
    <cfRule type="dataBar" priority="532">
      <dataBar>
        <cfvo type="num" val="0"/>
        <cfvo type="num" val="1"/>
        <color theme="9" tint="0.59999389629810485"/>
      </dataBar>
      <extLst>
        <ext xmlns:x14="http://schemas.microsoft.com/office/spreadsheetml/2009/9/main" uri="{B025F937-C7B1-47D3-B67F-A62EFF666E3E}">
          <x14:id>{CBD0FADC-C649-47FA-BD47-DEE92B88D0ED}</x14:id>
        </ext>
      </extLst>
    </cfRule>
  </conditionalFormatting>
  <conditionalFormatting sqref="AI33">
    <cfRule type="dataBar" priority="999">
      <dataBar>
        <cfvo type="num" val="0"/>
        <cfvo type="num" val="1"/>
        <color theme="0" tint="-0.14999847407452621"/>
      </dataBar>
      <extLst>
        <ext xmlns:x14="http://schemas.microsoft.com/office/spreadsheetml/2009/9/main" uri="{B025F937-C7B1-47D3-B67F-A62EFF666E3E}">
          <x14:id>{5423944F-F626-4718-B2B0-4C7EB7D0C641}</x14:id>
        </ext>
      </extLst>
    </cfRule>
  </conditionalFormatting>
  <conditionalFormatting sqref="AI35">
    <cfRule type="dataBar" priority="960">
      <dataBar>
        <cfvo type="num" val="0"/>
        <cfvo type="num" val="1"/>
        <color theme="0" tint="-0.14999847407452621"/>
      </dataBar>
      <extLst>
        <ext xmlns:x14="http://schemas.microsoft.com/office/spreadsheetml/2009/9/main" uri="{B025F937-C7B1-47D3-B67F-A62EFF666E3E}">
          <x14:id>{D41B0E14-C928-4E53-B9A3-AB3FFFCAAB63}</x14:id>
        </ext>
      </extLst>
    </cfRule>
  </conditionalFormatting>
  <conditionalFormatting sqref="AI37">
    <cfRule type="dataBar" priority="921">
      <dataBar>
        <cfvo type="num" val="0"/>
        <cfvo type="num" val="1"/>
        <color theme="0" tint="-0.14999847407452621"/>
      </dataBar>
      <extLst>
        <ext xmlns:x14="http://schemas.microsoft.com/office/spreadsheetml/2009/9/main" uri="{B025F937-C7B1-47D3-B67F-A62EFF666E3E}">
          <x14:id>{F21FAF77-0773-4267-92B2-9106ACD95A0D}</x14:id>
        </ext>
      </extLst>
    </cfRule>
  </conditionalFormatting>
  <conditionalFormatting sqref="AI39">
    <cfRule type="dataBar" priority="882">
      <dataBar>
        <cfvo type="num" val="0"/>
        <cfvo type="num" val="1"/>
        <color theme="0" tint="-0.14999847407452621"/>
      </dataBar>
      <extLst>
        <ext xmlns:x14="http://schemas.microsoft.com/office/spreadsheetml/2009/9/main" uri="{B025F937-C7B1-47D3-B67F-A62EFF666E3E}">
          <x14:id>{4AD0CAE9-3E6F-4F12-B787-EC6777CF1865}</x14:id>
        </ext>
      </extLst>
    </cfRule>
  </conditionalFormatting>
  <conditionalFormatting sqref="AI41">
    <cfRule type="dataBar" priority="843">
      <dataBar>
        <cfvo type="num" val="0"/>
        <cfvo type="num" val="1"/>
        <color theme="0" tint="-0.14999847407452621"/>
      </dataBar>
      <extLst>
        <ext xmlns:x14="http://schemas.microsoft.com/office/spreadsheetml/2009/9/main" uri="{B025F937-C7B1-47D3-B67F-A62EFF666E3E}">
          <x14:id>{A0F0D5CE-DB17-4482-B9C9-6DE6B9ABBF6E}</x14:id>
        </ext>
      </extLst>
    </cfRule>
  </conditionalFormatting>
  <conditionalFormatting sqref="AI43">
    <cfRule type="dataBar" priority="810">
      <dataBar>
        <cfvo type="num" val="0"/>
        <cfvo type="num" val="1"/>
        <color theme="0" tint="-0.14999847407452621"/>
      </dataBar>
      <extLst>
        <ext xmlns:x14="http://schemas.microsoft.com/office/spreadsheetml/2009/9/main" uri="{B025F937-C7B1-47D3-B67F-A62EFF666E3E}">
          <x14:id>{75EABC26-0BE9-4C5C-B613-D884594AE487}</x14:id>
        </ext>
      </extLst>
    </cfRule>
  </conditionalFormatting>
  <conditionalFormatting sqref="AI45">
    <cfRule type="dataBar" priority="765">
      <dataBar>
        <cfvo type="num" val="0"/>
        <cfvo type="num" val="1"/>
        <color theme="0" tint="-0.14999847407452621"/>
      </dataBar>
      <extLst>
        <ext xmlns:x14="http://schemas.microsoft.com/office/spreadsheetml/2009/9/main" uri="{B025F937-C7B1-47D3-B67F-A62EFF666E3E}">
          <x14:id>{388D2CF3-03F1-480B-871E-2F3F1CB868DC}</x14:id>
        </ext>
      </extLst>
    </cfRule>
  </conditionalFormatting>
  <conditionalFormatting sqref="AI47">
    <cfRule type="dataBar" priority="732">
      <dataBar>
        <cfvo type="num" val="0"/>
        <cfvo type="num" val="1"/>
        <color theme="0" tint="-0.14999847407452621"/>
      </dataBar>
      <extLst>
        <ext xmlns:x14="http://schemas.microsoft.com/office/spreadsheetml/2009/9/main" uri="{B025F937-C7B1-47D3-B67F-A62EFF666E3E}">
          <x14:id>{52F53A22-BDF8-4D5A-9F7C-D6D0D0675126}</x14:id>
        </ext>
      </extLst>
    </cfRule>
  </conditionalFormatting>
  <conditionalFormatting sqref="AI49">
    <cfRule type="dataBar" priority="687">
      <dataBar>
        <cfvo type="num" val="0"/>
        <cfvo type="num" val="1"/>
        <color theme="0" tint="-0.14999847407452621"/>
      </dataBar>
      <extLst>
        <ext xmlns:x14="http://schemas.microsoft.com/office/spreadsheetml/2009/9/main" uri="{B025F937-C7B1-47D3-B67F-A62EFF666E3E}">
          <x14:id>{5C7DB796-4AA3-4F37-BC79-B7B566970830}</x14:id>
        </ext>
      </extLst>
    </cfRule>
  </conditionalFormatting>
  <conditionalFormatting sqref="AI51">
    <cfRule type="dataBar" priority="654">
      <dataBar>
        <cfvo type="num" val="0"/>
        <cfvo type="num" val="1"/>
        <color theme="0" tint="-0.14999847407452621"/>
      </dataBar>
      <extLst>
        <ext xmlns:x14="http://schemas.microsoft.com/office/spreadsheetml/2009/9/main" uri="{B025F937-C7B1-47D3-B67F-A62EFF666E3E}">
          <x14:id>{276BD156-F5EC-44B5-AE29-C0DACAFAFB5C}</x14:id>
        </ext>
      </extLst>
    </cfRule>
  </conditionalFormatting>
  <conditionalFormatting sqref="AI53">
    <cfRule type="dataBar" priority="609">
      <dataBar>
        <cfvo type="num" val="0"/>
        <cfvo type="num" val="1"/>
        <color theme="0" tint="-0.14999847407452621"/>
      </dataBar>
      <extLst>
        <ext xmlns:x14="http://schemas.microsoft.com/office/spreadsheetml/2009/9/main" uri="{B025F937-C7B1-47D3-B67F-A62EFF666E3E}">
          <x14:id>{D5299B89-ECC3-45DC-9B83-DD9189AFDFDC}</x14:id>
        </ext>
      </extLst>
    </cfRule>
  </conditionalFormatting>
  <conditionalFormatting sqref="AI55">
    <cfRule type="dataBar" priority="576">
      <dataBar>
        <cfvo type="num" val="0"/>
        <cfvo type="num" val="1"/>
        <color theme="0" tint="-0.14999847407452621"/>
      </dataBar>
      <extLst>
        <ext xmlns:x14="http://schemas.microsoft.com/office/spreadsheetml/2009/9/main" uri="{B025F937-C7B1-47D3-B67F-A62EFF666E3E}">
          <x14:id>{2BB2F27F-D8B8-4A9F-8AD6-CE251DC95B13}</x14:id>
        </ext>
      </extLst>
    </cfRule>
  </conditionalFormatting>
  <conditionalFormatting sqref="AI57">
    <cfRule type="dataBar" priority="531">
      <dataBar>
        <cfvo type="num" val="0"/>
        <cfvo type="num" val="1"/>
        <color theme="0" tint="-0.14999847407452621"/>
      </dataBar>
      <extLst>
        <ext xmlns:x14="http://schemas.microsoft.com/office/spreadsheetml/2009/9/main" uri="{B025F937-C7B1-47D3-B67F-A62EFF666E3E}">
          <x14:id>{49F60787-C01D-4B07-B3CB-0CD33005B1BE}</x14:id>
        </ext>
      </extLst>
    </cfRule>
  </conditionalFormatting>
  <conditionalFormatting sqref="AJ33">
    <cfRule type="dataBar" priority="995">
      <dataBar>
        <cfvo type="num" val="0"/>
        <cfvo type="num" val="1"/>
        <color rgb="FFFFD5DA"/>
      </dataBar>
      <extLst>
        <ext xmlns:x14="http://schemas.microsoft.com/office/spreadsheetml/2009/9/main" uri="{B025F937-C7B1-47D3-B67F-A62EFF666E3E}">
          <x14:id>{F4CA7BCE-6ADD-4A28-9828-176ECD2AF06D}</x14:id>
        </ext>
      </extLst>
    </cfRule>
  </conditionalFormatting>
  <conditionalFormatting sqref="AJ35">
    <cfRule type="dataBar" priority="956">
      <dataBar>
        <cfvo type="num" val="0"/>
        <cfvo type="num" val="1"/>
        <color rgb="FFFFD5DA"/>
      </dataBar>
      <extLst>
        <ext xmlns:x14="http://schemas.microsoft.com/office/spreadsheetml/2009/9/main" uri="{B025F937-C7B1-47D3-B67F-A62EFF666E3E}">
          <x14:id>{8DE355EB-5650-48A2-B35C-32D6345B39A7}</x14:id>
        </ext>
      </extLst>
    </cfRule>
  </conditionalFormatting>
  <conditionalFormatting sqref="AJ37">
    <cfRule type="dataBar" priority="917">
      <dataBar>
        <cfvo type="num" val="0"/>
        <cfvo type="num" val="1"/>
        <color rgb="FFFFD5DA"/>
      </dataBar>
      <extLst>
        <ext xmlns:x14="http://schemas.microsoft.com/office/spreadsheetml/2009/9/main" uri="{B025F937-C7B1-47D3-B67F-A62EFF666E3E}">
          <x14:id>{4776052F-28E0-498C-86B2-3CB11390B20C}</x14:id>
        </ext>
      </extLst>
    </cfRule>
  </conditionalFormatting>
  <conditionalFormatting sqref="AJ39">
    <cfRule type="dataBar" priority="878">
      <dataBar>
        <cfvo type="num" val="0"/>
        <cfvo type="num" val="1"/>
        <color rgb="FFFFD5DA"/>
      </dataBar>
      <extLst>
        <ext xmlns:x14="http://schemas.microsoft.com/office/spreadsheetml/2009/9/main" uri="{B025F937-C7B1-47D3-B67F-A62EFF666E3E}">
          <x14:id>{A3D2855C-D39E-459A-9FA4-002F675E9F2A}</x14:id>
        </ext>
      </extLst>
    </cfRule>
  </conditionalFormatting>
  <conditionalFormatting sqref="AJ41">
    <cfRule type="dataBar" priority="839">
      <dataBar>
        <cfvo type="num" val="0"/>
        <cfvo type="num" val="1"/>
        <color rgb="FFFFD5DA"/>
      </dataBar>
      <extLst>
        <ext xmlns:x14="http://schemas.microsoft.com/office/spreadsheetml/2009/9/main" uri="{B025F937-C7B1-47D3-B67F-A62EFF666E3E}">
          <x14:id>{4882E151-1298-4C70-AC58-BCC44053C374}</x14:id>
        </ext>
      </extLst>
    </cfRule>
  </conditionalFormatting>
  <conditionalFormatting sqref="AJ43">
    <cfRule type="dataBar" priority="812">
      <dataBar>
        <cfvo type="num" val="0"/>
        <cfvo type="num" val="1"/>
        <color rgb="FFFFD5DA"/>
      </dataBar>
      <extLst>
        <ext xmlns:x14="http://schemas.microsoft.com/office/spreadsheetml/2009/9/main" uri="{B025F937-C7B1-47D3-B67F-A62EFF666E3E}">
          <x14:id>{C471A9DF-540A-4ECF-A5B9-BB35A6315CFD}</x14:id>
        </ext>
      </extLst>
    </cfRule>
  </conditionalFormatting>
  <conditionalFormatting sqref="AJ45">
    <cfRule type="dataBar" priority="761">
      <dataBar>
        <cfvo type="num" val="0"/>
        <cfvo type="num" val="1"/>
        <color rgb="FFFFD5DA"/>
      </dataBar>
      <extLst>
        <ext xmlns:x14="http://schemas.microsoft.com/office/spreadsheetml/2009/9/main" uri="{B025F937-C7B1-47D3-B67F-A62EFF666E3E}">
          <x14:id>{B3EA6952-5E4C-4F93-888A-2757E78D723B}</x14:id>
        </ext>
      </extLst>
    </cfRule>
  </conditionalFormatting>
  <conditionalFormatting sqref="AJ47">
    <cfRule type="dataBar" priority="734">
      <dataBar>
        <cfvo type="num" val="0"/>
        <cfvo type="num" val="1"/>
        <color rgb="FFFFD5DA"/>
      </dataBar>
      <extLst>
        <ext xmlns:x14="http://schemas.microsoft.com/office/spreadsheetml/2009/9/main" uri="{B025F937-C7B1-47D3-B67F-A62EFF666E3E}">
          <x14:id>{0FB47440-2F99-4CB8-8DBC-B5DACDDE8F86}</x14:id>
        </ext>
      </extLst>
    </cfRule>
  </conditionalFormatting>
  <conditionalFormatting sqref="AJ49">
    <cfRule type="dataBar" priority="683">
      <dataBar>
        <cfvo type="num" val="0"/>
        <cfvo type="num" val="1"/>
        <color rgb="FFFFD5DA"/>
      </dataBar>
      <extLst>
        <ext xmlns:x14="http://schemas.microsoft.com/office/spreadsheetml/2009/9/main" uri="{B025F937-C7B1-47D3-B67F-A62EFF666E3E}">
          <x14:id>{ACC81B8A-185F-4675-BAB2-4E2333B92B78}</x14:id>
        </ext>
      </extLst>
    </cfRule>
  </conditionalFormatting>
  <conditionalFormatting sqref="AJ51">
    <cfRule type="dataBar" priority="656">
      <dataBar>
        <cfvo type="num" val="0"/>
        <cfvo type="num" val="1"/>
        <color rgb="FFFFD5DA"/>
      </dataBar>
      <extLst>
        <ext xmlns:x14="http://schemas.microsoft.com/office/spreadsheetml/2009/9/main" uri="{B025F937-C7B1-47D3-B67F-A62EFF666E3E}">
          <x14:id>{218EA1C7-66B1-4ED4-9BC8-83546819DABC}</x14:id>
        </ext>
      </extLst>
    </cfRule>
  </conditionalFormatting>
  <conditionalFormatting sqref="AJ53">
    <cfRule type="dataBar" priority="605">
      <dataBar>
        <cfvo type="num" val="0"/>
        <cfvo type="num" val="1"/>
        <color rgb="FFFFD5DA"/>
      </dataBar>
      <extLst>
        <ext xmlns:x14="http://schemas.microsoft.com/office/spreadsheetml/2009/9/main" uri="{B025F937-C7B1-47D3-B67F-A62EFF666E3E}">
          <x14:id>{9D07FE8F-BE20-4A9D-BFA0-3A7530F38325}</x14:id>
        </ext>
      </extLst>
    </cfRule>
  </conditionalFormatting>
  <conditionalFormatting sqref="AJ55">
    <cfRule type="dataBar" priority="578">
      <dataBar>
        <cfvo type="num" val="0"/>
        <cfvo type="num" val="1"/>
        <color rgb="FFFFD5DA"/>
      </dataBar>
      <extLst>
        <ext xmlns:x14="http://schemas.microsoft.com/office/spreadsheetml/2009/9/main" uri="{B025F937-C7B1-47D3-B67F-A62EFF666E3E}">
          <x14:id>{7D2ED0F5-958B-4347-B844-8C05BA35B63C}</x14:id>
        </ext>
      </extLst>
    </cfRule>
  </conditionalFormatting>
  <conditionalFormatting sqref="AJ57">
    <cfRule type="dataBar" priority="527">
      <dataBar>
        <cfvo type="num" val="0"/>
        <cfvo type="num" val="1"/>
        <color rgb="FFFFD5DA"/>
      </dataBar>
      <extLst>
        <ext xmlns:x14="http://schemas.microsoft.com/office/spreadsheetml/2009/9/main" uri="{B025F937-C7B1-47D3-B67F-A62EFF666E3E}">
          <x14:id>{EF67F160-6C86-46D7-AA5F-B1325824D90F}</x14:id>
        </ext>
      </extLst>
    </cfRule>
  </conditionalFormatting>
  <conditionalFormatting sqref="AK33">
    <cfRule type="dataBar" priority="997">
      <dataBar>
        <cfvo type="num" val="0"/>
        <cfvo type="num" val="1"/>
        <color theme="9" tint="0.59999389629810485"/>
      </dataBar>
      <extLst>
        <ext xmlns:x14="http://schemas.microsoft.com/office/spreadsheetml/2009/9/main" uri="{B025F937-C7B1-47D3-B67F-A62EFF666E3E}">
          <x14:id>{3CC1CE71-7A2E-4CAD-83EF-4A40B026B32C}</x14:id>
        </ext>
      </extLst>
    </cfRule>
  </conditionalFormatting>
  <conditionalFormatting sqref="AK35">
    <cfRule type="dataBar" priority="958">
      <dataBar>
        <cfvo type="num" val="0"/>
        <cfvo type="num" val="1"/>
        <color theme="9" tint="0.59999389629810485"/>
      </dataBar>
      <extLst>
        <ext xmlns:x14="http://schemas.microsoft.com/office/spreadsheetml/2009/9/main" uri="{B025F937-C7B1-47D3-B67F-A62EFF666E3E}">
          <x14:id>{D6F42A10-5B2F-4080-95B5-18A9ADE6C6E4}</x14:id>
        </ext>
      </extLst>
    </cfRule>
  </conditionalFormatting>
  <conditionalFormatting sqref="AK37">
    <cfRule type="dataBar" priority="919">
      <dataBar>
        <cfvo type="num" val="0"/>
        <cfvo type="num" val="1"/>
        <color theme="9" tint="0.59999389629810485"/>
      </dataBar>
      <extLst>
        <ext xmlns:x14="http://schemas.microsoft.com/office/spreadsheetml/2009/9/main" uri="{B025F937-C7B1-47D3-B67F-A62EFF666E3E}">
          <x14:id>{FCEA0F51-F568-4B60-A66A-BFFAB73DAFC9}</x14:id>
        </ext>
      </extLst>
    </cfRule>
  </conditionalFormatting>
  <conditionalFormatting sqref="AK39">
    <cfRule type="dataBar" priority="880">
      <dataBar>
        <cfvo type="num" val="0"/>
        <cfvo type="num" val="1"/>
        <color theme="9" tint="0.59999389629810485"/>
      </dataBar>
      <extLst>
        <ext xmlns:x14="http://schemas.microsoft.com/office/spreadsheetml/2009/9/main" uri="{B025F937-C7B1-47D3-B67F-A62EFF666E3E}">
          <x14:id>{CA4A886E-FE4D-40C0-8682-20EA8A94E111}</x14:id>
        </ext>
      </extLst>
    </cfRule>
  </conditionalFormatting>
  <conditionalFormatting sqref="AK41">
    <cfRule type="dataBar" priority="841">
      <dataBar>
        <cfvo type="num" val="0"/>
        <cfvo type="num" val="1"/>
        <color theme="9" tint="0.59999389629810485"/>
      </dataBar>
      <extLst>
        <ext xmlns:x14="http://schemas.microsoft.com/office/spreadsheetml/2009/9/main" uri="{B025F937-C7B1-47D3-B67F-A62EFF666E3E}">
          <x14:id>{C89EA7D6-AB93-46D4-890E-4F5C13023216}</x14:id>
        </ext>
      </extLst>
    </cfRule>
  </conditionalFormatting>
  <conditionalFormatting sqref="AK43">
    <cfRule type="dataBar" priority="814">
      <dataBar>
        <cfvo type="num" val="0"/>
        <cfvo type="num" val="1"/>
        <color theme="9" tint="0.59999389629810485"/>
      </dataBar>
      <extLst>
        <ext xmlns:x14="http://schemas.microsoft.com/office/spreadsheetml/2009/9/main" uri="{B025F937-C7B1-47D3-B67F-A62EFF666E3E}">
          <x14:id>{2AB10BBF-0C79-44EF-B758-D61F5EBB7BD7}</x14:id>
        </ext>
      </extLst>
    </cfRule>
  </conditionalFormatting>
  <conditionalFormatting sqref="AK45">
    <cfRule type="dataBar" priority="763">
      <dataBar>
        <cfvo type="num" val="0"/>
        <cfvo type="num" val="1"/>
        <color theme="9" tint="0.59999389629810485"/>
      </dataBar>
      <extLst>
        <ext xmlns:x14="http://schemas.microsoft.com/office/spreadsheetml/2009/9/main" uri="{B025F937-C7B1-47D3-B67F-A62EFF666E3E}">
          <x14:id>{4F62D5FA-6CB5-4DD8-AF59-F1FF3788CEE6}</x14:id>
        </ext>
      </extLst>
    </cfRule>
  </conditionalFormatting>
  <conditionalFormatting sqref="AK47">
    <cfRule type="dataBar" priority="736">
      <dataBar>
        <cfvo type="num" val="0"/>
        <cfvo type="num" val="1"/>
        <color theme="9" tint="0.59999389629810485"/>
      </dataBar>
      <extLst>
        <ext xmlns:x14="http://schemas.microsoft.com/office/spreadsheetml/2009/9/main" uri="{B025F937-C7B1-47D3-B67F-A62EFF666E3E}">
          <x14:id>{3C9A62E5-104C-47D9-A9DE-3C2FC3A0212E}</x14:id>
        </ext>
      </extLst>
    </cfRule>
  </conditionalFormatting>
  <conditionalFormatting sqref="AK49">
    <cfRule type="dataBar" priority="685">
      <dataBar>
        <cfvo type="num" val="0"/>
        <cfvo type="num" val="1"/>
        <color theme="9" tint="0.59999389629810485"/>
      </dataBar>
      <extLst>
        <ext xmlns:x14="http://schemas.microsoft.com/office/spreadsheetml/2009/9/main" uri="{B025F937-C7B1-47D3-B67F-A62EFF666E3E}">
          <x14:id>{C8D3A1D8-CC86-463D-97FA-1DE4497968B3}</x14:id>
        </ext>
      </extLst>
    </cfRule>
  </conditionalFormatting>
  <conditionalFormatting sqref="AK51">
    <cfRule type="dataBar" priority="658">
      <dataBar>
        <cfvo type="num" val="0"/>
        <cfvo type="num" val="1"/>
        <color theme="9" tint="0.59999389629810485"/>
      </dataBar>
      <extLst>
        <ext xmlns:x14="http://schemas.microsoft.com/office/spreadsheetml/2009/9/main" uri="{B025F937-C7B1-47D3-B67F-A62EFF666E3E}">
          <x14:id>{E8E7949F-CFA6-4393-9043-59FD69F262CC}</x14:id>
        </ext>
      </extLst>
    </cfRule>
  </conditionalFormatting>
  <conditionalFormatting sqref="AK53">
    <cfRule type="dataBar" priority="607">
      <dataBar>
        <cfvo type="num" val="0"/>
        <cfvo type="num" val="1"/>
        <color theme="9" tint="0.59999389629810485"/>
      </dataBar>
      <extLst>
        <ext xmlns:x14="http://schemas.microsoft.com/office/spreadsheetml/2009/9/main" uri="{B025F937-C7B1-47D3-B67F-A62EFF666E3E}">
          <x14:id>{AFF8FA53-0B48-497B-B80B-6151A1E63539}</x14:id>
        </ext>
      </extLst>
    </cfRule>
  </conditionalFormatting>
  <conditionalFormatting sqref="AK55">
    <cfRule type="dataBar" priority="580">
      <dataBar>
        <cfvo type="num" val="0"/>
        <cfvo type="num" val="1"/>
        <color theme="9" tint="0.59999389629810485"/>
      </dataBar>
      <extLst>
        <ext xmlns:x14="http://schemas.microsoft.com/office/spreadsheetml/2009/9/main" uri="{B025F937-C7B1-47D3-B67F-A62EFF666E3E}">
          <x14:id>{23788BF6-4A17-4983-91D9-F63D41B2E04D}</x14:id>
        </ext>
      </extLst>
    </cfRule>
  </conditionalFormatting>
  <conditionalFormatting sqref="AK57">
    <cfRule type="dataBar" priority="529">
      <dataBar>
        <cfvo type="num" val="0"/>
        <cfvo type="num" val="1"/>
        <color theme="9" tint="0.59999389629810485"/>
      </dataBar>
      <extLst>
        <ext xmlns:x14="http://schemas.microsoft.com/office/spreadsheetml/2009/9/main" uri="{B025F937-C7B1-47D3-B67F-A62EFF666E3E}">
          <x14:id>{3296917F-8ECC-49CE-BA61-4CCB677F0C54}</x14:id>
        </ext>
      </extLst>
    </cfRule>
  </conditionalFormatting>
  <conditionalFormatting sqref="AL33">
    <cfRule type="dataBar" priority="996">
      <dataBar>
        <cfvo type="num" val="0"/>
        <cfvo type="num" val="1"/>
        <color theme="0" tint="-0.14999847407452621"/>
      </dataBar>
      <extLst>
        <ext xmlns:x14="http://schemas.microsoft.com/office/spreadsheetml/2009/9/main" uri="{B025F937-C7B1-47D3-B67F-A62EFF666E3E}">
          <x14:id>{CED0C011-534C-444A-8865-1FA934970CBE}</x14:id>
        </ext>
      </extLst>
    </cfRule>
  </conditionalFormatting>
  <conditionalFormatting sqref="AL35">
    <cfRule type="dataBar" priority="957">
      <dataBar>
        <cfvo type="num" val="0"/>
        <cfvo type="num" val="1"/>
        <color theme="0" tint="-0.14999847407452621"/>
      </dataBar>
      <extLst>
        <ext xmlns:x14="http://schemas.microsoft.com/office/spreadsheetml/2009/9/main" uri="{B025F937-C7B1-47D3-B67F-A62EFF666E3E}">
          <x14:id>{ADFF62E0-9D93-4C0D-9354-B533C07F59B0}</x14:id>
        </ext>
      </extLst>
    </cfRule>
  </conditionalFormatting>
  <conditionalFormatting sqref="AL37">
    <cfRule type="dataBar" priority="918">
      <dataBar>
        <cfvo type="num" val="0"/>
        <cfvo type="num" val="1"/>
        <color theme="0" tint="-0.14999847407452621"/>
      </dataBar>
      <extLst>
        <ext xmlns:x14="http://schemas.microsoft.com/office/spreadsheetml/2009/9/main" uri="{B025F937-C7B1-47D3-B67F-A62EFF666E3E}">
          <x14:id>{00F25A7B-142A-4505-89B2-971EAC7BF517}</x14:id>
        </ext>
      </extLst>
    </cfRule>
  </conditionalFormatting>
  <conditionalFormatting sqref="AL39">
    <cfRule type="dataBar" priority="879">
      <dataBar>
        <cfvo type="num" val="0"/>
        <cfvo type="num" val="1"/>
        <color theme="0" tint="-0.14999847407452621"/>
      </dataBar>
      <extLst>
        <ext xmlns:x14="http://schemas.microsoft.com/office/spreadsheetml/2009/9/main" uri="{B025F937-C7B1-47D3-B67F-A62EFF666E3E}">
          <x14:id>{08BB2BDE-676A-4E7F-B2C8-723963715D65}</x14:id>
        </ext>
      </extLst>
    </cfRule>
  </conditionalFormatting>
  <conditionalFormatting sqref="AL41">
    <cfRule type="dataBar" priority="840">
      <dataBar>
        <cfvo type="num" val="0"/>
        <cfvo type="num" val="1"/>
        <color theme="0" tint="-0.14999847407452621"/>
      </dataBar>
      <extLst>
        <ext xmlns:x14="http://schemas.microsoft.com/office/spreadsheetml/2009/9/main" uri="{B025F937-C7B1-47D3-B67F-A62EFF666E3E}">
          <x14:id>{141D14C7-FD28-4B97-8508-8BE78618D4FD}</x14:id>
        </ext>
      </extLst>
    </cfRule>
  </conditionalFormatting>
  <conditionalFormatting sqref="AL43">
    <cfRule type="dataBar" priority="813">
      <dataBar>
        <cfvo type="num" val="0"/>
        <cfvo type="num" val="1"/>
        <color theme="0" tint="-0.14999847407452621"/>
      </dataBar>
      <extLst>
        <ext xmlns:x14="http://schemas.microsoft.com/office/spreadsheetml/2009/9/main" uri="{B025F937-C7B1-47D3-B67F-A62EFF666E3E}">
          <x14:id>{9C7F94DB-042A-4B6F-B17A-0FD80E00E23C}</x14:id>
        </ext>
      </extLst>
    </cfRule>
  </conditionalFormatting>
  <conditionalFormatting sqref="AL45">
    <cfRule type="dataBar" priority="762">
      <dataBar>
        <cfvo type="num" val="0"/>
        <cfvo type="num" val="1"/>
        <color theme="0" tint="-0.14999847407452621"/>
      </dataBar>
      <extLst>
        <ext xmlns:x14="http://schemas.microsoft.com/office/spreadsheetml/2009/9/main" uri="{B025F937-C7B1-47D3-B67F-A62EFF666E3E}">
          <x14:id>{00D131AF-DEDB-435B-832E-43F3F2EDACBD}</x14:id>
        </ext>
      </extLst>
    </cfRule>
  </conditionalFormatting>
  <conditionalFormatting sqref="AL47">
    <cfRule type="dataBar" priority="735">
      <dataBar>
        <cfvo type="num" val="0"/>
        <cfvo type="num" val="1"/>
        <color theme="0" tint="-0.14999847407452621"/>
      </dataBar>
      <extLst>
        <ext xmlns:x14="http://schemas.microsoft.com/office/spreadsheetml/2009/9/main" uri="{B025F937-C7B1-47D3-B67F-A62EFF666E3E}">
          <x14:id>{9CBA94E9-AB3A-4873-B1B5-D3E80E6BD827}</x14:id>
        </ext>
      </extLst>
    </cfRule>
  </conditionalFormatting>
  <conditionalFormatting sqref="AL49">
    <cfRule type="dataBar" priority="684">
      <dataBar>
        <cfvo type="num" val="0"/>
        <cfvo type="num" val="1"/>
        <color theme="0" tint="-0.14999847407452621"/>
      </dataBar>
      <extLst>
        <ext xmlns:x14="http://schemas.microsoft.com/office/spreadsheetml/2009/9/main" uri="{B025F937-C7B1-47D3-B67F-A62EFF666E3E}">
          <x14:id>{07F056C6-7D77-47A6-853B-58ADAE7DE227}</x14:id>
        </ext>
      </extLst>
    </cfRule>
  </conditionalFormatting>
  <conditionalFormatting sqref="AL51">
    <cfRule type="dataBar" priority="657">
      <dataBar>
        <cfvo type="num" val="0"/>
        <cfvo type="num" val="1"/>
        <color theme="0" tint="-0.14999847407452621"/>
      </dataBar>
      <extLst>
        <ext xmlns:x14="http://schemas.microsoft.com/office/spreadsheetml/2009/9/main" uri="{B025F937-C7B1-47D3-B67F-A62EFF666E3E}">
          <x14:id>{C547F087-6F6B-4E23-A6AE-6D266221F4C8}</x14:id>
        </ext>
      </extLst>
    </cfRule>
  </conditionalFormatting>
  <conditionalFormatting sqref="AL53">
    <cfRule type="dataBar" priority="606">
      <dataBar>
        <cfvo type="num" val="0"/>
        <cfvo type="num" val="1"/>
        <color theme="0" tint="-0.14999847407452621"/>
      </dataBar>
      <extLst>
        <ext xmlns:x14="http://schemas.microsoft.com/office/spreadsheetml/2009/9/main" uri="{B025F937-C7B1-47D3-B67F-A62EFF666E3E}">
          <x14:id>{03983E5E-E4EB-4693-B0A6-580FC25D25F4}</x14:id>
        </ext>
      </extLst>
    </cfRule>
  </conditionalFormatting>
  <conditionalFormatting sqref="AL55">
    <cfRule type="dataBar" priority="579">
      <dataBar>
        <cfvo type="num" val="0"/>
        <cfvo type="num" val="1"/>
        <color theme="0" tint="-0.14999847407452621"/>
      </dataBar>
      <extLst>
        <ext xmlns:x14="http://schemas.microsoft.com/office/spreadsheetml/2009/9/main" uri="{B025F937-C7B1-47D3-B67F-A62EFF666E3E}">
          <x14:id>{5A92FB00-6E90-4D79-A202-1E5D18869132}</x14:id>
        </ext>
      </extLst>
    </cfRule>
  </conditionalFormatting>
  <conditionalFormatting sqref="AL57">
    <cfRule type="dataBar" priority="528">
      <dataBar>
        <cfvo type="num" val="0"/>
        <cfvo type="num" val="1"/>
        <color theme="0" tint="-0.14999847407452621"/>
      </dataBar>
      <extLst>
        <ext xmlns:x14="http://schemas.microsoft.com/office/spreadsheetml/2009/9/main" uri="{B025F937-C7B1-47D3-B67F-A62EFF666E3E}">
          <x14:id>{4BEE339A-58DB-45F3-A360-8E5A9AD48B82}</x14:id>
        </ext>
      </extLst>
    </cfRule>
  </conditionalFormatting>
  <conditionalFormatting sqref="AM33">
    <cfRule type="dataBar" priority="992">
      <dataBar>
        <cfvo type="num" val="0"/>
        <cfvo type="num" val="1"/>
        <color rgb="FFFFD5DA"/>
      </dataBar>
      <extLst>
        <ext xmlns:x14="http://schemas.microsoft.com/office/spreadsheetml/2009/9/main" uri="{B025F937-C7B1-47D3-B67F-A62EFF666E3E}">
          <x14:id>{2D9DE715-E6D1-4F07-8C5F-FD4F16D20984}</x14:id>
        </ext>
      </extLst>
    </cfRule>
  </conditionalFormatting>
  <conditionalFormatting sqref="AM35">
    <cfRule type="dataBar" priority="953">
      <dataBar>
        <cfvo type="num" val="0"/>
        <cfvo type="num" val="1"/>
        <color rgb="FFFFD5DA"/>
      </dataBar>
      <extLst>
        <ext xmlns:x14="http://schemas.microsoft.com/office/spreadsheetml/2009/9/main" uri="{B025F937-C7B1-47D3-B67F-A62EFF666E3E}">
          <x14:id>{5DF5EC08-3345-4A7E-9329-83927AA0FD7D}</x14:id>
        </ext>
      </extLst>
    </cfRule>
  </conditionalFormatting>
  <conditionalFormatting sqref="AM37">
    <cfRule type="dataBar" priority="914">
      <dataBar>
        <cfvo type="num" val="0"/>
        <cfvo type="num" val="1"/>
        <color rgb="FFFFD5DA"/>
      </dataBar>
      <extLst>
        <ext xmlns:x14="http://schemas.microsoft.com/office/spreadsheetml/2009/9/main" uri="{B025F937-C7B1-47D3-B67F-A62EFF666E3E}">
          <x14:id>{89E169F3-D809-4E09-BDCB-64F4A9F0A653}</x14:id>
        </ext>
      </extLst>
    </cfRule>
  </conditionalFormatting>
  <conditionalFormatting sqref="AM39">
    <cfRule type="dataBar" priority="875">
      <dataBar>
        <cfvo type="num" val="0"/>
        <cfvo type="num" val="1"/>
        <color rgb="FFFFD5DA"/>
      </dataBar>
      <extLst>
        <ext xmlns:x14="http://schemas.microsoft.com/office/spreadsheetml/2009/9/main" uri="{B025F937-C7B1-47D3-B67F-A62EFF666E3E}">
          <x14:id>{6699EE18-148B-4861-BD0B-2BCC00731942}</x14:id>
        </ext>
      </extLst>
    </cfRule>
  </conditionalFormatting>
  <conditionalFormatting sqref="AM41">
    <cfRule type="dataBar" priority="836">
      <dataBar>
        <cfvo type="num" val="0"/>
        <cfvo type="num" val="1"/>
        <color rgb="FFFFD5DA"/>
      </dataBar>
      <extLst>
        <ext xmlns:x14="http://schemas.microsoft.com/office/spreadsheetml/2009/9/main" uri="{B025F937-C7B1-47D3-B67F-A62EFF666E3E}">
          <x14:id>{C47CA41B-9359-46D6-BD06-955B0D9E449E}</x14:id>
        </ext>
      </extLst>
    </cfRule>
  </conditionalFormatting>
  <conditionalFormatting sqref="AM43">
    <cfRule type="dataBar" priority="815">
      <dataBar>
        <cfvo type="num" val="0"/>
        <cfvo type="num" val="1"/>
        <color rgb="FFFFD5DA"/>
      </dataBar>
      <extLst>
        <ext xmlns:x14="http://schemas.microsoft.com/office/spreadsheetml/2009/9/main" uri="{B025F937-C7B1-47D3-B67F-A62EFF666E3E}">
          <x14:id>{55C0CA23-E479-4485-8423-64CBB8799007}</x14:id>
        </ext>
      </extLst>
    </cfRule>
  </conditionalFormatting>
  <conditionalFormatting sqref="AM45">
    <cfRule type="dataBar" priority="758">
      <dataBar>
        <cfvo type="num" val="0"/>
        <cfvo type="num" val="1"/>
        <color rgb="FFFFD5DA"/>
      </dataBar>
      <extLst>
        <ext xmlns:x14="http://schemas.microsoft.com/office/spreadsheetml/2009/9/main" uri="{B025F937-C7B1-47D3-B67F-A62EFF666E3E}">
          <x14:id>{AA9CEA27-DAC8-4ECD-9D48-060DFE8739C9}</x14:id>
        </ext>
      </extLst>
    </cfRule>
  </conditionalFormatting>
  <conditionalFormatting sqref="AM47">
    <cfRule type="dataBar" priority="737">
      <dataBar>
        <cfvo type="num" val="0"/>
        <cfvo type="num" val="1"/>
        <color rgb="FFFFD5DA"/>
      </dataBar>
      <extLst>
        <ext xmlns:x14="http://schemas.microsoft.com/office/spreadsheetml/2009/9/main" uri="{B025F937-C7B1-47D3-B67F-A62EFF666E3E}">
          <x14:id>{3169F39E-1A66-4E31-8DE9-9F40D032367C}</x14:id>
        </ext>
      </extLst>
    </cfRule>
  </conditionalFormatting>
  <conditionalFormatting sqref="AM49">
    <cfRule type="dataBar" priority="680">
      <dataBar>
        <cfvo type="num" val="0"/>
        <cfvo type="num" val="1"/>
        <color rgb="FFFFD5DA"/>
      </dataBar>
      <extLst>
        <ext xmlns:x14="http://schemas.microsoft.com/office/spreadsheetml/2009/9/main" uri="{B025F937-C7B1-47D3-B67F-A62EFF666E3E}">
          <x14:id>{DF9145CB-49AD-4432-A288-1861C8CDC99C}</x14:id>
        </ext>
      </extLst>
    </cfRule>
  </conditionalFormatting>
  <conditionalFormatting sqref="AM51">
    <cfRule type="dataBar" priority="659">
      <dataBar>
        <cfvo type="num" val="0"/>
        <cfvo type="num" val="1"/>
        <color rgb="FFFFD5DA"/>
      </dataBar>
      <extLst>
        <ext xmlns:x14="http://schemas.microsoft.com/office/spreadsheetml/2009/9/main" uri="{B025F937-C7B1-47D3-B67F-A62EFF666E3E}">
          <x14:id>{8D28381D-FF51-4D33-949F-CD9D43991DAC}</x14:id>
        </ext>
      </extLst>
    </cfRule>
  </conditionalFormatting>
  <conditionalFormatting sqref="AM53">
    <cfRule type="dataBar" priority="602">
      <dataBar>
        <cfvo type="num" val="0"/>
        <cfvo type="num" val="1"/>
        <color rgb="FFFFD5DA"/>
      </dataBar>
      <extLst>
        <ext xmlns:x14="http://schemas.microsoft.com/office/spreadsheetml/2009/9/main" uri="{B025F937-C7B1-47D3-B67F-A62EFF666E3E}">
          <x14:id>{9B5470A7-4E5C-4A19-9552-80B2680A22E7}</x14:id>
        </ext>
      </extLst>
    </cfRule>
  </conditionalFormatting>
  <conditionalFormatting sqref="AM55">
    <cfRule type="dataBar" priority="581">
      <dataBar>
        <cfvo type="num" val="0"/>
        <cfvo type="num" val="1"/>
        <color rgb="FFFFD5DA"/>
      </dataBar>
      <extLst>
        <ext xmlns:x14="http://schemas.microsoft.com/office/spreadsheetml/2009/9/main" uri="{B025F937-C7B1-47D3-B67F-A62EFF666E3E}">
          <x14:id>{8F435845-3103-4D8D-931E-00D3AA52E50E}</x14:id>
        </ext>
      </extLst>
    </cfRule>
  </conditionalFormatting>
  <conditionalFormatting sqref="AM57">
    <cfRule type="dataBar" priority="524">
      <dataBar>
        <cfvo type="num" val="0"/>
        <cfvo type="num" val="1"/>
        <color rgb="FFFFD5DA"/>
      </dataBar>
      <extLst>
        <ext xmlns:x14="http://schemas.microsoft.com/office/spreadsheetml/2009/9/main" uri="{B025F937-C7B1-47D3-B67F-A62EFF666E3E}">
          <x14:id>{A938C3C4-1562-40EF-83EC-76CF012A5774}</x14:id>
        </ext>
      </extLst>
    </cfRule>
  </conditionalFormatting>
  <conditionalFormatting sqref="AN33">
    <cfRule type="dataBar" priority="994">
      <dataBar>
        <cfvo type="num" val="0"/>
        <cfvo type="num" val="1"/>
        <color theme="9" tint="0.59999389629810485"/>
      </dataBar>
      <extLst>
        <ext xmlns:x14="http://schemas.microsoft.com/office/spreadsheetml/2009/9/main" uri="{B025F937-C7B1-47D3-B67F-A62EFF666E3E}">
          <x14:id>{7F605965-9E53-4131-BEC9-5A936ABC7BA5}</x14:id>
        </ext>
      </extLst>
    </cfRule>
  </conditionalFormatting>
  <conditionalFormatting sqref="AN35">
    <cfRule type="dataBar" priority="955">
      <dataBar>
        <cfvo type="num" val="0"/>
        <cfvo type="num" val="1"/>
        <color theme="9" tint="0.59999389629810485"/>
      </dataBar>
      <extLst>
        <ext xmlns:x14="http://schemas.microsoft.com/office/spreadsheetml/2009/9/main" uri="{B025F937-C7B1-47D3-B67F-A62EFF666E3E}">
          <x14:id>{B97FA23F-B534-4EEC-8765-FBD82A7239D2}</x14:id>
        </ext>
      </extLst>
    </cfRule>
  </conditionalFormatting>
  <conditionalFormatting sqref="AN37">
    <cfRule type="dataBar" priority="916">
      <dataBar>
        <cfvo type="num" val="0"/>
        <cfvo type="num" val="1"/>
        <color theme="9" tint="0.59999389629810485"/>
      </dataBar>
      <extLst>
        <ext xmlns:x14="http://schemas.microsoft.com/office/spreadsheetml/2009/9/main" uri="{B025F937-C7B1-47D3-B67F-A62EFF666E3E}">
          <x14:id>{FBE58EC6-7459-4A00-8DAE-F0912F09812D}</x14:id>
        </ext>
      </extLst>
    </cfRule>
  </conditionalFormatting>
  <conditionalFormatting sqref="AN39">
    <cfRule type="dataBar" priority="877">
      <dataBar>
        <cfvo type="num" val="0"/>
        <cfvo type="num" val="1"/>
        <color theme="9" tint="0.59999389629810485"/>
      </dataBar>
      <extLst>
        <ext xmlns:x14="http://schemas.microsoft.com/office/spreadsheetml/2009/9/main" uri="{B025F937-C7B1-47D3-B67F-A62EFF666E3E}">
          <x14:id>{62AB1DD0-D7C5-401B-9738-9A4432D19245}</x14:id>
        </ext>
      </extLst>
    </cfRule>
  </conditionalFormatting>
  <conditionalFormatting sqref="AN41">
    <cfRule type="dataBar" priority="838">
      <dataBar>
        <cfvo type="num" val="0"/>
        <cfvo type="num" val="1"/>
        <color theme="9" tint="0.59999389629810485"/>
      </dataBar>
      <extLst>
        <ext xmlns:x14="http://schemas.microsoft.com/office/spreadsheetml/2009/9/main" uri="{B025F937-C7B1-47D3-B67F-A62EFF666E3E}">
          <x14:id>{945CBEEC-6B4E-4829-9DD7-CE6090EB8678}</x14:id>
        </ext>
      </extLst>
    </cfRule>
  </conditionalFormatting>
  <conditionalFormatting sqref="AN43">
    <cfRule type="dataBar" priority="817">
      <dataBar>
        <cfvo type="num" val="0"/>
        <cfvo type="num" val="1"/>
        <color theme="9" tint="0.59999389629810485"/>
      </dataBar>
      <extLst>
        <ext xmlns:x14="http://schemas.microsoft.com/office/spreadsheetml/2009/9/main" uri="{B025F937-C7B1-47D3-B67F-A62EFF666E3E}">
          <x14:id>{497A9094-CB9D-401A-BF74-2F8F099B84A9}</x14:id>
        </ext>
      </extLst>
    </cfRule>
  </conditionalFormatting>
  <conditionalFormatting sqref="AN45">
    <cfRule type="dataBar" priority="760">
      <dataBar>
        <cfvo type="num" val="0"/>
        <cfvo type="num" val="1"/>
        <color theme="9" tint="0.59999389629810485"/>
      </dataBar>
      <extLst>
        <ext xmlns:x14="http://schemas.microsoft.com/office/spreadsheetml/2009/9/main" uri="{B025F937-C7B1-47D3-B67F-A62EFF666E3E}">
          <x14:id>{8E5E5F4A-10F3-4EE0-9D1D-3F316B38445A}</x14:id>
        </ext>
      </extLst>
    </cfRule>
  </conditionalFormatting>
  <conditionalFormatting sqref="AN47">
    <cfRule type="dataBar" priority="739">
      <dataBar>
        <cfvo type="num" val="0"/>
        <cfvo type="num" val="1"/>
        <color theme="9" tint="0.59999389629810485"/>
      </dataBar>
      <extLst>
        <ext xmlns:x14="http://schemas.microsoft.com/office/spreadsheetml/2009/9/main" uri="{B025F937-C7B1-47D3-B67F-A62EFF666E3E}">
          <x14:id>{B80ED3E0-415E-4E52-BC7D-1A319A2F1F50}</x14:id>
        </ext>
      </extLst>
    </cfRule>
  </conditionalFormatting>
  <conditionalFormatting sqref="AN49">
    <cfRule type="dataBar" priority="682">
      <dataBar>
        <cfvo type="num" val="0"/>
        <cfvo type="num" val="1"/>
        <color theme="9" tint="0.59999389629810485"/>
      </dataBar>
      <extLst>
        <ext xmlns:x14="http://schemas.microsoft.com/office/spreadsheetml/2009/9/main" uri="{B025F937-C7B1-47D3-B67F-A62EFF666E3E}">
          <x14:id>{73FE6421-BF15-4F05-8ACC-C2F73DE89BBD}</x14:id>
        </ext>
      </extLst>
    </cfRule>
  </conditionalFormatting>
  <conditionalFormatting sqref="AN51">
    <cfRule type="dataBar" priority="661">
      <dataBar>
        <cfvo type="num" val="0"/>
        <cfvo type="num" val="1"/>
        <color theme="9" tint="0.59999389629810485"/>
      </dataBar>
      <extLst>
        <ext xmlns:x14="http://schemas.microsoft.com/office/spreadsheetml/2009/9/main" uri="{B025F937-C7B1-47D3-B67F-A62EFF666E3E}">
          <x14:id>{F659F352-FC1A-4041-AB3D-619FD3DE4368}</x14:id>
        </ext>
      </extLst>
    </cfRule>
  </conditionalFormatting>
  <conditionalFormatting sqref="AN53">
    <cfRule type="dataBar" priority="604">
      <dataBar>
        <cfvo type="num" val="0"/>
        <cfvo type="num" val="1"/>
        <color theme="9" tint="0.59999389629810485"/>
      </dataBar>
      <extLst>
        <ext xmlns:x14="http://schemas.microsoft.com/office/spreadsheetml/2009/9/main" uri="{B025F937-C7B1-47D3-B67F-A62EFF666E3E}">
          <x14:id>{764EF8F2-6F7B-496B-89BE-14F257686B07}</x14:id>
        </ext>
      </extLst>
    </cfRule>
  </conditionalFormatting>
  <conditionalFormatting sqref="AN55">
    <cfRule type="dataBar" priority="583">
      <dataBar>
        <cfvo type="num" val="0"/>
        <cfvo type="num" val="1"/>
        <color theme="9" tint="0.59999389629810485"/>
      </dataBar>
      <extLst>
        <ext xmlns:x14="http://schemas.microsoft.com/office/spreadsheetml/2009/9/main" uri="{B025F937-C7B1-47D3-B67F-A62EFF666E3E}">
          <x14:id>{1CC4C154-07F9-4EA0-98D7-0A20724F53A4}</x14:id>
        </ext>
      </extLst>
    </cfRule>
  </conditionalFormatting>
  <conditionalFormatting sqref="AN57">
    <cfRule type="dataBar" priority="526">
      <dataBar>
        <cfvo type="num" val="0"/>
        <cfvo type="num" val="1"/>
        <color theme="9" tint="0.59999389629810485"/>
      </dataBar>
      <extLst>
        <ext xmlns:x14="http://schemas.microsoft.com/office/spreadsheetml/2009/9/main" uri="{B025F937-C7B1-47D3-B67F-A62EFF666E3E}">
          <x14:id>{2AC8FCF8-7C7E-448C-A0FC-C5FCA4EC8295}</x14:id>
        </ext>
      </extLst>
    </cfRule>
  </conditionalFormatting>
  <conditionalFormatting sqref="AO33">
    <cfRule type="dataBar" priority="993">
      <dataBar>
        <cfvo type="num" val="0"/>
        <cfvo type="num" val="1"/>
        <color theme="0" tint="-0.14999847407452621"/>
      </dataBar>
      <extLst>
        <ext xmlns:x14="http://schemas.microsoft.com/office/spreadsheetml/2009/9/main" uri="{B025F937-C7B1-47D3-B67F-A62EFF666E3E}">
          <x14:id>{A643AB5F-E875-421D-BA9D-B2E2B33C4502}</x14:id>
        </ext>
      </extLst>
    </cfRule>
  </conditionalFormatting>
  <conditionalFormatting sqref="AO35">
    <cfRule type="dataBar" priority="954">
      <dataBar>
        <cfvo type="num" val="0"/>
        <cfvo type="num" val="1"/>
        <color theme="0" tint="-0.14999847407452621"/>
      </dataBar>
      <extLst>
        <ext xmlns:x14="http://schemas.microsoft.com/office/spreadsheetml/2009/9/main" uri="{B025F937-C7B1-47D3-B67F-A62EFF666E3E}">
          <x14:id>{4119C74F-48D3-4769-BE4A-B317D80B49A7}</x14:id>
        </ext>
      </extLst>
    </cfRule>
  </conditionalFormatting>
  <conditionalFormatting sqref="AO37">
    <cfRule type="dataBar" priority="915">
      <dataBar>
        <cfvo type="num" val="0"/>
        <cfvo type="num" val="1"/>
        <color theme="0" tint="-0.14999847407452621"/>
      </dataBar>
      <extLst>
        <ext xmlns:x14="http://schemas.microsoft.com/office/spreadsheetml/2009/9/main" uri="{B025F937-C7B1-47D3-B67F-A62EFF666E3E}">
          <x14:id>{78EEB2FC-11E9-446A-800D-D1F2F8665D83}</x14:id>
        </ext>
      </extLst>
    </cfRule>
  </conditionalFormatting>
  <conditionalFormatting sqref="AO39">
    <cfRule type="dataBar" priority="876">
      <dataBar>
        <cfvo type="num" val="0"/>
        <cfvo type="num" val="1"/>
        <color theme="0" tint="-0.14999847407452621"/>
      </dataBar>
      <extLst>
        <ext xmlns:x14="http://schemas.microsoft.com/office/spreadsheetml/2009/9/main" uri="{B025F937-C7B1-47D3-B67F-A62EFF666E3E}">
          <x14:id>{6B403175-CA29-4F63-AB10-93AAB5D62B4C}</x14:id>
        </ext>
      </extLst>
    </cfRule>
  </conditionalFormatting>
  <conditionalFormatting sqref="AO41">
    <cfRule type="dataBar" priority="837">
      <dataBar>
        <cfvo type="num" val="0"/>
        <cfvo type="num" val="1"/>
        <color theme="0" tint="-0.14999847407452621"/>
      </dataBar>
      <extLst>
        <ext xmlns:x14="http://schemas.microsoft.com/office/spreadsheetml/2009/9/main" uri="{B025F937-C7B1-47D3-B67F-A62EFF666E3E}">
          <x14:id>{C32FD87D-B486-4BEB-A3E4-1E6534AA08FA}</x14:id>
        </ext>
      </extLst>
    </cfRule>
  </conditionalFormatting>
  <conditionalFormatting sqref="AO43">
    <cfRule type="dataBar" priority="816">
      <dataBar>
        <cfvo type="num" val="0"/>
        <cfvo type="num" val="1"/>
        <color theme="0" tint="-0.14999847407452621"/>
      </dataBar>
      <extLst>
        <ext xmlns:x14="http://schemas.microsoft.com/office/spreadsheetml/2009/9/main" uri="{B025F937-C7B1-47D3-B67F-A62EFF666E3E}">
          <x14:id>{9F2517DE-65E9-4BFB-8A31-821B2556FA82}</x14:id>
        </ext>
      </extLst>
    </cfRule>
  </conditionalFormatting>
  <conditionalFormatting sqref="AO45">
    <cfRule type="dataBar" priority="759">
      <dataBar>
        <cfvo type="num" val="0"/>
        <cfvo type="num" val="1"/>
        <color theme="0" tint="-0.14999847407452621"/>
      </dataBar>
      <extLst>
        <ext xmlns:x14="http://schemas.microsoft.com/office/spreadsheetml/2009/9/main" uri="{B025F937-C7B1-47D3-B67F-A62EFF666E3E}">
          <x14:id>{A53CF054-7D03-426A-ABCF-B928A873FF33}</x14:id>
        </ext>
      </extLst>
    </cfRule>
  </conditionalFormatting>
  <conditionalFormatting sqref="AO47">
    <cfRule type="dataBar" priority="738">
      <dataBar>
        <cfvo type="num" val="0"/>
        <cfvo type="num" val="1"/>
        <color theme="0" tint="-0.14999847407452621"/>
      </dataBar>
      <extLst>
        <ext xmlns:x14="http://schemas.microsoft.com/office/spreadsheetml/2009/9/main" uri="{B025F937-C7B1-47D3-B67F-A62EFF666E3E}">
          <x14:id>{B02FFBF8-BBE8-49A9-81D4-02FFD9792063}</x14:id>
        </ext>
      </extLst>
    </cfRule>
  </conditionalFormatting>
  <conditionalFormatting sqref="AO49">
    <cfRule type="dataBar" priority="681">
      <dataBar>
        <cfvo type="num" val="0"/>
        <cfvo type="num" val="1"/>
        <color theme="0" tint="-0.14999847407452621"/>
      </dataBar>
      <extLst>
        <ext xmlns:x14="http://schemas.microsoft.com/office/spreadsheetml/2009/9/main" uri="{B025F937-C7B1-47D3-B67F-A62EFF666E3E}">
          <x14:id>{16EC22DC-5870-498E-ACF2-DFBDE8B0AC94}</x14:id>
        </ext>
      </extLst>
    </cfRule>
  </conditionalFormatting>
  <conditionalFormatting sqref="AO51">
    <cfRule type="dataBar" priority="660">
      <dataBar>
        <cfvo type="num" val="0"/>
        <cfvo type="num" val="1"/>
        <color theme="0" tint="-0.14999847407452621"/>
      </dataBar>
      <extLst>
        <ext xmlns:x14="http://schemas.microsoft.com/office/spreadsheetml/2009/9/main" uri="{B025F937-C7B1-47D3-B67F-A62EFF666E3E}">
          <x14:id>{7D0DAE5D-73C3-4DC4-B0AC-4382E8D1A8D5}</x14:id>
        </ext>
      </extLst>
    </cfRule>
  </conditionalFormatting>
  <conditionalFormatting sqref="AO53">
    <cfRule type="dataBar" priority="603">
      <dataBar>
        <cfvo type="num" val="0"/>
        <cfvo type="num" val="1"/>
        <color theme="0" tint="-0.14999847407452621"/>
      </dataBar>
      <extLst>
        <ext xmlns:x14="http://schemas.microsoft.com/office/spreadsheetml/2009/9/main" uri="{B025F937-C7B1-47D3-B67F-A62EFF666E3E}">
          <x14:id>{B71641F4-646B-407A-848A-35C349FA2475}</x14:id>
        </ext>
      </extLst>
    </cfRule>
  </conditionalFormatting>
  <conditionalFormatting sqref="AO55">
    <cfRule type="dataBar" priority="582">
      <dataBar>
        <cfvo type="num" val="0"/>
        <cfvo type="num" val="1"/>
        <color theme="0" tint="-0.14999847407452621"/>
      </dataBar>
      <extLst>
        <ext xmlns:x14="http://schemas.microsoft.com/office/spreadsheetml/2009/9/main" uri="{B025F937-C7B1-47D3-B67F-A62EFF666E3E}">
          <x14:id>{AACBC042-1987-4B4A-840E-B2C5702C629A}</x14:id>
        </ext>
      </extLst>
    </cfRule>
  </conditionalFormatting>
  <conditionalFormatting sqref="AO57">
    <cfRule type="dataBar" priority="525">
      <dataBar>
        <cfvo type="num" val="0"/>
        <cfvo type="num" val="1"/>
        <color theme="0" tint="-0.14999847407452621"/>
      </dataBar>
      <extLst>
        <ext xmlns:x14="http://schemas.microsoft.com/office/spreadsheetml/2009/9/main" uri="{B025F937-C7B1-47D3-B67F-A62EFF666E3E}">
          <x14:id>{ACA5755B-B8A7-4088-BDA3-BC878463C01F}</x14:id>
        </ext>
      </extLst>
    </cfRule>
  </conditionalFormatting>
  <conditionalFormatting sqref="AP33">
    <cfRule type="dataBar" priority="989">
      <dataBar>
        <cfvo type="num" val="0"/>
        <cfvo type="num" val="1"/>
        <color rgb="FFFFD5DA"/>
      </dataBar>
      <extLst>
        <ext xmlns:x14="http://schemas.microsoft.com/office/spreadsheetml/2009/9/main" uri="{B025F937-C7B1-47D3-B67F-A62EFF666E3E}">
          <x14:id>{6AA8F073-31D4-42C2-897B-3AA39F3F3936}</x14:id>
        </ext>
      </extLst>
    </cfRule>
  </conditionalFormatting>
  <conditionalFormatting sqref="AP35">
    <cfRule type="dataBar" priority="950">
      <dataBar>
        <cfvo type="num" val="0"/>
        <cfvo type="num" val="1"/>
        <color rgb="FFFFD5DA"/>
      </dataBar>
      <extLst>
        <ext xmlns:x14="http://schemas.microsoft.com/office/spreadsheetml/2009/9/main" uri="{B025F937-C7B1-47D3-B67F-A62EFF666E3E}">
          <x14:id>{BD0C37EE-5D3C-4184-A090-4E22F3D205FE}</x14:id>
        </ext>
      </extLst>
    </cfRule>
  </conditionalFormatting>
  <conditionalFormatting sqref="AP37">
    <cfRule type="dataBar" priority="911">
      <dataBar>
        <cfvo type="num" val="0"/>
        <cfvo type="num" val="1"/>
        <color rgb="FFFFD5DA"/>
      </dataBar>
      <extLst>
        <ext xmlns:x14="http://schemas.microsoft.com/office/spreadsheetml/2009/9/main" uri="{B025F937-C7B1-47D3-B67F-A62EFF666E3E}">
          <x14:id>{17DD941C-848B-4F9D-B4A9-B383E2FE3BB0}</x14:id>
        </ext>
      </extLst>
    </cfRule>
  </conditionalFormatting>
  <conditionalFormatting sqref="AP39">
    <cfRule type="dataBar" priority="872">
      <dataBar>
        <cfvo type="num" val="0"/>
        <cfvo type="num" val="1"/>
        <color rgb="FFFFD5DA"/>
      </dataBar>
      <extLst>
        <ext xmlns:x14="http://schemas.microsoft.com/office/spreadsheetml/2009/9/main" uri="{B025F937-C7B1-47D3-B67F-A62EFF666E3E}">
          <x14:id>{E49F526A-FA04-4936-BAC3-D3CA73789FB3}</x14:id>
        </ext>
      </extLst>
    </cfRule>
  </conditionalFormatting>
  <conditionalFormatting sqref="AP41">
    <cfRule type="dataBar" priority="833">
      <dataBar>
        <cfvo type="num" val="0"/>
        <cfvo type="num" val="1"/>
        <color rgb="FFFFD5DA"/>
      </dataBar>
      <extLst>
        <ext xmlns:x14="http://schemas.microsoft.com/office/spreadsheetml/2009/9/main" uri="{B025F937-C7B1-47D3-B67F-A62EFF666E3E}">
          <x14:id>{31716DBE-8A8E-4883-B489-F48617406A62}</x14:id>
        </ext>
      </extLst>
    </cfRule>
  </conditionalFormatting>
  <conditionalFormatting sqref="AP43">
    <cfRule type="dataBar" priority="818">
      <dataBar>
        <cfvo type="num" val="0"/>
        <cfvo type="num" val="1"/>
        <color rgb="FFFFD5DA"/>
      </dataBar>
      <extLst>
        <ext xmlns:x14="http://schemas.microsoft.com/office/spreadsheetml/2009/9/main" uri="{B025F937-C7B1-47D3-B67F-A62EFF666E3E}">
          <x14:id>{F8EF5979-C49B-4D96-97FE-EF198FA35946}</x14:id>
        </ext>
      </extLst>
    </cfRule>
  </conditionalFormatting>
  <conditionalFormatting sqref="AP45">
    <cfRule type="dataBar" priority="755">
      <dataBar>
        <cfvo type="num" val="0"/>
        <cfvo type="num" val="1"/>
        <color rgb="FFFFD5DA"/>
      </dataBar>
      <extLst>
        <ext xmlns:x14="http://schemas.microsoft.com/office/spreadsheetml/2009/9/main" uri="{B025F937-C7B1-47D3-B67F-A62EFF666E3E}">
          <x14:id>{DFC61C6C-F48E-4C10-91C6-5506C264D9B0}</x14:id>
        </ext>
      </extLst>
    </cfRule>
  </conditionalFormatting>
  <conditionalFormatting sqref="AP47">
    <cfRule type="dataBar" priority="740">
      <dataBar>
        <cfvo type="num" val="0"/>
        <cfvo type="num" val="1"/>
        <color rgb="FFFFD5DA"/>
      </dataBar>
      <extLst>
        <ext xmlns:x14="http://schemas.microsoft.com/office/spreadsheetml/2009/9/main" uri="{B025F937-C7B1-47D3-B67F-A62EFF666E3E}">
          <x14:id>{51E38A84-7B9D-4AB3-9AC2-A0AB5FBB9470}</x14:id>
        </ext>
      </extLst>
    </cfRule>
  </conditionalFormatting>
  <conditionalFormatting sqref="AP49">
    <cfRule type="dataBar" priority="677">
      <dataBar>
        <cfvo type="num" val="0"/>
        <cfvo type="num" val="1"/>
        <color rgb="FFFFD5DA"/>
      </dataBar>
      <extLst>
        <ext xmlns:x14="http://schemas.microsoft.com/office/spreadsheetml/2009/9/main" uri="{B025F937-C7B1-47D3-B67F-A62EFF666E3E}">
          <x14:id>{28D102EE-BB45-4ABC-8F48-45BEE3ED6DF4}</x14:id>
        </ext>
      </extLst>
    </cfRule>
  </conditionalFormatting>
  <conditionalFormatting sqref="AP51">
    <cfRule type="dataBar" priority="662">
      <dataBar>
        <cfvo type="num" val="0"/>
        <cfvo type="num" val="1"/>
        <color rgb="FFFFD5DA"/>
      </dataBar>
      <extLst>
        <ext xmlns:x14="http://schemas.microsoft.com/office/spreadsheetml/2009/9/main" uri="{B025F937-C7B1-47D3-B67F-A62EFF666E3E}">
          <x14:id>{2FA3DFF1-A70F-4694-895F-0BF9AB6F9619}</x14:id>
        </ext>
      </extLst>
    </cfRule>
  </conditionalFormatting>
  <conditionalFormatting sqref="AP53">
    <cfRule type="dataBar" priority="599">
      <dataBar>
        <cfvo type="num" val="0"/>
        <cfvo type="num" val="1"/>
        <color rgb="FFFFD5DA"/>
      </dataBar>
      <extLst>
        <ext xmlns:x14="http://schemas.microsoft.com/office/spreadsheetml/2009/9/main" uri="{B025F937-C7B1-47D3-B67F-A62EFF666E3E}">
          <x14:id>{58BBC142-63FA-4735-AFF9-72D020344BA6}</x14:id>
        </ext>
      </extLst>
    </cfRule>
  </conditionalFormatting>
  <conditionalFormatting sqref="AP55">
    <cfRule type="dataBar" priority="584">
      <dataBar>
        <cfvo type="num" val="0"/>
        <cfvo type="num" val="1"/>
        <color rgb="FFFFD5DA"/>
      </dataBar>
      <extLst>
        <ext xmlns:x14="http://schemas.microsoft.com/office/spreadsheetml/2009/9/main" uri="{B025F937-C7B1-47D3-B67F-A62EFF666E3E}">
          <x14:id>{7B836A9E-E75A-402A-8C61-7637228F2D47}</x14:id>
        </ext>
      </extLst>
    </cfRule>
  </conditionalFormatting>
  <conditionalFormatting sqref="AP57">
    <cfRule type="dataBar" priority="521">
      <dataBar>
        <cfvo type="num" val="0"/>
        <cfvo type="num" val="1"/>
        <color rgb="FFFFD5DA"/>
      </dataBar>
      <extLst>
        <ext xmlns:x14="http://schemas.microsoft.com/office/spreadsheetml/2009/9/main" uri="{B025F937-C7B1-47D3-B67F-A62EFF666E3E}">
          <x14:id>{0B182968-634A-4446-90F4-AB19451D6EA0}</x14:id>
        </ext>
      </extLst>
    </cfRule>
  </conditionalFormatting>
  <conditionalFormatting sqref="AQ33">
    <cfRule type="dataBar" priority="991">
      <dataBar>
        <cfvo type="num" val="0"/>
        <cfvo type="num" val="1"/>
        <color theme="9" tint="0.59999389629810485"/>
      </dataBar>
      <extLst>
        <ext xmlns:x14="http://schemas.microsoft.com/office/spreadsheetml/2009/9/main" uri="{B025F937-C7B1-47D3-B67F-A62EFF666E3E}">
          <x14:id>{8D0D4C91-C402-47ED-9362-86DAAAD6F1E7}</x14:id>
        </ext>
      </extLst>
    </cfRule>
  </conditionalFormatting>
  <conditionalFormatting sqref="AQ35">
    <cfRule type="dataBar" priority="952">
      <dataBar>
        <cfvo type="num" val="0"/>
        <cfvo type="num" val="1"/>
        <color theme="9" tint="0.59999389629810485"/>
      </dataBar>
      <extLst>
        <ext xmlns:x14="http://schemas.microsoft.com/office/spreadsheetml/2009/9/main" uri="{B025F937-C7B1-47D3-B67F-A62EFF666E3E}">
          <x14:id>{F2D54249-945E-4989-9499-3E68D9CCCEA1}</x14:id>
        </ext>
      </extLst>
    </cfRule>
  </conditionalFormatting>
  <conditionalFormatting sqref="AQ37">
    <cfRule type="dataBar" priority="913">
      <dataBar>
        <cfvo type="num" val="0"/>
        <cfvo type="num" val="1"/>
        <color theme="9" tint="0.59999389629810485"/>
      </dataBar>
      <extLst>
        <ext xmlns:x14="http://schemas.microsoft.com/office/spreadsheetml/2009/9/main" uri="{B025F937-C7B1-47D3-B67F-A62EFF666E3E}">
          <x14:id>{D731FDCF-9543-4C09-B7B4-23658AB737FE}</x14:id>
        </ext>
      </extLst>
    </cfRule>
  </conditionalFormatting>
  <conditionalFormatting sqref="AQ39">
    <cfRule type="dataBar" priority="874">
      <dataBar>
        <cfvo type="num" val="0"/>
        <cfvo type="num" val="1"/>
        <color theme="9" tint="0.59999389629810485"/>
      </dataBar>
      <extLst>
        <ext xmlns:x14="http://schemas.microsoft.com/office/spreadsheetml/2009/9/main" uri="{B025F937-C7B1-47D3-B67F-A62EFF666E3E}">
          <x14:id>{A652AEB6-7CEB-45A9-A8F0-D5FE65DA58F1}</x14:id>
        </ext>
      </extLst>
    </cfRule>
  </conditionalFormatting>
  <conditionalFormatting sqref="AQ41">
    <cfRule type="dataBar" priority="835">
      <dataBar>
        <cfvo type="num" val="0"/>
        <cfvo type="num" val="1"/>
        <color theme="9" tint="0.59999389629810485"/>
      </dataBar>
      <extLst>
        <ext xmlns:x14="http://schemas.microsoft.com/office/spreadsheetml/2009/9/main" uri="{B025F937-C7B1-47D3-B67F-A62EFF666E3E}">
          <x14:id>{7BFDD37F-2F6F-4FF5-B9D8-17D98CA7ABAC}</x14:id>
        </ext>
      </extLst>
    </cfRule>
  </conditionalFormatting>
  <conditionalFormatting sqref="AQ43">
    <cfRule type="dataBar" priority="820">
      <dataBar>
        <cfvo type="num" val="0"/>
        <cfvo type="num" val="1"/>
        <color theme="9" tint="0.59999389629810485"/>
      </dataBar>
      <extLst>
        <ext xmlns:x14="http://schemas.microsoft.com/office/spreadsheetml/2009/9/main" uri="{B025F937-C7B1-47D3-B67F-A62EFF666E3E}">
          <x14:id>{AD3AA21B-6FEC-450B-9F82-99B090FEB691}</x14:id>
        </ext>
      </extLst>
    </cfRule>
  </conditionalFormatting>
  <conditionalFormatting sqref="AQ45">
    <cfRule type="dataBar" priority="757">
      <dataBar>
        <cfvo type="num" val="0"/>
        <cfvo type="num" val="1"/>
        <color theme="9" tint="0.59999389629810485"/>
      </dataBar>
      <extLst>
        <ext xmlns:x14="http://schemas.microsoft.com/office/spreadsheetml/2009/9/main" uri="{B025F937-C7B1-47D3-B67F-A62EFF666E3E}">
          <x14:id>{721D134E-C8B6-4706-9C2E-AC3C8EE04C15}</x14:id>
        </ext>
      </extLst>
    </cfRule>
  </conditionalFormatting>
  <conditionalFormatting sqref="AQ47">
    <cfRule type="dataBar" priority="742">
      <dataBar>
        <cfvo type="num" val="0"/>
        <cfvo type="num" val="1"/>
        <color theme="9" tint="0.59999389629810485"/>
      </dataBar>
      <extLst>
        <ext xmlns:x14="http://schemas.microsoft.com/office/spreadsheetml/2009/9/main" uri="{B025F937-C7B1-47D3-B67F-A62EFF666E3E}">
          <x14:id>{06FFD326-E9D5-4CE3-AC60-2C08815C8CBD}</x14:id>
        </ext>
      </extLst>
    </cfRule>
  </conditionalFormatting>
  <conditionalFormatting sqref="AQ49">
    <cfRule type="dataBar" priority="679">
      <dataBar>
        <cfvo type="num" val="0"/>
        <cfvo type="num" val="1"/>
        <color theme="9" tint="0.59999389629810485"/>
      </dataBar>
      <extLst>
        <ext xmlns:x14="http://schemas.microsoft.com/office/spreadsheetml/2009/9/main" uri="{B025F937-C7B1-47D3-B67F-A62EFF666E3E}">
          <x14:id>{4AF723F2-B1A5-472C-AB04-4084E52DF7B0}</x14:id>
        </ext>
      </extLst>
    </cfRule>
  </conditionalFormatting>
  <conditionalFormatting sqref="AQ51">
    <cfRule type="dataBar" priority="664">
      <dataBar>
        <cfvo type="num" val="0"/>
        <cfvo type="num" val="1"/>
        <color theme="9" tint="0.59999389629810485"/>
      </dataBar>
      <extLst>
        <ext xmlns:x14="http://schemas.microsoft.com/office/spreadsheetml/2009/9/main" uri="{B025F937-C7B1-47D3-B67F-A62EFF666E3E}">
          <x14:id>{C9ED88F0-AC4D-46A6-B4BE-951A866B1724}</x14:id>
        </ext>
      </extLst>
    </cfRule>
  </conditionalFormatting>
  <conditionalFormatting sqref="AQ53">
    <cfRule type="dataBar" priority="601">
      <dataBar>
        <cfvo type="num" val="0"/>
        <cfvo type="num" val="1"/>
        <color theme="9" tint="0.59999389629810485"/>
      </dataBar>
      <extLst>
        <ext xmlns:x14="http://schemas.microsoft.com/office/spreadsheetml/2009/9/main" uri="{B025F937-C7B1-47D3-B67F-A62EFF666E3E}">
          <x14:id>{BBF38311-80E2-4397-9C5B-5EE36F06DFA8}</x14:id>
        </ext>
      </extLst>
    </cfRule>
  </conditionalFormatting>
  <conditionalFormatting sqref="AQ55">
    <cfRule type="dataBar" priority="586">
      <dataBar>
        <cfvo type="num" val="0"/>
        <cfvo type="num" val="1"/>
        <color theme="9" tint="0.59999389629810485"/>
      </dataBar>
      <extLst>
        <ext xmlns:x14="http://schemas.microsoft.com/office/spreadsheetml/2009/9/main" uri="{B025F937-C7B1-47D3-B67F-A62EFF666E3E}">
          <x14:id>{5213F289-1392-40C1-B0D6-838E60393B10}</x14:id>
        </ext>
      </extLst>
    </cfRule>
  </conditionalFormatting>
  <conditionalFormatting sqref="AQ57">
    <cfRule type="dataBar" priority="523">
      <dataBar>
        <cfvo type="num" val="0"/>
        <cfvo type="num" val="1"/>
        <color theme="9" tint="0.59999389629810485"/>
      </dataBar>
      <extLst>
        <ext xmlns:x14="http://schemas.microsoft.com/office/spreadsheetml/2009/9/main" uri="{B025F937-C7B1-47D3-B67F-A62EFF666E3E}">
          <x14:id>{F328423C-064D-41C1-A889-F47FD133C6BC}</x14:id>
        </ext>
      </extLst>
    </cfRule>
  </conditionalFormatting>
  <conditionalFormatting sqref="AR33">
    <cfRule type="dataBar" priority="990">
      <dataBar>
        <cfvo type="num" val="0"/>
        <cfvo type="num" val="1"/>
        <color theme="0" tint="-0.14999847407452621"/>
      </dataBar>
      <extLst>
        <ext xmlns:x14="http://schemas.microsoft.com/office/spreadsheetml/2009/9/main" uri="{B025F937-C7B1-47D3-B67F-A62EFF666E3E}">
          <x14:id>{5D32B9B8-38D8-40D6-AA35-5EFFD24D3904}</x14:id>
        </ext>
      </extLst>
    </cfRule>
  </conditionalFormatting>
  <conditionalFormatting sqref="AR35">
    <cfRule type="dataBar" priority="951">
      <dataBar>
        <cfvo type="num" val="0"/>
        <cfvo type="num" val="1"/>
        <color theme="0" tint="-0.14999847407452621"/>
      </dataBar>
      <extLst>
        <ext xmlns:x14="http://schemas.microsoft.com/office/spreadsheetml/2009/9/main" uri="{B025F937-C7B1-47D3-B67F-A62EFF666E3E}">
          <x14:id>{225B4292-D1BB-403B-959A-879948CBBDC6}</x14:id>
        </ext>
      </extLst>
    </cfRule>
  </conditionalFormatting>
  <conditionalFormatting sqref="AR37">
    <cfRule type="dataBar" priority="912">
      <dataBar>
        <cfvo type="num" val="0"/>
        <cfvo type="num" val="1"/>
        <color theme="0" tint="-0.14999847407452621"/>
      </dataBar>
      <extLst>
        <ext xmlns:x14="http://schemas.microsoft.com/office/spreadsheetml/2009/9/main" uri="{B025F937-C7B1-47D3-B67F-A62EFF666E3E}">
          <x14:id>{8EAC8022-2693-4A8B-829A-84BFDF418500}</x14:id>
        </ext>
      </extLst>
    </cfRule>
  </conditionalFormatting>
  <conditionalFormatting sqref="AR39">
    <cfRule type="dataBar" priority="873">
      <dataBar>
        <cfvo type="num" val="0"/>
        <cfvo type="num" val="1"/>
        <color theme="0" tint="-0.14999847407452621"/>
      </dataBar>
      <extLst>
        <ext xmlns:x14="http://schemas.microsoft.com/office/spreadsheetml/2009/9/main" uri="{B025F937-C7B1-47D3-B67F-A62EFF666E3E}">
          <x14:id>{8D5341CD-02C0-488A-92E1-056AF17D83B5}</x14:id>
        </ext>
      </extLst>
    </cfRule>
  </conditionalFormatting>
  <conditionalFormatting sqref="AR41">
    <cfRule type="dataBar" priority="834">
      <dataBar>
        <cfvo type="num" val="0"/>
        <cfvo type="num" val="1"/>
        <color theme="0" tint="-0.14999847407452621"/>
      </dataBar>
      <extLst>
        <ext xmlns:x14="http://schemas.microsoft.com/office/spreadsheetml/2009/9/main" uri="{B025F937-C7B1-47D3-B67F-A62EFF666E3E}">
          <x14:id>{B4B0E30A-438C-4190-B49D-215DD7FC69AB}</x14:id>
        </ext>
      </extLst>
    </cfRule>
  </conditionalFormatting>
  <conditionalFormatting sqref="AR43">
    <cfRule type="dataBar" priority="819">
      <dataBar>
        <cfvo type="num" val="0"/>
        <cfvo type="num" val="1"/>
        <color theme="0" tint="-0.14999847407452621"/>
      </dataBar>
      <extLst>
        <ext xmlns:x14="http://schemas.microsoft.com/office/spreadsheetml/2009/9/main" uri="{B025F937-C7B1-47D3-B67F-A62EFF666E3E}">
          <x14:id>{0C245372-6DE3-47EF-B1E2-E25D65130C94}</x14:id>
        </ext>
      </extLst>
    </cfRule>
  </conditionalFormatting>
  <conditionalFormatting sqref="AR45">
    <cfRule type="dataBar" priority="756">
      <dataBar>
        <cfvo type="num" val="0"/>
        <cfvo type="num" val="1"/>
        <color theme="0" tint="-0.14999847407452621"/>
      </dataBar>
      <extLst>
        <ext xmlns:x14="http://schemas.microsoft.com/office/spreadsheetml/2009/9/main" uri="{B025F937-C7B1-47D3-B67F-A62EFF666E3E}">
          <x14:id>{4E7C3D7D-5896-4125-8617-D66471CB08CC}</x14:id>
        </ext>
      </extLst>
    </cfRule>
  </conditionalFormatting>
  <conditionalFormatting sqref="AR47">
    <cfRule type="dataBar" priority="741">
      <dataBar>
        <cfvo type="num" val="0"/>
        <cfvo type="num" val="1"/>
        <color theme="0" tint="-0.14999847407452621"/>
      </dataBar>
      <extLst>
        <ext xmlns:x14="http://schemas.microsoft.com/office/spreadsheetml/2009/9/main" uri="{B025F937-C7B1-47D3-B67F-A62EFF666E3E}">
          <x14:id>{75F55806-1833-4E98-82B5-A9662467669E}</x14:id>
        </ext>
      </extLst>
    </cfRule>
  </conditionalFormatting>
  <conditionalFormatting sqref="AR49">
    <cfRule type="dataBar" priority="678">
      <dataBar>
        <cfvo type="num" val="0"/>
        <cfvo type="num" val="1"/>
        <color theme="0" tint="-0.14999847407452621"/>
      </dataBar>
      <extLst>
        <ext xmlns:x14="http://schemas.microsoft.com/office/spreadsheetml/2009/9/main" uri="{B025F937-C7B1-47D3-B67F-A62EFF666E3E}">
          <x14:id>{2DA9D53F-7719-43C4-B19F-338D346D5DA5}</x14:id>
        </ext>
      </extLst>
    </cfRule>
  </conditionalFormatting>
  <conditionalFormatting sqref="AR51">
    <cfRule type="dataBar" priority="663">
      <dataBar>
        <cfvo type="num" val="0"/>
        <cfvo type="num" val="1"/>
        <color theme="0" tint="-0.14999847407452621"/>
      </dataBar>
      <extLst>
        <ext xmlns:x14="http://schemas.microsoft.com/office/spreadsheetml/2009/9/main" uri="{B025F937-C7B1-47D3-B67F-A62EFF666E3E}">
          <x14:id>{F75F1CE9-E652-4494-AA75-1A5DDB8C66B7}</x14:id>
        </ext>
      </extLst>
    </cfRule>
  </conditionalFormatting>
  <conditionalFormatting sqref="AR53">
    <cfRule type="dataBar" priority="600">
      <dataBar>
        <cfvo type="num" val="0"/>
        <cfvo type="num" val="1"/>
        <color theme="0" tint="-0.14999847407452621"/>
      </dataBar>
      <extLst>
        <ext xmlns:x14="http://schemas.microsoft.com/office/spreadsheetml/2009/9/main" uri="{B025F937-C7B1-47D3-B67F-A62EFF666E3E}">
          <x14:id>{F337C5C7-F844-4F46-8178-4D58FC065996}</x14:id>
        </ext>
      </extLst>
    </cfRule>
  </conditionalFormatting>
  <conditionalFormatting sqref="AR55">
    <cfRule type="dataBar" priority="585">
      <dataBar>
        <cfvo type="num" val="0"/>
        <cfvo type="num" val="1"/>
        <color theme="0" tint="-0.14999847407452621"/>
      </dataBar>
      <extLst>
        <ext xmlns:x14="http://schemas.microsoft.com/office/spreadsheetml/2009/9/main" uri="{B025F937-C7B1-47D3-B67F-A62EFF666E3E}">
          <x14:id>{93B20AF7-874A-48BD-8069-6E8C25D24309}</x14:id>
        </ext>
      </extLst>
    </cfRule>
  </conditionalFormatting>
  <conditionalFormatting sqref="AR57">
    <cfRule type="dataBar" priority="522">
      <dataBar>
        <cfvo type="num" val="0"/>
        <cfvo type="num" val="1"/>
        <color theme="0" tint="-0.14999847407452621"/>
      </dataBar>
      <extLst>
        <ext xmlns:x14="http://schemas.microsoft.com/office/spreadsheetml/2009/9/main" uri="{B025F937-C7B1-47D3-B67F-A62EFF666E3E}">
          <x14:id>{B6B9819F-9AF3-4D13-B381-5F7091555023}</x14:id>
        </ext>
      </extLst>
    </cfRule>
  </conditionalFormatting>
  <conditionalFormatting sqref="AS33">
    <cfRule type="dataBar" priority="986">
      <dataBar>
        <cfvo type="num" val="0"/>
        <cfvo type="num" val="1"/>
        <color rgb="FFFFD5DA"/>
      </dataBar>
      <extLst>
        <ext xmlns:x14="http://schemas.microsoft.com/office/spreadsheetml/2009/9/main" uri="{B025F937-C7B1-47D3-B67F-A62EFF666E3E}">
          <x14:id>{5E99D467-E268-4E41-8D97-9931E7862B89}</x14:id>
        </ext>
      </extLst>
    </cfRule>
  </conditionalFormatting>
  <conditionalFormatting sqref="AS35">
    <cfRule type="dataBar" priority="947">
      <dataBar>
        <cfvo type="num" val="0"/>
        <cfvo type="num" val="1"/>
        <color rgb="FFFFD5DA"/>
      </dataBar>
      <extLst>
        <ext xmlns:x14="http://schemas.microsoft.com/office/spreadsheetml/2009/9/main" uri="{B025F937-C7B1-47D3-B67F-A62EFF666E3E}">
          <x14:id>{5AF26720-5C2D-4793-B0D4-DFD96BE3F9BA}</x14:id>
        </ext>
      </extLst>
    </cfRule>
  </conditionalFormatting>
  <conditionalFormatting sqref="AS37">
    <cfRule type="dataBar" priority="908">
      <dataBar>
        <cfvo type="num" val="0"/>
        <cfvo type="num" val="1"/>
        <color rgb="FFFFD5DA"/>
      </dataBar>
      <extLst>
        <ext xmlns:x14="http://schemas.microsoft.com/office/spreadsheetml/2009/9/main" uri="{B025F937-C7B1-47D3-B67F-A62EFF666E3E}">
          <x14:id>{FEC04B4C-7E13-47D7-B7C1-E2487013C9DC}</x14:id>
        </ext>
      </extLst>
    </cfRule>
  </conditionalFormatting>
  <conditionalFormatting sqref="AS39">
    <cfRule type="dataBar" priority="869">
      <dataBar>
        <cfvo type="num" val="0"/>
        <cfvo type="num" val="1"/>
        <color rgb="FFFFD5DA"/>
      </dataBar>
      <extLst>
        <ext xmlns:x14="http://schemas.microsoft.com/office/spreadsheetml/2009/9/main" uri="{B025F937-C7B1-47D3-B67F-A62EFF666E3E}">
          <x14:id>{CDFB7317-A72B-4306-91C5-E62336783D96}</x14:id>
        </ext>
      </extLst>
    </cfRule>
  </conditionalFormatting>
  <conditionalFormatting sqref="AS41">
    <cfRule type="dataBar" priority="830">
      <dataBar>
        <cfvo type="num" val="0"/>
        <cfvo type="num" val="1"/>
        <color rgb="FFFFD5DA"/>
      </dataBar>
      <extLst>
        <ext xmlns:x14="http://schemas.microsoft.com/office/spreadsheetml/2009/9/main" uri="{B025F937-C7B1-47D3-B67F-A62EFF666E3E}">
          <x14:id>{E0252B96-6C79-4ABF-9BAB-9AA927B2F5E7}</x14:id>
        </ext>
      </extLst>
    </cfRule>
  </conditionalFormatting>
  <conditionalFormatting sqref="AS43">
    <cfRule type="dataBar" priority="821">
      <dataBar>
        <cfvo type="num" val="0"/>
        <cfvo type="num" val="1"/>
        <color rgb="FFFFD5DA"/>
      </dataBar>
      <extLst>
        <ext xmlns:x14="http://schemas.microsoft.com/office/spreadsheetml/2009/9/main" uri="{B025F937-C7B1-47D3-B67F-A62EFF666E3E}">
          <x14:id>{B611EF6F-185D-4308-B65A-A8D8C6B18F1A}</x14:id>
        </ext>
      </extLst>
    </cfRule>
  </conditionalFormatting>
  <conditionalFormatting sqref="AS45">
    <cfRule type="dataBar" priority="752">
      <dataBar>
        <cfvo type="num" val="0"/>
        <cfvo type="num" val="1"/>
        <color rgb="FFFFD5DA"/>
      </dataBar>
      <extLst>
        <ext xmlns:x14="http://schemas.microsoft.com/office/spreadsheetml/2009/9/main" uri="{B025F937-C7B1-47D3-B67F-A62EFF666E3E}">
          <x14:id>{B9B5D6B1-832F-4293-B589-D3BFB6D2BB0F}</x14:id>
        </ext>
      </extLst>
    </cfRule>
  </conditionalFormatting>
  <conditionalFormatting sqref="AS47">
    <cfRule type="dataBar" priority="743">
      <dataBar>
        <cfvo type="num" val="0"/>
        <cfvo type="num" val="1"/>
        <color rgb="FFFFD5DA"/>
      </dataBar>
      <extLst>
        <ext xmlns:x14="http://schemas.microsoft.com/office/spreadsheetml/2009/9/main" uri="{B025F937-C7B1-47D3-B67F-A62EFF666E3E}">
          <x14:id>{624AB035-E4A4-4C8A-B417-1503AD33879F}</x14:id>
        </ext>
      </extLst>
    </cfRule>
  </conditionalFormatting>
  <conditionalFormatting sqref="AS49">
    <cfRule type="dataBar" priority="674">
      <dataBar>
        <cfvo type="num" val="0"/>
        <cfvo type="num" val="1"/>
        <color rgb="FFFFD5DA"/>
      </dataBar>
      <extLst>
        <ext xmlns:x14="http://schemas.microsoft.com/office/spreadsheetml/2009/9/main" uri="{B025F937-C7B1-47D3-B67F-A62EFF666E3E}">
          <x14:id>{6D477C1A-8F4D-46B0-BD7C-AF56BFD31920}</x14:id>
        </ext>
      </extLst>
    </cfRule>
  </conditionalFormatting>
  <conditionalFormatting sqref="AS51">
    <cfRule type="dataBar" priority="665">
      <dataBar>
        <cfvo type="num" val="0"/>
        <cfvo type="num" val="1"/>
        <color rgb="FFFFD5DA"/>
      </dataBar>
      <extLst>
        <ext xmlns:x14="http://schemas.microsoft.com/office/spreadsheetml/2009/9/main" uri="{B025F937-C7B1-47D3-B67F-A62EFF666E3E}">
          <x14:id>{34C50888-7245-4B0F-AE64-51FB54CF81B0}</x14:id>
        </ext>
      </extLst>
    </cfRule>
  </conditionalFormatting>
  <conditionalFormatting sqref="AS53">
    <cfRule type="dataBar" priority="596">
      <dataBar>
        <cfvo type="num" val="0"/>
        <cfvo type="num" val="1"/>
        <color rgb="FFFFD5DA"/>
      </dataBar>
      <extLst>
        <ext xmlns:x14="http://schemas.microsoft.com/office/spreadsheetml/2009/9/main" uri="{B025F937-C7B1-47D3-B67F-A62EFF666E3E}">
          <x14:id>{5FFC351D-7355-42FC-8E49-6DD5C954526A}</x14:id>
        </ext>
      </extLst>
    </cfRule>
  </conditionalFormatting>
  <conditionalFormatting sqref="AS55">
    <cfRule type="dataBar" priority="587">
      <dataBar>
        <cfvo type="num" val="0"/>
        <cfvo type="num" val="1"/>
        <color rgb="FFFFD5DA"/>
      </dataBar>
      <extLst>
        <ext xmlns:x14="http://schemas.microsoft.com/office/spreadsheetml/2009/9/main" uri="{B025F937-C7B1-47D3-B67F-A62EFF666E3E}">
          <x14:id>{70105922-52B1-451B-9E9A-3462AD44D484}</x14:id>
        </ext>
      </extLst>
    </cfRule>
  </conditionalFormatting>
  <conditionalFormatting sqref="AS57">
    <cfRule type="dataBar" priority="518">
      <dataBar>
        <cfvo type="num" val="0"/>
        <cfvo type="num" val="1"/>
        <color rgb="FFFFD5DA"/>
      </dataBar>
      <extLst>
        <ext xmlns:x14="http://schemas.microsoft.com/office/spreadsheetml/2009/9/main" uri="{B025F937-C7B1-47D3-B67F-A62EFF666E3E}">
          <x14:id>{7DEAEBCB-5328-44B3-B2D9-BD26CF5FBB00}</x14:id>
        </ext>
      </extLst>
    </cfRule>
  </conditionalFormatting>
  <conditionalFormatting sqref="AT33">
    <cfRule type="dataBar" priority="988">
      <dataBar>
        <cfvo type="num" val="0"/>
        <cfvo type="num" val="1"/>
        <color theme="9" tint="0.59999389629810485"/>
      </dataBar>
      <extLst>
        <ext xmlns:x14="http://schemas.microsoft.com/office/spreadsheetml/2009/9/main" uri="{B025F937-C7B1-47D3-B67F-A62EFF666E3E}">
          <x14:id>{1DDA5695-0AEC-44F6-8ED8-FC5CD67DC465}</x14:id>
        </ext>
      </extLst>
    </cfRule>
  </conditionalFormatting>
  <conditionalFormatting sqref="AT35">
    <cfRule type="dataBar" priority="949">
      <dataBar>
        <cfvo type="num" val="0"/>
        <cfvo type="num" val="1"/>
        <color theme="9" tint="0.59999389629810485"/>
      </dataBar>
      <extLst>
        <ext xmlns:x14="http://schemas.microsoft.com/office/spreadsheetml/2009/9/main" uri="{B025F937-C7B1-47D3-B67F-A62EFF666E3E}">
          <x14:id>{36A9D9A5-FF9D-48D8-BEB7-31212548C67A}</x14:id>
        </ext>
      </extLst>
    </cfRule>
  </conditionalFormatting>
  <conditionalFormatting sqref="AT37">
    <cfRule type="dataBar" priority="910">
      <dataBar>
        <cfvo type="num" val="0"/>
        <cfvo type="num" val="1"/>
        <color theme="9" tint="0.59999389629810485"/>
      </dataBar>
      <extLst>
        <ext xmlns:x14="http://schemas.microsoft.com/office/spreadsheetml/2009/9/main" uri="{B025F937-C7B1-47D3-B67F-A62EFF666E3E}">
          <x14:id>{85FB245E-5F4A-4ADE-A33F-40DF11A08DF6}</x14:id>
        </ext>
      </extLst>
    </cfRule>
  </conditionalFormatting>
  <conditionalFormatting sqref="AT39">
    <cfRule type="dataBar" priority="871">
      <dataBar>
        <cfvo type="num" val="0"/>
        <cfvo type="num" val="1"/>
        <color theme="9" tint="0.59999389629810485"/>
      </dataBar>
      <extLst>
        <ext xmlns:x14="http://schemas.microsoft.com/office/spreadsheetml/2009/9/main" uri="{B025F937-C7B1-47D3-B67F-A62EFF666E3E}">
          <x14:id>{87AFB553-12C5-41B4-BBEF-D47C7BAFBCA4}</x14:id>
        </ext>
      </extLst>
    </cfRule>
  </conditionalFormatting>
  <conditionalFormatting sqref="AT41">
    <cfRule type="dataBar" priority="832">
      <dataBar>
        <cfvo type="num" val="0"/>
        <cfvo type="num" val="1"/>
        <color theme="9" tint="0.59999389629810485"/>
      </dataBar>
      <extLst>
        <ext xmlns:x14="http://schemas.microsoft.com/office/spreadsheetml/2009/9/main" uri="{B025F937-C7B1-47D3-B67F-A62EFF666E3E}">
          <x14:id>{9290C28B-D33F-4A16-A495-4891AEA90024}</x14:id>
        </ext>
      </extLst>
    </cfRule>
  </conditionalFormatting>
  <conditionalFormatting sqref="AT43">
    <cfRule type="dataBar" priority="823">
      <dataBar>
        <cfvo type="num" val="0"/>
        <cfvo type="num" val="1"/>
        <color theme="9" tint="0.59999389629810485"/>
      </dataBar>
      <extLst>
        <ext xmlns:x14="http://schemas.microsoft.com/office/spreadsheetml/2009/9/main" uri="{B025F937-C7B1-47D3-B67F-A62EFF666E3E}">
          <x14:id>{7A013018-ED82-4F36-91A0-D25265241AC2}</x14:id>
        </ext>
      </extLst>
    </cfRule>
  </conditionalFormatting>
  <conditionalFormatting sqref="AT45">
    <cfRule type="dataBar" priority="754">
      <dataBar>
        <cfvo type="num" val="0"/>
        <cfvo type="num" val="1"/>
        <color theme="9" tint="0.59999389629810485"/>
      </dataBar>
      <extLst>
        <ext xmlns:x14="http://schemas.microsoft.com/office/spreadsheetml/2009/9/main" uri="{B025F937-C7B1-47D3-B67F-A62EFF666E3E}">
          <x14:id>{4C42FA35-2955-4A27-B9E3-0A2EF25A39A7}</x14:id>
        </ext>
      </extLst>
    </cfRule>
  </conditionalFormatting>
  <conditionalFormatting sqref="AT47">
    <cfRule type="dataBar" priority="745">
      <dataBar>
        <cfvo type="num" val="0"/>
        <cfvo type="num" val="1"/>
        <color theme="9" tint="0.59999389629810485"/>
      </dataBar>
      <extLst>
        <ext xmlns:x14="http://schemas.microsoft.com/office/spreadsheetml/2009/9/main" uri="{B025F937-C7B1-47D3-B67F-A62EFF666E3E}">
          <x14:id>{6BD64FAC-CBC0-4A22-9C5E-BB64CB92B131}</x14:id>
        </ext>
      </extLst>
    </cfRule>
  </conditionalFormatting>
  <conditionalFormatting sqref="AT49">
    <cfRule type="dataBar" priority="676">
      <dataBar>
        <cfvo type="num" val="0"/>
        <cfvo type="num" val="1"/>
        <color theme="9" tint="0.59999389629810485"/>
      </dataBar>
      <extLst>
        <ext xmlns:x14="http://schemas.microsoft.com/office/spreadsheetml/2009/9/main" uri="{B025F937-C7B1-47D3-B67F-A62EFF666E3E}">
          <x14:id>{03630DE6-6623-488C-816C-046C918AFBD2}</x14:id>
        </ext>
      </extLst>
    </cfRule>
  </conditionalFormatting>
  <conditionalFormatting sqref="AT51">
    <cfRule type="dataBar" priority="667">
      <dataBar>
        <cfvo type="num" val="0"/>
        <cfvo type="num" val="1"/>
        <color theme="9" tint="0.59999389629810485"/>
      </dataBar>
      <extLst>
        <ext xmlns:x14="http://schemas.microsoft.com/office/spreadsheetml/2009/9/main" uri="{B025F937-C7B1-47D3-B67F-A62EFF666E3E}">
          <x14:id>{3DE5ECAE-4B69-4E62-B214-24212D4CA014}</x14:id>
        </ext>
      </extLst>
    </cfRule>
  </conditionalFormatting>
  <conditionalFormatting sqref="AT53">
    <cfRule type="dataBar" priority="598">
      <dataBar>
        <cfvo type="num" val="0"/>
        <cfvo type="num" val="1"/>
        <color theme="9" tint="0.59999389629810485"/>
      </dataBar>
      <extLst>
        <ext xmlns:x14="http://schemas.microsoft.com/office/spreadsheetml/2009/9/main" uri="{B025F937-C7B1-47D3-B67F-A62EFF666E3E}">
          <x14:id>{91E3E7FB-CD92-4A7E-88BC-C671B4706842}</x14:id>
        </ext>
      </extLst>
    </cfRule>
  </conditionalFormatting>
  <conditionalFormatting sqref="AT55">
    <cfRule type="dataBar" priority="589">
      <dataBar>
        <cfvo type="num" val="0"/>
        <cfvo type="num" val="1"/>
        <color theme="9" tint="0.59999389629810485"/>
      </dataBar>
      <extLst>
        <ext xmlns:x14="http://schemas.microsoft.com/office/spreadsheetml/2009/9/main" uri="{B025F937-C7B1-47D3-B67F-A62EFF666E3E}">
          <x14:id>{A48A3328-C14D-4825-8298-8A7F8CDA649F}</x14:id>
        </ext>
      </extLst>
    </cfRule>
  </conditionalFormatting>
  <conditionalFormatting sqref="AT57">
    <cfRule type="dataBar" priority="520">
      <dataBar>
        <cfvo type="num" val="0"/>
        <cfvo type="num" val="1"/>
        <color theme="9" tint="0.59999389629810485"/>
      </dataBar>
      <extLst>
        <ext xmlns:x14="http://schemas.microsoft.com/office/spreadsheetml/2009/9/main" uri="{B025F937-C7B1-47D3-B67F-A62EFF666E3E}">
          <x14:id>{D1BF2EAC-6382-4640-8D5D-1C20083C0B9D}</x14:id>
        </ext>
      </extLst>
    </cfRule>
  </conditionalFormatting>
  <conditionalFormatting sqref="AU33">
    <cfRule type="dataBar" priority="987">
      <dataBar>
        <cfvo type="num" val="0"/>
        <cfvo type="num" val="1"/>
        <color theme="0" tint="-0.14999847407452621"/>
      </dataBar>
      <extLst>
        <ext xmlns:x14="http://schemas.microsoft.com/office/spreadsheetml/2009/9/main" uri="{B025F937-C7B1-47D3-B67F-A62EFF666E3E}">
          <x14:id>{BCF0C17E-3EC6-49FB-A594-CEFAE6371BD1}</x14:id>
        </ext>
      </extLst>
    </cfRule>
  </conditionalFormatting>
  <conditionalFormatting sqref="AU35">
    <cfRule type="dataBar" priority="948">
      <dataBar>
        <cfvo type="num" val="0"/>
        <cfvo type="num" val="1"/>
        <color theme="0" tint="-0.14999847407452621"/>
      </dataBar>
      <extLst>
        <ext xmlns:x14="http://schemas.microsoft.com/office/spreadsheetml/2009/9/main" uri="{B025F937-C7B1-47D3-B67F-A62EFF666E3E}">
          <x14:id>{CDDA2F12-1297-475A-A1D4-06C54D9BBA1F}</x14:id>
        </ext>
      </extLst>
    </cfRule>
  </conditionalFormatting>
  <conditionalFormatting sqref="AU37">
    <cfRule type="dataBar" priority="909">
      <dataBar>
        <cfvo type="num" val="0"/>
        <cfvo type="num" val="1"/>
        <color theme="0" tint="-0.14999847407452621"/>
      </dataBar>
      <extLst>
        <ext xmlns:x14="http://schemas.microsoft.com/office/spreadsheetml/2009/9/main" uri="{B025F937-C7B1-47D3-B67F-A62EFF666E3E}">
          <x14:id>{C3BFE3FC-63F6-4263-ADC9-B24FD1A38253}</x14:id>
        </ext>
      </extLst>
    </cfRule>
  </conditionalFormatting>
  <conditionalFormatting sqref="AU39">
    <cfRule type="dataBar" priority="870">
      <dataBar>
        <cfvo type="num" val="0"/>
        <cfvo type="num" val="1"/>
        <color theme="0" tint="-0.14999847407452621"/>
      </dataBar>
      <extLst>
        <ext xmlns:x14="http://schemas.microsoft.com/office/spreadsheetml/2009/9/main" uri="{B025F937-C7B1-47D3-B67F-A62EFF666E3E}">
          <x14:id>{B891471E-6132-4DC8-BFAE-8B0AD8FD472F}</x14:id>
        </ext>
      </extLst>
    </cfRule>
  </conditionalFormatting>
  <conditionalFormatting sqref="AU41">
    <cfRule type="dataBar" priority="831">
      <dataBar>
        <cfvo type="num" val="0"/>
        <cfvo type="num" val="1"/>
        <color theme="0" tint="-0.14999847407452621"/>
      </dataBar>
      <extLst>
        <ext xmlns:x14="http://schemas.microsoft.com/office/spreadsheetml/2009/9/main" uri="{B025F937-C7B1-47D3-B67F-A62EFF666E3E}">
          <x14:id>{6D9141F3-358E-48B9-B94F-8EB61185C947}</x14:id>
        </ext>
      </extLst>
    </cfRule>
  </conditionalFormatting>
  <conditionalFormatting sqref="AU43">
    <cfRule type="dataBar" priority="822">
      <dataBar>
        <cfvo type="num" val="0"/>
        <cfvo type="num" val="1"/>
        <color theme="0" tint="-0.14999847407452621"/>
      </dataBar>
      <extLst>
        <ext xmlns:x14="http://schemas.microsoft.com/office/spreadsheetml/2009/9/main" uri="{B025F937-C7B1-47D3-B67F-A62EFF666E3E}">
          <x14:id>{ED133403-3D9C-420F-B420-8A655745AB8A}</x14:id>
        </ext>
      </extLst>
    </cfRule>
  </conditionalFormatting>
  <conditionalFormatting sqref="AU45">
    <cfRule type="dataBar" priority="753">
      <dataBar>
        <cfvo type="num" val="0"/>
        <cfvo type="num" val="1"/>
        <color theme="0" tint="-0.14999847407452621"/>
      </dataBar>
      <extLst>
        <ext xmlns:x14="http://schemas.microsoft.com/office/spreadsheetml/2009/9/main" uri="{B025F937-C7B1-47D3-B67F-A62EFF666E3E}">
          <x14:id>{A069F2C9-4CD8-4A16-9675-1817AD03B4F9}</x14:id>
        </ext>
      </extLst>
    </cfRule>
  </conditionalFormatting>
  <conditionalFormatting sqref="AU47">
    <cfRule type="dataBar" priority="744">
      <dataBar>
        <cfvo type="num" val="0"/>
        <cfvo type="num" val="1"/>
        <color theme="0" tint="-0.14999847407452621"/>
      </dataBar>
      <extLst>
        <ext xmlns:x14="http://schemas.microsoft.com/office/spreadsheetml/2009/9/main" uri="{B025F937-C7B1-47D3-B67F-A62EFF666E3E}">
          <x14:id>{38838B0A-4CD4-4FE3-A72F-A7821F01889C}</x14:id>
        </ext>
      </extLst>
    </cfRule>
  </conditionalFormatting>
  <conditionalFormatting sqref="AU49">
    <cfRule type="dataBar" priority="675">
      <dataBar>
        <cfvo type="num" val="0"/>
        <cfvo type="num" val="1"/>
        <color theme="0" tint="-0.14999847407452621"/>
      </dataBar>
      <extLst>
        <ext xmlns:x14="http://schemas.microsoft.com/office/spreadsheetml/2009/9/main" uri="{B025F937-C7B1-47D3-B67F-A62EFF666E3E}">
          <x14:id>{FBEA5C9F-F9FE-4A9D-8968-64DE0FA7988F}</x14:id>
        </ext>
      </extLst>
    </cfRule>
  </conditionalFormatting>
  <conditionalFormatting sqref="AU51">
    <cfRule type="dataBar" priority="666">
      <dataBar>
        <cfvo type="num" val="0"/>
        <cfvo type="num" val="1"/>
        <color theme="0" tint="-0.14999847407452621"/>
      </dataBar>
      <extLst>
        <ext xmlns:x14="http://schemas.microsoft.com/office/spreadsheetml/2009/9/main" uri="{B025F937-C7B1-47D3-B67F-A62EFF666E3E}">
          <x14:id>{44ABFEEE-BF12-46F3-91E2-323F7A335120}</x14:id>
        </ext>
      </extLst>
    </cfRule>
  </conditionalFormatting>
  <conditionalFormatting sqref="AU53">
    <cfRule type="dataBar" priority="597">
      <dataBar>
        <cfvo type="num" val="0"/>
        <cfvo type="num" val="1"/>
        <color theme="0" tint="-0.14999847407452621"/>
      </dataBar>
      <extLst>
        <ext xmlns:x14="http://schemas.microsoft.com/office/spreadsheetml/2009/9/main" uri="{B025F937-C7B1-47D3-B67F-A62EFF666E3E}">
          <x14:id>{099D7A90-99F1-42D7-99EF-9FD74D72D66D}</x14:id>
        </ext>
      </extLst>
    </cfRule>
  </conditionalFormatting>
  <conditionalFormatting sqref="AU55">
    <cfRule type="dataBar" priority="588">
      <dataBar>
        <cfvo type="num" val="0"/>
        <cfvo type="num" val="1"/>
        <color theme="0" tint="-0.14999847407452621"/>
      </dataBar>
      <extLst>
        <ext xmlns:x14="http://schemas.microsoft.com/office/spreadsheetml/2009/9/main" uri="{B025F937-C7B1-47D3-B67F-A62EFF666E3E}">
          <x14:id>{78D340DA-1C55-4AA5-9DD7-C4201C094B57}</x14:id>
        </ext>
      </extLst>
    </cfRule>
  </conditionalFormatting>
  <conditionalFormatting sqref="AU57">
    <cfRule type="dataBar" priority="519">
      <dataBar>
        <cfvo type="num" val="0"/>
        <cfvo type="num" val="1"/>
        <color theme="0" tint="-0.14999847407452621"/>
      </dataBar>
      <extLst>
        <ext xmlns:x14="http://schemas.microsoft.com/office/spreadsheetml/2009/9/main" uri="{B025F937-C7B1-47D3-B67F-A62EFF666E3E}">
          <x14:id>{05BA7355-31EC-4B05-84C6-3747D0EF3C79}</x14:id>
        </ext>
      </extLst>
    </cfRule>
  </conditionalFormatting>
  <conditionalFormatting sqref="AV33">
    <cfRule type="dataBar" priority="983">
      <dataBar>
        <cfvo type="num" val="0"/>
        <cfvo type="num" val="1"/>
        <color rgb="FFFFD5DA"/>
      </dataBar>
      <extLst>
        <ext xmlns:x14="http://schemas.microsoft.com/office/spreadsheetml/2009/9/main" uri="{B025F937-C7B1-47D3-B67F-A62EFF666E3E}">
          <x14:id>{A5BF803C-2A2C-4FCB-9693-6AF16F6DBF79}</x14:id>
        </ext>
      </extLst>
    </cfRule>
  </conditionalFormatting>
  <conditionalFormatting sqref="AV35">
    <cfRule type="dataBar" priority="944">
      <dataBar>
        <cfvo type="num" val="0"/>
        <cfvo type="num" val="1"/>
        <color rgb="FFFFD5DA"/>
      </dataBar>
      <extLst>
        <ext xmlns:x14="http://schemas.microsoft.com/office/spreadsheetml/2009/9/main" uri="{B025F937-C7B1-47D3-B67F-A62EFF666E3E}">
          <x14:id>{2B99E9AD-2CA3-4E31-97FE-629B6B7439C2}</x14:id>
        </ext>
      </extLst>
    </cfRule>
  </conditionalFormatting>
  <conditionalFormatting sqref="AV37">
    <cfRule type="dataBar" priority="905">
      <dataBar>
        <cfvo type="num" val="0"/>
        <cfvo type="num" val="1"/>
        <color rgb="FFFFD5DA"/>
      </dataBar>
      <extLst>
        <ext xmlns:x14="http://schemas.microsoft.com/office/spreadsheetml/2009/9/main" uri="{B025F937-C7B1-47D3-B67F-A62EFF666E3E}">
          <x14:id>{A2BA83C0-A7C8-4907-92E7-9861593944C7}</x14:id>
        </ext>
      </extLst>
    </cfRule>
  </conditionalFormatting>
  <conditionalFormatting sqref="AV39">
    <cfRule type="dataBar" priority="866">
      <dataBar>
        <cfvo type="num" val="0"/>
        <cfvo type="num" val="1"/>
        <color rgb="FFFFD5DA"/>
      </dataBar>
      <extLst>
        <ext xmlns:x14="http://schemas.microsoft.com/office/spreadsheetml/2009/9/main" uri="{B025F937-C7B1-47D3-B67F-A62EFF666E3E}">
          <x14:id>{EB550F3A-5485-4D3D-924A-5C1E0EB3D846}</x14:id>
        </ext>
      </extLst>
    </cfRule>
  </conditionalFormatting>
  <conditionalFormatting sqref="AV41">
    <cfRule type="dataBar" priority="827">
      <dataBar>
        <cfvo type="num" val="0"/>
        <cfvo type="num" val="1"/>
        <color rgb="FFFFD5DA"/>
      </dataBar>
      <extLst>
        <ext xmlns:x14="http://schemas.microsoft.com/office/spreadsheetml/2009/9/main" uri="{B025F937-C7B1-47D3-B67F-A62EFF666E3E}">
          <x14:id>{C8C5477C-9D98-4E07-8FF4-2B55AA855FA7}</x14:id>
        </ext>
      </extLst>
    </cfRule>
  </conditionalFormatting>
  <conditionalFormatting sqref="AV43">
    <cfRule type="dataBar" priority="824">
      <dataBar>
        <cfvo type="num" val="0"/>
        <cfvo type="num" val="1"/>
        <color rgb="FFFFD5DA"/>
      </dataBar>
      <extLst>
        <ext xmlns:x14="http://schemas.microsoft.com/office/spreadsheetml/2009/9/main" uri="{B025F937-C7B1-47D3-B67F-A62EFF666E3E}">
          <x14:id>{9C9FEF2E-BA2F-4D38-AB4A-038399A640A6}</x14:id>
        </ext>
      </extLst>
    </cfRule>
  </conditionalFormatting>
  <conditionalFormatting sqref="AV45">
    <cfRule type="dataBar" priority="749">
      <dataBar>
        <cfvo type="num" val="0"/>
        <cfvo type="num" val="1"/>
        <color rgb="FFFFD5DA"/>
      </dataBar>
      <extLst>
        <ext xmlns:x14="http://schemas.microsoft.com/office/spreadsheetml/2009/9/main" uri="{B025F937-C7B1-47D3-B67F-A62EFF666E3E}">
          <x14:id>{F8BDED88-C312-4F64-9D7A-7ED5C8F64D5C}</x14:id>
        </ext>
      </extLst>
    </cfRule>
  </conditionalFormatting>
  <conditionalFormatting sqref="AV47">
    <cfRule type="dataBar" priority="746">
      <dataBar>
        <cfvo type="num" val="0"/>
        <cfvo type="num" val="1"/>
        <color rgb="FFFFD5DA"/>
      </dataBar>
      <extLst>
        <ext xmlns:x14="http://schemas.microsoft.com/office/spreadsheetml/2009/9/main" uri="{B025F937-C7B1-47D3-B67F-A62EFF666E3E}">
          <x14:id>{A0442C71-D1E2-4A10-9F2F-1C0C39ED8B49}</x14:id>
        </ext>
      </extLst>
    </cfRule>
  </conditionalFormatting>
  <conditionalFormatting sqref="AV49">
    <cfRule type="dataBar" priority="671">
      <dataBar>
        <cfvo type="num" val="0"/>
        <cfvo type="num" val="1"/>
        <color rgb="FFFFD5DA"/>
      </dataBar>
      <extLst>
        <ext xmlns:x14="http://schemas.microsoft.com/office/spreadsheetml/2009/9/main" uri="{B025F937-C7B1-47D3-B67F-A62EFF666E3E}">
          <x14:id>{53CC1551-29C1-467C-B8DA-8D00292E960C}</x14:id>
        </ext>
      </extLst>
    </cfRule>
  </conditionalFormatting>
  <conditionalFormatting sqref="AV51">
    <cfRule type="dataBar" priority="668">
      <dataBar>
        <cfvo type="num" val="0"/>
        <cfvo type="num" val="1"/>
        <color rgb="FFFFD5DA"/>
      </dataBar>
      <extLst>
        <ext xmlns:x14="http://schemas.microsoft.com/office/spreadsheetml/2009/9/main" uri="{B025F937-C7B1-47D3-B67F-A62EFF666E3E}">
          <x14:id>{2180F217-27C7-4E98-9F73-F392F683B06E}</x14:id>
        </ext>
      </extLst>
    </cfRule>
  </conditionalFormatting>
  <conditionalFormatting sqref="AV53">
    <cfRule type="dataBar" priority="593">
      <dataBar>
        <cfvo type="num" val="0"/>
        <cfvo type="num" val="1"/>
        <color rgb="FFFFD5DA"/>
      </dataBar>
      <extLst>
        <ext xmlns:x14="http://schemas.microsoft.com/office/spreadsheetml/2009/9/main" uri="{B025F937-C7B1-47D3-B67F-A62EFF666E3E}">
          <x14:id>{22652CDD-C368-487B-99FA-90C260507A23}</x14:id>
        </ext>
      </extLst>
    </cfRule>
  </conditionalFormatting>
  <conditionalFormatting sqref="AV55">
    <cfRule type="dataBar" priority="590">
      <dataBar>
        <cfvo type="num" val="0"/>
        <cfvo type="num" val="1"/>
        <color rgb="FFFFD5DA"/>
      </dataBar>
      <extLst>
        <ext xmlns:x14="http://schemas.microsoft.com/office/spreadsheetml/2009/9/main" uri="{B025F937-C7B1-47D3-B67F-A62EFF666E3E}">
          <x14:id>{684F5B4F-25E2-4A2F-9425-37E57FFE1188}</x14:id>
        </ext>
      </extLst>
    </cfRule>
  </conditionalFormatting>
  <conditionalFormatting sqref="AV57">
    <cfRule type="dataBar" priority="515">
      <dataBar>
        <cfvo type="num" val="0"/>
        <cfvo type="num" val="1"/>
        <color rgb="FFFFD5DA"/>
      </dataBar>
      <extLst>
        <ext xmlns:x14="http://schemas.microsoft.com/office/spreadsheetml/2009/9/main" uri="{B025F937-C7B1-47D3-B67F-A62EFF666E3E}">
          <x14:id>{BB937478-3BD4-4B99-80F0-86E8B2BF605D}</x14:id>
        </ext>
      </extLst>
    </cfRule>
  </conditionalFormatting>
  <conditionalFormatting sqref="AW33">
    <cfRule type="dataBar" priority="985">
      <dataBar>
        <cfvo type="num" val="0"/>
        <cfvo type="num" val="1"/>
        <color theme="9" tint="0.59999389629810485"/>
      </dataBar>
      <extLst>
        <ext xmlns:x14="http://schemas.microsoft.com/office/spreadsheetml/2009/9/main" uri="{B025F937-C7B1-47D3-B67F-A62EFF666E3E}">
          <x14:id>{72ADD630-06E3-496F-87C2-3E3F2AE2B6BF}</x14:id>
        </ext>
      </extLst>
    </cfRule>
  </conditionalFormatting>
  <conditionalFormatting sqref="AW35">
    <cfRule type="dataBar" priority="946">
      <dataBar>
        <cfvo type="num" val="0"/>
        <cfvo type="num" val="1"/>
        <color theme="9" tint="0.59999389629810485"/>
      </dataBar>
      <extLst>
        <ext xmlns:x14="http://schemas.microsoft.com/office/spreadsheetml/2009/9/main" uri="{B025F937-C7B1-47D3-B67F-A62EFF666E3E}">
          <x14:id>{6901A24D-EF53-4A75-A79F-FD437967909B}</x14:id>
        </ext>
      </extLst>
    </cfRule>
  </conditionalFormatting>
  <conditionalFormatting sqref="AW37">
    <cfRule type="dataBar" priority="907">
      <dataBar>
        <cfvo type="num" val="0"/>
        <cfvo type="num" val="1"/>
        <color theme="9" tint="0.59999389629810485"/>
      </dataBar>
      <extLst>
        <ext xmlns:x14="http://schemas.microsoft.com/office/spreadsheetml/2009/9/main" uri="{B025F937-C7B1-47D3-B67F-A62EFF666E3E}">
          <x14:id>{5ADD158E-28CF-49DA-9BF0-3E3931E1C6E0}</x14:id>
        </ext>
      </extLst>
    </cfRule>
  </conditionalFormatting>
  <conditionalFormatting sqref="AW39">
    <cfRule type="dataBar" priority="868">
      <dataBar>
        <cfvo type="num" val="0"/>
        <cfvo type="num" val="1"/>
        <color theme="9" tint="0.59999389629810485"/>
      </dataBar>
      <extLst>
        <ext xmlns:x14="http://schemas.microsoft.com/office/spreadsheetml/2009/9/main" uri="{B025F937-C7B1-47D3-B67F-A62EFF666E3E}">
          <x14:id>{1594DC5F-A209-4AA5-91B2-0BFE55D019CF}</x14:id>
        </ext>
      </extLst>
    </cfRule>
  </conditionalFormatting>
  <conditionalFormatting sqref="AW41">
    <cfRule type="dataBar" priority="829">
      <dataBar>
        <cfvo type="num" val="0"/>
        <cfvo type="num" val="1"/>
        <color theme="9" tint="0.59999389629810485"/>
      </dataBar>
      <extLst>
        <ext xmlns:x14="http://schemas.microsoft.com/office/spreadsheetml/2009/9/main" uri="{B025F937-C7B1-47D3-B67F-A62EFF666E3E}">
          <x14:id>{7166986C-05FF-4714-A8FE-F7B7EC594622}</x14:id>
        </ext>
      </extLst>
    </cfRule>
  </conditionalFormatting>
  <conditionalFormatting sqref="AW43">
    <cfRule type="dataBar" priority="826">
      <dataBar>
        <cfvo type="num" val="0"/>
        <cfvo type="num" val="1"/>
        <color theme="9" tint="0.59999389629810485"/>
      </dataBar>
      <extLst>
        <ext xmlns:x14="http://schemas.microsoft.com/office/spreadsheetml/2009/9/main" uri="{B025F937-C7B1-47D3-B67F-A62EFF666E3E}">
          <x14:id>{D8087BCE-0E2C-4B2D-BB1F-3BED4C3E60DD}</x14:id>
        </ext>
      </extLst>
    </cfRule>
  </conditionalFormatting>
  <conditionalFormatting sqref="AW45">
    <cfRule type="dataBar" priority="751">
      <dataBar>
        <cfvo type="num" val="0"/>
        <cfvo type="num" val="1"/>
        <color theme="9" tint="0.59999389629810485"/>
      </dataBar>
      <extLst>
        <ext xmlns:x14="http://schemas.microsoft.com/office/spreadsheetml/2009/9/main" uri="{B025F937-C7B1-47D3-B67F-A62EFF666E3E}">
          <x14:id>{8B94ECC5-8482-4136-B165-0401F84236EB}</x14:id>
        </ext>
      </extLst>
    </cfRule>
  </conditionalFormatting>
  <conditionalFormatting sqref="AW47">
    <cfRule type="dataBar" priority="748">
      <dataBar>
        <cfvo type="num" val="0"/>
        <cfvo type="num" val="1"/>
        <color theme="9" tint="0.59999389629810485"/>
      </dataBar>
      <extLst>
        <ext xmlns:x14="http://schemas.microsoft.com/office/spreadsheetml/2009/9/main" uri="{B025F937-C7B1-47D3-B67F-A62EFF666E3E}">
          <x14:id>{F9729CC1-D1DF-4ED4-9370-03BA2E3D2892}</x14:id>
        </ext>
      </extLst>
    </cfRule>
  </conditionalFormatting>
  <conditionalFormatting sqref="AW49">
    <cfRule type="dataBar" priority="673">
      <dataBar>
        <cfvo type="num" val="0"/>
        <cfvo type="num" val="1"/>
        <color theme="9" tint="0.59999389629810485"/>
      </dataBar>
      <extLst>
        <ext xmlns:x14="http://schemas.microsoft.com/office/spreadsheetml/2009/9/main" uri="{B025F937-C7B1-47D3-B67F-A62EFF666E3E}">
          <x14:id>{97C4DDE1-8E4C-4044-B482-7348C86BE027}</x14:id>
        </ext>
      </extLst>
    </cfRule>
  </conditionalFormatting>
  <conditionalFormatting sqref="AW51">
    <cfRule type="dataBar" priority="670">
      <dataBar>
        <cfvo type="num" val="0"/>
        <cfvo type="num" val="1"/>
        <color theme="9" tint="0.59999389629810485"/>
      </dataBar>
      <extLst>
        <ext xmlns:x14="http://schemas.microsoft.com/office/spreadsheetml/2009/9/main" uri="{B025F937-C7B1-47D3-B67F-A62EFF666E3E}">
          <x14:id>{251A7A72-71DC-4879-B984-57DEBCA8FDED}</x14:id>
        </ext>
      </extLst>
    </cfRule>
  </conditionalFormatting>
  <conditionalFormatting sqref="AW53">
    <cfRule type="dataBar" priority="595">
      <dataBar>
        <cfvo type="num" val="0"/>
        <cfvo type="num" val="1"/>
        <color theme="9" tint="0.59999389629810485"/>
      </dataBar>
      <extLst>
        <ext xmlns:x14="http://schemas.microsoft.com/office/spreadsheetml/2009/9/main" uri="{B025F937-C7B1-47D3-B67F-A62EFF666E3E}">
          <x14:id>{69F7CF0B-2657-4B64-93B5-CDE0F76AFD9F}</x14:id>
        </ext>
      </extLst>
    </cfRule>
  </conditionalFormatting>
  <conditionalFormatting sqref="AW55">
    <cfRule type="dataBar" priority="592">
      <dataBar>
        <cfvo type="num" val="0"/>
        <cfvo type="num" val="1"/>
        <color theme="9" tint="0.59999389629810485"/>
      </dataBar>
      <extLst>
        <ext xmlns:x14="http://schemas.microsoft.com/office/spreadsheetml/2009/9/main" uri="{B025F937-C7B1-47D3-B67F-A62EFF666E3E}">
          <x14:id>{7C153FD8-0BEF-47B0-9590-B7D70F55CFA1}</x14:id>
        </ext>
      </extLst>
    </cfRule>
  </conditionalFormatting>
  <conditionalFormatting sqref="AW57">
    <cfRule type="dataBar" priority="517">
      <dataBar>
        <cfvo type="num" val="0"/>
        <cfvo type="num" val="1"/>
        <color theme="9" tint="0.59999389629810485"/>
      </dataBar>
      <extLst>
        <ext xmlns:x14="http://schemas.microsoft.com/office/spreadsheetml/2009/9/main" uri="{B025F937-C7B1-47D3-B67F-A62EFF666E3E}">
          <x14:id>{2CFEA868-A222-4CE7-BA80-0220AED5877D}</x14:id>
        </ext>
      </extLst>
    </cfRule>
  </conditionalFormatting>
  <conditionalFormatting sqref="AX33">
    <cfRule type="dataBar" priority="984">
      <dataBar>
        <cfvo type="num" val="0"/>
        <cfvo type="num" val="1"/>
        <color theme="0" tint="-0.14999847407452621"/>
      </dataBar>
      <extLst>
        <ext xmlns:x14="http://schemas.microsoft.com/office/spreadsheetml/2009/9/main" uri="{B025F937-C7B1-47D3-B67F-A62EFF666E3E}">
          <x14:id>{6E2A4CDA-E258-4254-99AA-021D18DA97A6}</x14:id>
        </ext>
      </extLst>
    </cfRule>
  </conditionalFormatting>
  <conditionalFormatting sqref="AX35">
    <cfRule type="dataBar" priority="945">
      <dataBar>
        <cfvo type="num" val="0"/>
        <cfvo type="num" val="1"/>
        <color theme="0" tint="-0.14999847407452621"/>
      </dataBar>
      <extLst>
        <ext xmlns:x14="http://schemas.microsoft.com/office/spreadsheetml/2009/9/main" uri="{B025F937-C7B1-47D3-B67F-A62EFF666E3E}">
          <x14:id>{81DE121C-414E-4DC9-9589-8BD32A8C2FA2}</x14:id>
        </ext>
      </extLst>
    </cfRule>
  </conditionalFormatting>
  <conditionalFormatting sqref="AX37">
    <cfRule type="dataBar" priority="906">
      <dataBar>
        <cfvo type="num" val="0"/>
        <cfvo type="num" val="1"/>
        <color theme="0" tint="-0.14999847407452621"/>
      </dataBar>
      <extLst>
        <ext xmlns:x14="http://schemas.microsoft.com/office/spreadsheetml/2009/9/main" uri="{B025F937-C7B1-47D3-B67F-A62EFF666E3E}">
          <x14:id>{4343E89C-099C-4910-BB8D-530F4459A261}</x14:id>
        </ext>
      </extLst>
    </cfRule>
  </conditionalFormatting>
  <conditionalFormatting sqref="AX39">
    <cfRule type="dataBar" priority="867">
      <dataBar>
        <cfvo type="num" val="0"/>
        <cfvo type="num" val="1"/>
        <color theme="0" tint="-0.14999847407452621"/>
      </dataBar>
      <extLst>
        <ext xmlns:x14="http://schemas.microsoft.com/office/spreadsheetml/2009/9/main" uri="{B025F937-C7B1-47D3-B67F-A62EFF666E3E}">
          <x14:id>{96CAEE62-32C7-4CC9-BF39-41F2A88B0F09}</x14:id>
        </ext>
      </extLst>
    </cfRule>
  </conditionalFormatting>
  <conditionalFormatting sqref="AX41">
    <cfRule type="dataBar" priority="828">
      <dataBar>
        <cfvo type="num" val="0"/>
        <cfvo type="num" val="1"/>
        <color theme="0" tint="-0.14999847407452621"/>
      </dataBar>
      <extLst>
        <ext xmlns:x14="http://schemas.microsoft.com/office/spreadsheetml/2009/9/main" uri="{B025F937-C7B1-47D3-B67F-A62EFF666E3E}">
          <x14:id>{276CB974-9B4A-46F8-AFF4-DE30739C2407}</x14:id>
        </ext>
      </extLst>
    </cfRule>
  </conditionalFormatting>
  <conditionalFormatting sqref="AX43">
    <cfRule type="dataBar" priority="825">
      <dataBar>
        <cfvo type="num" val="0"/>
        <cfvo type="num" val="1"/>
        <color theme="0" tint="-0.14999847407452621"/>
      </dataBar>
      <extLst>
        <ext xmlns:x14="http://schemas.microsoft.com/office/spreadsheetml/2009/9/main" uri="{B025F937-C7B1-47D3-B67F-A62EFF666E3E}">
          <x14:id>{A75F8D84-F8C5-4B50-9BEF-50126270198A}</x14:id>
        </ext>
      </extLst>
    </cfRule>
  </conditionalFormatting>
  <conditionalFormatting sqref="AX45">
    <cfRule type="dataBar" priority="750">
      <dataBar>
        <cfvo type="num" val="0"/>
        <cfvo type="num" val="1"/>
        <color theme="0" tint="-0.14999847407452621"/>
      </dataBar>
      <extLst>
        <ext xmlns:x14="http://schemas.microsoft.com/office/spreadsheetml/2009/9/main" uri="{B025F937-C7B1-47D3-B67F-A62EFF666E3E}">
          <x14:id>{9DAC84B5-6653-4B79-BA72-B5B97188236C}</x14:id>
        </ext>
      </extLst>
    </cfRule>
  </conditionalFormatting>
  <conditionalFormatting sqref="AX47">
    <cfRule type="dataBar" priority="747">
      <dataBar>
        <cfvo type="num" val="0"/>
        <cfvo type="num" val="1"/>
        <color theme="0" tint="-0.14999847407452621"/>
      </dataBar>
      <extLst>
        <ext xmlns:x14="http://schemas.microsoft.com/office/spreadsheetml/2009/9/main" uri="{B025F937-C7B1-47D3-B67F-A62EFF666E3E}">
          <x14:id>{B3754D1A-6138-4993-9AF5-6E3B7B3B4F0D}</x14:id>
        </ext>
      </extLst>
    </cfRule>
  </conditionalFormatting>
  <conditionalFormatting sqref="AX49">
    <cfRule type="dataBar" priority="672">
      <dataBar>
        <cfvo type="num" val="0"/>
        <cfvo type="num" val="1"/>
        <color theme="0" tint="-0.14999847407452621"/>
      </dataBar>
      <extLst>
        <ext xmlns:x14="http://schemas.microsoft.com/office/spreadsheetml/2009/9/main" uri="{B025F937-C7B1-47D3-B67F-A62EFF666E3E}">
          <x14:id>{43FB4AE1-5ED4-4E5A-8B34-53BF45652E2B}</x14:id>
        </ext>
      </extLst>
    </cfRule>
  </conditionalFormatting>
  <conditionalFormatting sqref="AX51">
    <cfRule type="dataBar" priority="669">
      <dataBar>
        <cfvo type="num" val="0"/>
        <cfvo type="num" val="1"/>
        <color theme="0" tint="-0.14999847407452621"/>
      </dataBar>
      <extLst>
        <ext xmlns:x14="http://schemas.microsoft.com/office/spreadsheetml/2009/9/main" uri="{B025F937-C7B1-47D3-B67F-A62EFF666E3E}">
          <x14:id>{73F7FA8C-D533-4CB8-BDBA-5696350D3768}</x14:id>
        </ext>
      </extLst>
    </cfRule>
  </conditionalFormatting>
  <conditionalFormatting sqref="AX53">
    <cfRule type="dataBar" priority="594">
      <dataBar>
        <cfvo type="num" val="0"/>
        <cfvo type="num" val="1"/>
        <color theme="0" tint="-0.14999847407452621"/>
      </dataBar>
      <extLst>
        <ext xmlns:x14="http://schemas.microsoft.com/office/spreadsheetml/2009/9/main" uri="{B025F937-C7B1-47D3-B67F-A62EFF666E3E}">
          <x14:id>{1C1C2EBA-917C-4276-BB82-9C8FFB82C5BE}</x14:id>
        </ext>
      </extLst>
    </cfRule>
  </conditionalFormatting>
  <conditionalFormatting sqref="AX55">
    <cfRule type="dataBar" priority="591">
      <dataBar>
        <cfvo type="num" val="0"/>
        <cfvo type="num" val="1"/>
        <color theme="0" tint="-0.14999847407452621"/>
      </dataBar>
      <extLst>
        <ext xmlns:x14="http://schemas.microsoft.com/office/spreadsheetml/2009/9/main" uri="{B025F937-C7B1-47D3-B67F-A62EFF666E3E}">
          <x14:id>{C94B35A9-2CEE-4D4D-9EBB-8AD8DE3E07D3}</x14:id>
        </ext>
      </extLst>
    </cfRule>
  </conditionalFormatting>
  <conditionalFormatting sqref="AX57">
    <cfRule type="dataBar" priority="516">
      <dataBar>
        <cfvo type="num" val="0"/>
        <cfvo type="num" val="1"/>
        <color theme="0" tint="-0.14999847407452621"/>
      </dataBar>
      <extLst>
        <ext xmlns:x14="http://schemas.microsoft.com/office/spreadsheetml/2009/9/main" uri="{B025F937-C7B1-47D3-B67F-A62EFF666E3E}">
          <x14:id>{6ABB1B16-6E9E-4A6E-BCE0-4F780D79B143}</x14:id>
        </ext>
      </extLst>
    </cfRule>
  </conditionalFormatting>
  <conditionalFormatting sqref="C47">
    <cfRule type="dataBar" priority="1301">
      <dataBar>
        <cfvo type="num" val="0"/>
        <cfvo type="num" val="1"/>
        <color rgb="FFFFD5DA"/>
      </dataBar>
      <extLst>
        <ext xmlns:x14="http://schemas.microsoft.com/office/spreadsheetml/2009/9/main" uri="{B025F937-C7B1-47D3-B67F-A62EFF666E3E}">
          <x14:id>{1E17F690-46A4-4CB7-8870-C86C2FC8F9A7}</x14:id>
        </ext>
      </extLst>
    </cfRule>
  </conditionalFormatting>
  <conditionalFormatting sqref="D47">
    <cfRule type="dataBar" priority="1300">
      <dataBar>
        <cfvo type="num" val="0"/>
        <cfvo type="num" val="1"/>
        <color theme="9" tint="0.59999389629810485"/>
      </dataBar>
      <extLst>
        <ext xmlns:x14="http://schemas.microsoft.com/office/spreadsheetml/2009/9/main" uri="{B025F937-C7B1-47D3-B67F-A62EFF666E3E}">
          <x14:id>{67D4855E-60F2-4A57-93AE-DBFD6C8F7E67}</x14:id>
        </ext>
      </extLst>
    </cfRule>
  </conditionalFormatting>
  <conditionalFormatting sqref="E47">
    <cfRule type="dataBar" priority="1299">
      <dataBar>
        <cfvo type="num" val="0"/>
        <cfvo type="num" val="1"/>
        <color theme="0" tint="-0.14999847407452621"/>
      </dataBar>
      <extLst>
        <ext xmlns:x14="http://schemas.microsoft.com/office/spreadsheetml/2009/9/main" uri="{B025F937-C7B1-47D3-B67F-A62EFF666E3E}">
          <x14:id>{15AA2B9A-31BD-41C0-BDB9-ED3B9CEB9841}</x14:id>
        </ext>
      </extLst>
    </cfRule>
  </conditionalFormatting>
  <conditionalFormatting sqref="AX3">
    <cfRule type="expression" dxfId="30" priority="1471">
      <formula>BA68&gt;0.5</formula>
    </cfRule>
    <cfRule type="expression" dxfId="29" priority="1472">
      <formula>AY4&gt;0.5</formula>
    </cfRule>
    <cfRule type="expression" dxfId="28" priority="1473">
      <formula>AX4&gt;0.5</formula>
    </cfRule>
  </conditionalFormatting>
  <conditionalFormatting sqref="AX5">
    <cfRule type="expression" dxfId="27" priority="1500">
      <formula>BA72&gt;0.5</formula>
    </cfRule>
    <cfRule type="expression" dxfId="26" priority="1501">
      <formula>AY6&gt;0.5</formula>
    </cfRule>
    <cfRule type="expression" dxfId="25" priority="1502">
      <formula>AX6&gt;0.5</formula>
    </cfRule>
  </conditionalFormatting>
  <conditionalFormatting sqref="AX7">
    <cfRule type="expression" dxfId="24" priority="1529">
      <formula>BA76&gt;0.5</formula>
    </cfRule>
    <cfRule type="expression" dxfId="23" priority="1530">
      <formula>AY8&gt;0.5</formula>
    </cfRule>
    <cfRule type="expression" dxfId="22" priority="1531">
      <formula>AX8&gt;0.5</formula>
    </cfRule>
  </conditionalFormatting>
  <conditionalFormatting sqref="AX11 AX13 AX9">
    <cfRule type="expression" dxfId="21" priority="1558">
      <formula>BA80&gt;0.5</formula>
    </cfRule>
    <cfRule type="expression" dxfId="20" priority="1559">
      <formula>AY10&gt;0.5</formula>
    </cfRule>
    <cfRule type="expression" dxfId="19" priority="1560">
      <formula>AX10&gt;0.5</formula>
    </cfRule>
  </conditionalFormatting>
  <dataValidations count="1">
    <dataValidation type="list" allowBlank="1" showInputMessage="1" showErrorMessage="1" sqref="B7" xr:uid="{4B7E25DE-DC21-4989-81D4-BBA68E357D1F}">
      <formula1>"MTT,Cash"</formula1>
    </dataValidation>
  </dataValidations>
  <pageMargins left="0.7" right="0.7" top="0.75" bottom="0.75" header="0" footer="0"/>
  <pageSetup orientation="landscape"/>
  <drawing r:id="rId1"/>
  <extLst>
    <ext xmlns:x14="http://schemas.microsoft.com/office/spreadsheetml/2009/9/main" uri="{78C0D931-6437-407d-A8EE-F0AAD7539E65}">
      <x14:conditionalFormattings>
        <x14:conditionalFormatting xmlns:xm="http://schemas.microsoft.com/office/excel/2006/main">
          <x14:cfRule type="dataBar" id="{EB5B90E9-C5FB-4E60-B55E-E6E8950364F5}">
            <x14:dataBar minLength="0" maxLength="100" gradient="0">
              <x14:cfvo type="num">
                <xm:f>0</xm:f>
              </x14:cfvo>
              <x14:cfvo type="num">
                <xm:f>1</xm:f>
              </x14:cfvo>
              <x14:negativeFillColor rgb="FFFF0000"/>
              <x14:axisColor rgb="FF000000"/>
            </x14:dataBar>
          </x14:cfRule>
          <xm:sqref>L4</xm:sqref>
        </x14:conditionalFormatting>
        <x14:conditionalFormatting xmlns:xm="http://schemas.microsoft.com/office/excel/2006/main">
          <x14:cfRule type="dataBar" id="{5E7FBB20-F89E-4A16-93B2-304BFEE9A81A}">
            <x14:dataBar minLength="0" maxLength="100" gradient="0">
              <x14:cfvo type="num">
                <xm:f>0</xm:f>
              </x14:cfvo>
              <x14:cfvo type="num">
                <xm:f>1</xm:f>
              </x14:cfvo>
              <x14:negativeFillColor rgb="FFFF0000"/>
              <x14:axisColor rgb="FF000000"/>
            </x14:dataBar>
          </x14:cfRule>
          <xm:sqref>L6 L8 L10 L12 L14 L16 L18 L20 L22 L24 L26 L28</xm:sqref>
        </x14:conditionalFormatting>
        <x14:conditionalFormatting xmlns:xm="http://schemas.microsoft.com/office/excel/2006/main">
          <x14:cfRule type="dataBar" id="{55380B73-C39E-4A36-A8FD-98D4A29C9F18}">
            <x14:dataBar minLength="0" maxLength="100" gradient="0">
              <x14:cfvo type="num">
                <xm:f>0</xm:f>
              </x14:cfvo>
              <x14:cfvo type="num">
                <xm:f>1</xm:f>
              </x14:cfvo>
              <x14:negativeFillColor rgb="FFFF0000"/>
              <x14:axisColor rgb="FF000000"/>
            </x14:dataBar>
          </x14:cfRule>
          <xm:sqref>L33</xm:sqref>
        </x14:conditionalFormatting>
        <x14:conditionalFormatting xmlns:xm="http://schemas.microsoft.com/office/excel/2006/main">
          <x14:cfRule type="dataBar" id="{5735F780-BFEA-43E8-BAA5-FD213B686D91}">
            <x14:dataBar minLength="0" maxLength="100" gradient="0">
              <x14:cfvo type="num">
                <xm:f>0</xm:f>
              </x14:cfvo>
              <x14:cfvo type="num">
                <xm:f>1</xm:f>
              </x14:cfvo>
              <x14:negativeFillColor rgb="FFFF0000"/>
              <x14:axisColor rgb="FF000000"/>
            </x14:dataBar>
          </x14:cfRule>
          <xm:sqref>L35</xm:sqref>
        </x14:conditionalFormatting>
        <x14:conditionalFormatting xmlns:xm="http://schemas.microsoft.com/office/excel/2006/main">
          <x14:cfRule type="dataBar" id="{939772E1-49CF-458C-95B0-6CD8940EE480}">
            <x14:dataBar minLength="0" maxLength="100" gradient="0">
              <x14:cfvo type="num">
                <xm:f>0</xm:f>
              </x14:cfvo>
              <x14:cfvo type="num">
                <xm:f>1</xm:f>
              </x14:cfvo>
              <x14:negativeFillColor rgb="FFFF0000"/>
              <x14:axisColor rgb="FF000000"/>
            </x14:dataBar>
          </x14:cfRule>
          <xm:sqref>L37</xm:sqref>
        </x14:conditionalFormatting>
        <x14:conditionalFormatting xmlns:xm="http://schemas.microsoft.com/office/excel/2006/main">
          <x14:cfRule type="dataBar" id="{D020FF55-A089-480B-AA6D-338EDEBE0589}">
            <x14:dataBar minLength="0" maxLength="100" gradient="0">
              <x14:cfvo type="num">
                <xm:f>0</xm:f>
              </x14:cfvo>
              <x14:cfvo type="num">
                <xm:f>1</xm:f>
              </x14:cfvo>
              <x14:negativeFillColor rgb="FFFF0000"/>
              <x14:axisColor rgb="FF000000"/>
            </x14:dataBar>
          </x14:cfRule>
          <xm:sqref>L39</xm:sqref>
        </x14:conditionalFormatting>
        <x14:conditionalFormatting xmlns:xm="http://schemas.microsoft.com/office/excel/2006/main">
          <x14:cfRule type="dataBar" id="{0C8F7DF6-77A2-4051-B44A-50144B632711}">
            <x14:dataBar minLength="0" maxLength="100" gradient="0">
              <x14:cfvo type="num">
                <xm:f>0</xm:f>
              </x14:cfvo>
              <x14:cfvo type="num">
                <xm:f>1</xm:f>
              </x14:cfvo>
              <x14:negativeFillColor rgb="FFFF0000"/>
              <x14:axisColor rgb="FF000000"/>
            </x14:dataBar>
          </x14:cfRule>
          <xm:sqref>L41</xm:sqref>
        </x14:conditionalFormatting>
        <x14:conditionalFormatting xmlns:xm="http://schemas.microsoft.com/office/excel/2006/main">
          <x14:cfRule type="dataBar" id="{845C519E-4F70-4F0E-85F5-E93B71135EF2}">
            <x14:dataBar minLength="0" maxLength="100" gradient="0">
              <x14:cfvo type="num">
                <xm:f>0</xm:f>
              </x14:cfvo>
              <x14:cfvo type="num">
                <xm:f>1</xm:f>
              </x14:cfvo>
              <x14:negativeFillColor rgb="FFFF0000"/>
              <x14:axisColor rgb="FF000000"/>
            </x14:dataBar>
          </x14:cfRule>
          <xm:sqref>L43</xm:sqref>
        </x14:conditionalFormatting>
        <x14:conditionalFormatting xmlns:xm="http://schemas.microsoft.com/office/excel/2006/main">
          <x14:cfRule type="dataBar" id="{82EB9C93-75D8-40EB-991F-F23F65820782}">
            <x14:dataBar minLength="0" maxLength="100" gradient="0">
              <x14:cfvo type="num">
                <xm:f>0</xm:f>
              </x14:cfvo>
              <x14:cfvo type="num">
                <xm:f>1</xm:f>
              </x14:cfvo>
              <x14:negativeFillColor rgb="FFFF0000"/>
              <x14:axisColor rgb="FF000000"/>
            </x14:dataBar>
          </x14:cfRule>
          <xm:sqref>L45</xm:sqref>
        </x14:conditionalFormatting>
        <x14:conditionalFormatting xmlns:xm="http://schemas.microsoft.com/office/excel/2006/main">
          <x14:cfRule type="dataBar" id="{18984FA0-6C8B-46D7-B57B-2139EF1B246D}">
            <x14:dataBar minLength="0" maxLength="100" gradient="0">
              <x14:cfvo type="num">
                <xm:f>0</xm:f>
              </x14:cfvo>
              <x14:cfvo type="num">
                <xm:f>1</xm:f>
              </x14:cfvo>
              <x14:negativeFillColor rgb="FFFF0000"/>
              <x14:axisColor rgb="FF000000"/>
            </x14:dataBar>
          </x14:cfRule>
          <xm:sqref>L47</xm:sqref>
        </x14:conditionalFormatting>
        <x14:conditionalFormatting xmlns:xm="http://schemas.microsoft.com/office/excel/2006/main">
          <x14:cfRule type="dataBar" id="{5BEB957C-EC4A-4276-972F-C84C22878C70}">
            <x14:dataBar minLength="0" maxLength="100" gradient="0">
              <x14:cfvo type="num">
                <xm:f>0</xm:f>
              </x14:cfvo>
              <x14:cfvo type="num">
                <xm:f>1</xm:f>
              </x14:cfvo>
              <x14:negativeFillColor rgb="FFFF0000"/>
              <x14:axisColor rgb="FF000000"/>
            </x14:dataBar>
          </x14:cfRule>
          <xm:sqref>L49</xm:sqref>
        </x14:conditionalFormatting>
        <x14:conditionalFormatting xmlns:xm="http://schemas.microsoft.com/office/excel/2006/main">
          <x14:cfRule type="dataBar" id="{D573CED3-4FA0-4B16-8612-B1820F63FC8A}">
            <x14:dataBar minLength="0" maxLength="100" gradient="0">
              <x14:cfvo type="num">
                <xm:f>0</xm:f>
              </x14:cfvo>
              <x14:cfvo type="num">
                <xm:f>1</xm:f>
              </x14:cfvo>
              <x14:negativeFillColor rgb="FFFF0000"/>
              <x14:axisColor rgb="FF000000"/>
            </x14:dataBar>
          </x14:cfRule>
          <xm:sqref>L51</xm:sqref>
        </x14:conditionalFormatting>
        <x14:conditionalFormatting xmlns:xm="http://schemas.microsoft.com/office/excel/2006/main">
          <x14:cfRule type="dataBar" id="{94335086-28FC-4808-A881-45E61A30B488}">
            <x14:dataBar minLength="0" maxLength="100" gradient="0">
              <x14:cfvo type="num">
                <xm:f>0</xm:f>
              </x14:cfvo>
              <x14:cfvo type="num">
                <xm:f>1</xm:f>
              </x14:cfvo>
              <x14:negativeFillColor rgb="FFFF0000"/>
              <x14:axisColor rgb="FF000000"/>
            </x14:dataBar>
          </x14:cfRule>
          <xm:sqref>L53</xm:sqref>
        </x14:conditionalFormatting>
        <x14:conditionalFormatting xmlns:xm="http://schemas.microsoft.com/office/excel/2006/main">
          <x14:cfRule type="dataBar" id="{E671EE2A-CFD2-408D-838E-09CE113E649F}">
            <x14:dataBar minLength="0" maxLength="100" gradient="0">
              <x14:cfvo type="num">
                <xm:f>0</xm:f>
              </x14:cfvo>
              <x14:cfvo type="num">
                <xm:f>1</xm:f>
              </x14:cfvo>
              <x14:negativeFillColor rgb="FFFF0000"/>
              <x14:axisColor rgb="FF000000"/>
            </x14:dataBar>
          </x14:cfRule>
          <xm:sqref>L55</xm:sqref>
        </x14:conditionalFormatting>
        <x14:conditionalFormatting xmlns:xm="http://schemas.microsoft.com/office/excel/2006/main">
          <x14:cfRule type="dataBar" id="{4B8B2C57-42D5-4CB6-AFC8-DEFFFD4B54D0}">
            <x14:dataBar minLength="0" maxLength="100" gradient="0">
              <x14:cfvo type="num">
                <xm:f>0</xm:f>
              </x14:cfvo>
              <x14:cfvo type="num">
                <xm:f>1</xm:f>
              </x14:cfvo>
              <x14:negativeFillColor rgb="FFFF0000"/>
              <x14:axisColor rgb="FF000000"/>
            </x14:dataBar>
          </x14:cfRule>
          <xm:sqref>L57</xm:sqref>
        </x14:conditionalFormatting>
        <x14:conditionalFormatting xmlns:xm="http://schemas.microsoft.com/office/excel/2006/main">
          <x14:cfRule type="dataBar" id="{51B34863-F0A4-43C4-AAEE-5F761EF5B01E}">
            <x14:dataBar minLength="0" maxLength="100" gradient="0">
              <x14:cfvo type="num">
                <xm:f>0</xm:f>
              </x14:cfvo>
              <x14:cfvo type="num">
                <xm:f>1</xm:f>
              </x14:cfvo>
              <x14:negativeFillColor rgb="FFFF0000"/>
              <x14:axisColor rgb="FF000000"/>
            </x14:dataBar>
          </x14:cfRule>
          <xm:sqref>M4</xm:sqref>
        </x14:conditionalFormatting>
        <x14:conditionalFormatting xmlns:xm="http://schemas.microsoft.com/office/excel/2006/main">
          <x14:cfRule type="dataBar" id="{B2CAB641-F6ED-4E0D-96E9-CE101A0DA9A4}">
            <x14:dataBar minLength="0" maxLength="100" gradient="0">
              <x14:cfvo type="num">
                <xm:f>0</xm:f>
              </x14:cfvo>
              <x14:cfvo type="num">
                <xm:f>1</xm:f>
              </x14:cfvo>
              <x14:negativeFillColor rgb="FFFF0000"/>
              <x14:axisColor rgb="FF000000"/>
            </x14:dataBar>
          </x14:cfRule>
          <xm:sqref>M6 M8 M10 M12 M14 M16 M18 M20 M22 M24 M26 M28</xm:sqref>
        </x14:conditionalFormatting>
        <x14:conditionalFormatting xmlns:xm="http://schemas.microsoft.com/office/excel/2006/main">
          <x14:cfRule type="dataBar" id="{F402CBC7-49E7-4E67-B8EB-92126DB5FE6D}">
            <x14:dataBar minLength="0" maxLength="100" gradient="0">
              <x14:cfvo type="num">
                <xm:f>0</xm:f>
              </x14:cfvo>
              <x14:cfvo type="num">
                <xm:f>1</xm:f>
              </x14:cfvo>
              <x14:negativeFillColor rgb="FFFF0000"/>
              <x14:axisColor rgb="FF000000"/>
            </x14:dataBar>
          </x14:cfRule>
          <xm:sqref>M33</xm:sqref>
        </x14:conditionalFormatting>
        <x14:conditionalFormatting xmlns:xm="http://schemas.microsoft.com/office/excel/2006/main">
          <x14:cfRule type="dataBar" id="{B4A41B18-E1EE-44C5-9229-879A2C1B50E0}">
            <x14:dataBar minLength="0" maxLength="100" gradient="0">
              <x14:cfvo type="num">
                <xm:f>0</xm:f>
              </x14:cfvo>
              <x14:cfvo type="num">
                <xm:f>1</xm:f>
              </x14:cfvo>
              <x14:negativeFillColor rgb="FFFF0000"/>
              <x14:axisColor rgb="FF000000"/>
            </x14:dataBar>
          </x14:cfRule>
          <xm:sqref>M35</xm:sqref>
        </x14:conditionalFormatting>
        <x14:conditionalFormatting xmlns:xm="http://schemas.microsoft.com/office/excel/2006/main">
          <x14:cfRule type="dataBar" id="{DA180BA4-3E3D-4A63-B31F-647297A1058F}">
            <x14:dataBar minLength="0" maxLength="100" gradient="0">
              <x14:cfvo type="num">
                <xm:f>0</xm:f>
              </x14:cfvo>
              <x14:cfvo type="num">
                <xm:f>1</xm:f>
              </x14:cfvo>
              <x14:negativeFillColor rgb="FFFF0000"/>
              <x14:axisColor rgb="FF000000"/>
            </x14:dataBar>
          </x14:cfRule>
          <xm:sqref>M37</xm:sqref>
        </x14:conditionalFormatting>
        <x14:conditionalFormatting xmlns:xm="http://schemas.microsoft.com/office/excel/2006/main">
          <x14:cfRule type="dataBar" id="{0DF156A7-0D7B-43D6-8A64-44D46AF82398}">
            <x14:dataBar minLength="0" maxLength="100" gradient="0">
              <x14:cfvo type="num">
                <xm:f>0</xm:f>
              </x14:cfvo>
              <x14:cfvo type="num">
                <xm:f>1</xm:f>
              </x14:cfvo>
              <x14:negativeFillColor rgb="FFFF0000"/>
              <x14:axisColor rgb="FF000000"/>
            </x14:dataBar>
          </x14:cfRule>
          <xm:sqref>M39</xm:sqref>
        </x14:conditionalFormatting>
        <x14:conditionalFormatting xmlns:xm="http://schemas.microsoft.com/office/excel/2006/main">
          <x14:cfRule type="dataBar" id="{1518B187-EAC1-41FF-9630-B6AB74671B55}">
            <x14:dataBar minLength="0" maxLength="100" gradient="0">
              <x14:cfvo type="num">
                <xm:f>0</xm:f>
              </x14:cfvo>
              <x14:cfvo type="num">
                <xm:f>1</xm:f>
              </x14:cfvo>
              <x14:negativeFillColor rgb="FFFF0000"/>
              <x14:axisColor rgb="FF000000"/>
            </x14:dataBar>
          </x14:cfRule>
          <xm:sqref>M41</xm:sqref>
        </x14:conditionalFormatting>
        <x14:conditionalFormatting xmlns:xm="http://schemas.microsoft.com/office/excel/2006/main">
          <x14:cfRule type="dataBar" id="{07DB5846-8BE8-42EC-9B21-88053692F25D}">
            <x14:dataBar minLength="0" maxLength="100" gradient="0">
              <x14:cfvo type="num">
                <xm:f>0</xm:f>
              </x14:cfvo>
              <x14:cfvo type="num">
                <xm:f>1</xm:f>
              </x14:cfvo>
              <x14:negativeFillColor rgb="FFFF0000"/>
              <x14:axisColor rgb="FF000000"/>
            </x14:dataBar>
          </x14:cfRule>
          <xm:sqref>M43</xm:sqref>
        </x14:conditionalFormatting>
        <x14:conditionalFormatting xmlns:xm="http://schemas.microsoft.com/office/excel/2006/main">
          <x14:cfRule type="dataBar" id="{59D97D5D-951E-49B0-8537-457874CBECA0}">
            <x14:dataBar minLength="0" maxLength="100" gradient="0">
              <x14:cfvo type="num">
                <xm:f>0</xm:f>
              </x14:cfvo>
              <x14:cfvo type="num">
                <xm:f>1</xm:f>
              </x14:cfvo>
              <x14:negativeFillColor rgb="FFFF0000"/>
              <x14:axisColor rgb="FF000000"/>
            </x14:dataBar>
          </x14:cfRule>
          <xm:sqref>M45</xm:sqref>
        </x14:conditionalFormatting>
        <x14:conditionalFormatting xmlns:xm="http://schemas.microsoft.com/office/excel/2006/main">
          <x14:cfRule type="dataBar" id="{B485AD22-724F-4948-B390-A30FD5810413}">
            <x14:dataBar minLength="0" maxLength="100" gradient="0">
              <x14:cfvo type="num">
                <xm:f>0</xm:f>
              </x14:cfvo>
              <x14:cfvo type="num">
                <xm:f>1</xm:f>
              </x14:cfvo>
              <x14:negativeFillColor rgb="FFFF0000"/>
              <x14:axisColor rgb="FF000000"/>
            </x14:dataBar>
          </x14:cfRule>
          <xm:sqref>M47</xm:sqref>
        </x14:conditionalFormatting>
        <x14:conditionalFormatting xmlns:xm="http://schemas.microsoft.com/office/excel/2006/main">
          <x14:cfRule type="dataBar" id="{BCC9D6E7-A5FF-4567-9F88-7AB1E3FA8592}">
            <x14:dataBar minLength="0" maxLength="100" gradient="0">
              <x14:cfvo type="num">
                <xm:f>0</xm:f>
              </x14:cfvo>
              <x14:cfvo type="num">
                <xm:f>1</xm:f>
              </x14:cfvo>
              <x14:negativeFillColor rgb="FFFF0000"/>
              <x14:axisColor rgb="FF000000"/>
            </x14:dataBar>
          </x14:cfRule>
          <xm:sqref>M49</xm:sqref>
        </x14:conditionalFormatting>
        <x14:conditionalFormatting xmlns:xm="http://schemas.microsoft.com/office/excel/2006/main">
          <x14:cfRule type="dataBar" id="{9F16BAF2-84EF-4382-8ED0-1B46FD939A04}">
            <x14:dataBar minLength="0" maxLength="100" gradient="0">
              <x14:cfvo type="num">
                <xm:f>0</xm:f>
              </x14:cfvo>
              <x14:cfvo type="num">
                <xm:f>1</xm:f>
              </x14:cfvo>
              <x14:negativeFillColor rgb="FFFF0000"/>
              <x14:axisColor rgb="FF000000"/>
            </x14:dataBar>
          </x14:cfRule>
          <xm:sqref>M51</xm:sqref>
        </x14:conditionalFormatting>
        <x14:conditionalFormatting xmlns:xm="http://schemas.microsoft.com/office/excel/2006/main">
          <x14:cfRule type="dataBar" id="{4B26CD9F-61CF-41C5-A5F6-C562F2AD675D}">
            <x14:dataBar minLength="0" maxLength="100" gradient="0">
              <x14:cfvo type="num">
                <xm:f>0</xm:f>
              </x14:cfvo>
              <x14:cfvo type="num">
                <xm:f>1</xm:f>
              </x14:cfvo>
              <x14:negativeFillColor rgb="FFFF0000"/>
              <x14:axisColor rgb="FF000000"/>
            </x14:dataBar>
          </x14:cfRule>
          <xm:sqref>M53</xm:sqref>
        </x14:conditionalFormatting>
        <x14:conditionalFormatting xmlns:xm="http://schemas.microsoft.com/office/excel/2006/main">
          <x14:cfRule type="dataBar" id="{3419A00C-F55F-4AA4-BC2A-FC5EA6F3E196}">
            <x14:dataBar minLength="0" maxLength="100" gradient="0">
              <x14:cfvo type="num">
                <xm:f>0</xm:f>
              </x14:cfvo>
              <x14:cfvo type="num">
                <xm:f>1</xm:f>
              </x14:cfvo>
              <x14:negativeFillColor rgb="FFFF0000"/>
              <x14:axisColor rgb="FF000000"/>
            </x14:dataBar>
          </x14:cfRule>
          <xm:sqref>M55</xm:sqref>
        </x14:conditionalFormatting>
        <x14:conditionalFormatting xmlns:xm="http://schemas.microsoft.com/office/excel/2006/main">
          <x14:cfRule type="dataBar" id="{41B8A0AD-7E50-4DFA-8FC8-40C89EC30E60}">
            <x14:dataBar minLength="0" maxLength="100" gradient="0">
              <x14:cfvo type="num">
                <xm:f>0</xm:f>
              </x14:cfvo>
              <x14:cfvo type="num">
                <xm:f>1</xm:f>
              </x14:cfvo>
              <x14:negativeFillColor rgb="FFFF0000"/>
              <x14:axisColor rgb="FF000000"/>
            </x14:dataBar>
          </x14:cfRule>
          <xm:sqref>M57</xm:sqref>
        </x14:conditionalFormatting>
        <x14:conditionalFormatting xmlns:xm="http://schemas.microsoft.com/office/excel/2006/main">
          <x14:cfRule type="dataBar" id="{3A447EBA-6E6D-490A-BF96-006309D7608F}">
            <x14:dataBar minLength="0" maxLength="100" gradient="0">
              <x14:cfvo type="num">
                <xm:f>0</xm:f>
              </x14:cfvo>
              <x14:cfvo type="num">
                <xm:f>1</xm:f>
              </x14:cfvo>
              <x14:negativeFillColor rgb="FFFF0000"/>
              <x14:axisColor rgb="FF000000"/>
            </x14:dataBar>
          </x14:cfRule>
          <xm:sqref>N4</xm:sqref>
        </x14:conditionalFormatting>
        <x14:conditionalFormatting xmlns:xm="http://schemas.microsoft.com/office/excel/2006/main">
          <x14:cfRule type="dataBar" id="{B62AE42B-27EC-4202-9F49-BAE2B1A1CDC4}">
            <x14:dataBar minLength="0" maxLength="100" gradient="0">
              <x14:cfvo type="num">
                <xm:f>0</xm:f>
              </x14:cfvo>
              <x14:cfvo type="num">
                <xm:f>1</xm:f>
              </x14:cfvo>
              <x14:negativeFillColor rgb="FFFF0000"/>
              <x14:axisColor rgb="FF000000"/>
            </x14:dataBar>
          </x14:cfRule>
          <xm:sqref>N6 N8 N10 N12 N14 N16 N18 N20 N22 N24 N26 N28</xm:sqref>
        </x14:conditionalFormatting>
        <x14:conditionalFormatting xmlns:xm="http://schemas.microsoft.com/office/excel/2006/main">
          <x14:cfRule type="dataBar" id="{39C56D0E-C3E6-4562-9A31-911DBE835655}">
            <x14:dataBar minLength="0" maxLength="100" gradient="0">
              <x14:cfvo type="num">
                <xm:f>0</xm:f>
              </x14:cfvo>
              <x14:cfvo type="num">
                <xm:f>1</xm:f>
              </x14:cfvo>
              <x14:negativeFillColor rgb="FFFF0000"/>
              <x14:axisColor rgb="FF000000"/>
            </x14:dataBar>
          </x14:cfRule>
          <xm:sqref>N33</xm:sqref>
        </x14:conditionalFormatting>
        <x14:conditionalFormatting xmlns:xm="http://schemas.microsoft.com/office/excel/2006/main">
          <x14:cfRule type="dataBar" id="{66E30087-46CE-4F85-BF56-77A24534B6FB}">
            <x14:dataBar minLength="0" maxLength="100" gradient="0">
              <x14:cfvo type="num">
                <xm:f>0</xm:f>
              </x14:cfvo>
              <x14:cfvo type="num">
                <xm:f>1</xm:f>
              </x14:cfvo>
              <x14:negativeFillColor rgb="FFFF0000"/>
              <x14:axisColor rgb="FF000000"/>
            </x14:dataBar>
          </x14:cfRule>
          <xm:sqref>N35</xm:sqref>
        </x14:conditionalFormatting>
        <x14:conditionalFormatting xmlns:xm="http://schemas.microsoft.com/office/excel/2006/main">
          <x14:cfRule type="dataBar" id="{EB01FA62-6507-4672-94C3-A8A037E6AC3C}">
            <x14:dataBar minLength="0" maxLength="100" gradient="0">
              <x14:cfvo type="num">
                <xm:f>0</xm:f>
              </x14:cfvo>
              <x14:cfvo type="num">
                <xm:f>1</xm:f>
              </x14:cfvo>
              <x14:negativeFillColor rgb="FFFF0000"/>
              <x14:axisColor rgb="FF000000"/>
            </x14:dataBar>
          </x14:cfRule>
          <xm:sqref>N37</xm:sqref>
        </x14:conditionalFormatting>
        <x14:conditionalFormatting xmlns:xm="http://schemas.microsoft.com/office/excel/2006/main">
          <x14:cfRule type="dataBar" id="{BA23BD23-0D05-4D2C-96BE-BDBB9C845E05}">
            <x14:dataBar minLength="0" maxLength="100" gradient="0">
              <x14:cfvo type="num">
                <xm:f>0</xm:f>
              </x14:cfvo>
              <x14:cfvo type="num">
                <xm:f>1</xm:f>
              </x14:cfvo>
              <x14:negativeFillColor rgb="FFFF0000"/>
              <x14:axisColor rgb="FF000000"/>
            </x14:dataBar>
          </x14:cfRule>
          <xm:sqref>N39</xm:sqref>
        </x14:conditionalFormatting>
        <x14:conditionalFormatting xmlns:xm="http://schemas.microsoft.com/office/excel/2006/main">
          <x14:cfRule type="dataBar" id="{EA870922-7AAC-4BD1-B30A-993AF1281672}">
            <x14:dataBar minLength="0" maxLength="100" gradient="0">
              <x14:cfvo type="num">
                <xm:f>0</xm:f>
              </x14:cfvo>
              <x14:cfvo type="num">
                <xm:f>1</xm:f>
              </x14:cfvo>
              <x14:negativeFillColor rgb="FFFF0000"/>
              <x14:axisColor rgb="FF000000"/>
            </x14:dataBar>
          </x14:cfRule>
          <xm:sqref>N41</xm:sqref>
        </x14:conditionalFormatting>
        <x14:conditionalFormatting xmlns:xm="http://schemas.microsoft.com/office/excel/2006/main">
          <x14:cfRule type="dataBar" id="{8CB97B55-74D6-4CD2-9D19-DCC834A89ACF}">
            <x14:dataBar minLength="0" maxLength="100" gradient="0">
              <x14:cfvo type="num">
                <xm:f>0</xm:f>
              </x14:cfvo>
              <x14:cfvo type="num">
                <xm:f>1</xm:f>
              </x14:cfvo>
              <x14:negativeFillColor rgb="FFFF0000"/>
              <x14:axisColor rgb="FF000000"/>
            </x14:dataBar>
          </x14:cfRule>
          <xm:sqref>N43</xm:sqref>
        </x14:conditionalFormatting>
        <x14:conditionalFormatting xmlns:xm="http://schemas.microsoft.com/office/excel/2006/main">
          <x14:cfRule type="dataBar" id="{503EF3EF-3353-4EFB-9651-7977FC671899}">
            <x14:dataBar minLength="0" maxLength="100" gradient="0">
              <x14:cfvo type="num">
                <xm:f>0</xm:f>
              </x14:cfvo>
              <x14:cfvo type="num">
                <xm:f>1</xm:f>
              </x14:cfvo>
              <x14:negativeFillColor rgb="FFFF0000"/>
              <x14:axisColor rgb="FF000000"/>
            </x14:dataBar>
          </x14:cfRule>
          <xm:sqref>N45</xm:sqref>
        </x14:conditionalFormatting>
        <x14:conditionalFormatting xmlns:xm="http://schemas.microsoft.com/office/excel/2006/main">
          <x14:cfRule type="dataBar" id="{5D98E90D-060A-492E-8DF6-AA9C0526EAD4}">
            <x14:dataBar minLength="0" maxLength="100" gradient="0">
              <x14:cfvo type="num">
                <xm:f>0</xm:f>
              </x14:cfvo>
              <x14:cfvo type="num">
                <xm:f>1</xm:f>
              </x14:cfvo>
              <x14:negativeFillColor rgb="FFFF0000"/>
              <x14:axisColor rgb="FF000000"/>
            </x14:dataBar>
          </x14:cfRule>
          <xm:sqref>N47</xm:sqref>
        </x14:conditionalFormatting>
        <x14:conditionalFormatting xmlns:xm="http://schemas.microsoft.com/office/excel/2006/main">
          <x14:cfRule type="dataBar" id="{5D516885-2744-4320-BC4D-B980D374F41A}">
            <x14:dataBar minLength="0" maxLength="100" gradient="0">
              <x14:cfvo type="num">
                <xm:f>0</xm:f>
              </x14:cfvo>
              <x14:cfvo type="num">
                <xm:f>1</xm:f>
              </x14:cfvo>
              <x14:negativeFillColor rgb="FFFF0000"/>
              <x14:axisColor rgb="FF000000"/>
            </x14:dataBar>
          </x14:cfRule>
          <xm:sqref>N49</xm:sqref>
        </x14:conditionalFormatting>
        <x14:conditionalFormatting xmlns:xm="http://schemas.microsoft.com/office/excel/2006/main">
          <x14:cfRule type="dataBar" id="{1B179995-BDC2-4C48-9017-05E447CB0C29}">
            <x14:dataBar minLength="0" maxLength="100" gradient="0">
              <x14:cfvo type="num">
                <xm:f>0</xm:f>
              </x14:cfvo>
              <x14:cfvo type="num">
                <xm:f>1</xm:f>
              </x14:cfvo>
              <x14:negativeFillColor rgb="FFFF0000"/>
              <x14:axisColor rgb="FF000000"/>
            </x14:dataBar>
          </x14:cfRule>
          <xm:sqref>N51</xm:sqref>
        </x14:conditionalFormatting>
        <x14:conditionalFormatting xmlns:xm="http://schemas.microsoft.com/office/excel/2006/main">
          <x14:cfRule type="dataBar" id="{63E4FA5A-5F52-42C2-9F70-767ED5C35AE0}">
            <x14:dataBar minLength="0" maxLength="100" gradient="0">
              <x14:cfvo type="num">
                <xm:f>0</xm:f>
              </x14:cfvo>
              <x14:cfvo type="num">
                <xm:f>1</xm:f>
              </x14:cfvo>
              <x14:negativeFillColor rgb="FFFF0000"/>
              <x14:axisColor rgb="FF000000"/>
            </x14:dataBar>
          </x14:cfRule>
          <xm:sqref>N53</xm:sqref>
        </x14:conditionalFormatting>
        <x14:conditionalFormatting xmlns:xm="http://schemas.microsoft.com/office/excel/2006/main">
          <x14:cfRule type="dataBar" id="{12ECB1A5-9B53-4F5A-84FF-882F4C66C748}">
            <x14:dataBar minLength="0" maxLength="100" gradient="0">
              <x14:cfvo type="num">
                <xm:f>0</xm:f>
              </x14:cfvo>
              <x14:cfvo type="num">
                <xm:f>1</xm:f>
              </x14:cfvo>
              <x14:negativeFillColor rgb="FFFF0000"/>
              <x14:axisColor rgb="FF000000"/>
            </x14:dataBar>
          </x14:cfRule>
          <xm:sqref>N55</xm:sqref>
        </x14:conditionalFormatting>
        <x14:conditionalFormatting xmlns:xm="http://schemas.microsoft.com/office/excel/2006/main">
          <x14:cfRule type="dataBar" id="{96037164-B5D1-4C8C-A965-65EAFA3B9D6A}">
            <x14:dataBar minLength="0" maxLength="100" gradient="0">
              <x14:cfvo type="num">
                <xm:f>0</xm:f>
              </x14:cfvo>
              <x14:cfvo type="num">
                <xm:f>1</xm:f>
              </x14:cfvo>
              <x14:negativeFillColor rgb="FFFF0000"/>
              <x14:axisColor rgb="FF000000"/>
            </x14:dataBar>
          </x14:cfRule>
          <xm:sqref>N57</xm:sqref>
        </x14:conditionalFormatting>
        <x14:conditionalFormatting xmlns:xm="http://schemas.microsoft.com/office/excel/2006/main">
          <x14:cfRule type="dataBar" id="{E79898B4-2A86-420D-B7BC-C70B9F4CCB37}">
            <x14:dataBar minLength="0" maxLength="100" gradient="0">
              <x14:cfvo type="num">
                <xm:f>0</xm:f>
              </x14:cfvo>
              <x14:cfvo type="num">
                <xm:f>1</xm:f>
              </x14:cfvo>
              <x14:negativeFillColor rgb="FFFF0000"/>
              <x14:axisColor rgb="FF000000"/>
            </x14:dataBar>
          </x14:cfRule>
          <xm:sqref>O4</xm:sqref>
        </x14:conditionalFormatting>
        <x14:conditionalFormatting xmlns:xm="http://schemas.microsoft.com/office/excel/2006/main">
          <x14:cfRule type="dataBar" id="{830C5D26-71EC-40D6-80C2-6ECF35EC864A}">
            <x14:dataBar minLength="0" maxLength="100" gradient="0">
              <x14:cfvo type="num">
                <xm:f>0</xm:f>
              </x14:cfvo>
              <x14:cfvo type="num">
                <xm:f>1</xm:f>
              </x14:cfvo>
              <x14:negativeFillColor rgb="FFFF0000"/>
              <x14:axisColor rgb="FF000000"/>
            </x14:dataBar>
          </x14:cfRule>
          <xm:sqref>O6 O8 O10 O12 O14 O16 O18 O20 O22 O24 O26 O28</xm:sqref>
        </x14:conditionalFormatting>
        <x14:conditionalFormatting xmlns:xm="http://schemas.microsoft.com/office/excel/2006/main">
          <x14:cfRule type="dataBar" id="{4E802D06-22E2-4AE0-9021-A920602A7EBE}">
            <x14:dataBar minLength="0" maxLength="100" gradient="0">
              <x14:cfvo type="num">
                <xm:f>0</xm:f>
              </x14:cfvo>
              <x14:cfvo type="num">
                <xm:f>1</xm:f>
              </x14:cfvo>
              <x14:negativeFillColor rgb="FFFF0000"/>
              <x14:axisColor rgb="FF000000"/>
            </x14:dataBar>
          </x14:cfRule>
          <xm:sqref>O33</xm:sqref>
        </x14:conditionalFormatting>
        <x14:conditionalFormatting xmlns:xm="http://schemas.microsoft.com/office/excel/2006/main">
          <x14:cfRule type="dataBar" id="{6C615DBD-F54C-4343-AB6A-DF8A4A429D87}">
            <x14:dataBar minLength="0" maxLength="100" gradient="0">
              <x14:cfvo type="num">
                <xm:f>0</xm:f>
              </x14:cfvo>
              <x14:cfvo type="num">
                <xm:f>1</xm:f>
              </x14:cfvo>
              <x14:negativeFillColor rgb="FFFF0000"/>
              <x14:axisColor rgb="FF000000"/>
            </x14:dataBar>
          </x14:cfRule>
          <xm:sqref>O35</xm:sqref>
        </x14:conditionalFormatting>
        <x14:conditionalFormatting xmlns:xm="http://schemas.microsoft.com/office/excel/2006/main">
          <x14:cfRule type="dataBar" id="{DB264836-DE14-4653-81CD-2E322DDE14FB}">
            <x14:dataBar minLength="0" maxLength="100" gradient="0">
              <x14:cfvo type="num">
                <xm:f>0</xm:f>
              </x14:cfvo>
              <x14:cfvo type="num">
                <xm:f>1</xm:f>
              </x14:cfvo>
              <x14:negativeFillColor rgb="FFFF0000"/>
              <x14:axisColor rgb="FF000000"/>
            </x14:dataBar>
          </x14:cfRule>
          <xm:sqref>O37</xm:sqref>
        </x14:conditionalFormatting>
        <x14:conditionalFormatting xmlns:xm="http://schemas.microsoft.com/office/excel/2006/main">
          <x14:cfRule type="dataBar" id="{72E53707-D18D-40FE-ACCF-582E0729B886}">
            <x14:dataBar minLength="0" maxLength="100" gradient="0">
              <x14:cfvo type="num">
                <xm:f>0</xm:f>
              </x14:cfvo>
              <x14:cfvo type="num">
                <xm:f>1</xm:f>
              </x14:cfvo>
              <x14:negativeFillColor rgb="FFFF0000"/>
              <x14:axisColor rgb="FF000000"/>
            </x14:dataBar>
          </x14:cfRule>
          <xm:sqref>O39</xm:sqref>
        </x14:conditionalFormatting>
        <x14:conditionalFormatting xmlns:xm="http://schemas.microsoft.com/office/excel/2006/main">
          <x14:cfRule type="dataBar" id="{2E0747D1-A2AA-461F-A49D-3C27D115503A}">
            <x14:dataBar minLength="0" maxLength="100" gradient="0">
              <x14:cfvo type="num">
                <xm:f>0</xm:f>
              </x14:cfvo>
              <x14:cfvo type="num">
                <xm:f>1</xm:f>
              </x14:cfvo>
              <x14:negativeFillColor rgb="FFFF0000"/>
              <x14:axisColor rgb="FF000000"/>
            </x14:dataBar>
          </x14:cfRule>
          <xm:sqref>O41</xm:sqref>
        </x14:conditionalFormatting>
        <x14:conditionalFormatting xmlns:xm="http://schemas.microsoft.com/office/excel/2006/main">
          <x14:cfRule type="dataBar" id="{4F154085-FE4E-4BAE-9DFD-F43F901767C2}">
            <x14:dataBar minLength="0" maxLength="100" gradient="0">
              <x14:cfvo type="num">
                <xm:f>0</xm:f>
              </x14:cfvo>
              <x14:cfvo type="num">
                <xm:f>1</xm:f>
              </x14:cfvo>
              <x14:negativeFillColor rgb="FFFF0000"/>
              <x14:axisColor rgb="FF000000"/>
            </x14:dataBar>
          </x14:cfRule>
          <xm:sqref>O43</xm:sqref>
        </x14:conditionalFormatting>
        <x14:conditionalFormatting xmlns:xm="http://schemas.microsoft.com/office/excel/2006/main">
          <x14:cfRule type="dataBar" id="{E4EDBC3F-6DEB-4854-86D3-D9DE69199F78}">
            <x14:dataBar minLength="0" maxLength="100" gradient="0">
              <x14:cfvo type="num">
                <xm:f>0</xm:f>
              </x14:cfvo>
              <x14:cfvo type="num">
                <xm:f>1</xm:f>
              </x14:cfvo>
              <x14:negativeFillColor rgb="FFFF0000"/>
              <x14:axisColor rgb="FF000000"/>
            </x14:dataBar>
          </x14:cfRule>
          <xm:sqref>O45</xm:sqref>
        </x14:conditionalFormatting>
        <x14:conditionalFormatting xmlns:xm="http://schemas.microsoft.com/office/excel/2006/main">
          <x14:cfRule type="dataBar" id="{7C3E9F4D-EE0C-4AE3-8443-F23707598E91}">
            <x14:dataBar minLength="0" maxLength="100" gradient="0">
              <x14:cfvo type="num">
                <xm:f>0</xm:f>
              </x14:cfvo>
              <x14:cfvo type="num">
                <xm:f>1</xm:f>
              </x14:cfvo>
              <x14:negativeFillColor rgb="FFFF0000"/>
              <x14:axisColor rgb="FF000000"/>
            </x14:dataBar>
          </x14:cfRule>
          <xm:sqref>O47</xm:sqref>
        </x14:conditionalFormatting>
        <x14:conditionalFormatting xmlns:xm="http://schemas.microsoft.com/office/excel/2006/main">
          <x14:cfRule type="dataBar" id="{74A3B3DC-1E14-4A80-8BFA-3EE29C315A4F}">
            <x14:dataBar minLength="0" maxLength="100" gradient="0">
              <x14:cfvo type="num">
                <xm:f>0</xm:f>
              </x14:cfvo>
              <x14:cfvo type="num">
                <xm:f>1</xm:f>
              </x14:cfvo>
              <x14:negativeFillColor rgb="FFFF0000"/>
              <x14:axisColor rgb="FF000000"/>
            </x14:dataBar>
          </x14:cfRule>
          <xm:sqref>O49</xm:sqref>
        </x14:conditionalFormatting>
        <x14:conditionalFormatting xmlns:xm="http://schemas.microsoft.com/office/excel/2006/main">
          <x14:cfRule type="dataBar" id="{44517271-0A0A-4345-859F-7849C55DD443}">
            <x14:dataBar minLength="0" maxLength="100" gradient="0">
              <x14:cfvo type="num">
                <xm:f>0</xm:f>
              </x14:cfvo>
              <x14:cfvo type="num">
                <xm:f>1</xm:f>
              </x14:cfvo>
              <x14:negativeFillColor rgb="FFFF0000"/>
              <x14:axisColor rgb="FF000000"/>
            </x14:dataBar>
          </x14:cfRule>
          <xm:sqref>O51</xm:sqref>
        </x14:conditionalFormatting>
        <x14:conditionalFormatting xmlns:xm="http://schemas.microsoft.com/office/excel/2006/main">
          <x14:cfRule type="dataBar" id="{A2B1D148-B2C5-4A40-906E-9F425E50DA6B}">
            <x14:dataBar minLength="0" maxLength="100" gradient="0">
              <x14:cfvo type="num">
                <xm:f>0</xm:f>
              </x14:cfvo>
              <x14:cfvo type="num">
                <xm:f>1</xm:f>
              </x14:cfvo>
              <x14:negativeFillColor rgb="FFFF0000"/>
              <x14:axisColor rgb="FF000000"/>
            </x14:dataBar>
          </x14:cfRule>
          <xm:sqref>O53</xm:sqref>
        </x14:conditionalFormatting>
        <x14:conditionalFormatting xmlns:xm="http://schemas.microsoft.com/office/excel/2006/main">
          <x14:cfRule type="dataBar" id="{C2E3DE5E-2328-4F73-80FD-5A807F21526F}">
            <x14:dataBar minLength="0" maxLength="100" gradient="0">
              <x14:cfvo type="num">
                <xm:f>0</xm:f>
              </x14:cfvo>
              <x14:cfvo type="num">
                <xm:f>1</xm:f>
              </x14:cfvo>
              <x14:negativeFillColor rgb="FFFF0000"/>
              <x14:axisColor rgb="FF000000"/>
            </x14:dataBar>
          </x14:cfRule>
          <xm:sqref>O55</xm:sqref>
        </x14:conditionalFormatting>
        <x14:conditionalFormatting xmlns:xm="http://schemas.microsoft.com/office/excel/2006/main">
          <x14:cfRule type="dataBar" id="{2EDB672C-C63B-493D-B2A0-8BE55DD137E3}">
            <x14:dataBar minLength="0" maxLength="100" gradient="0">
              <x14:cfvo type="num">
                <xm:f>0</xm:f>
              </x14:cfvo>
              <x14:cfvo type="num">
                <xm:f>1</xm:f>
              </x14:cfvo>
              <x14:negativeFillColor rgb="FFFF0000"/>
              <x14:axisColor rgb="FF000000"/>
            </x14:dataBar>
          </x14:cfRule>
          <xm:sqref>O57</xm:sqref>
        </x14:conditionalFormatting>
        <x14:conditionalFormatting xmlns:xm="http://schemas.microsoft.com/office/excel/2006/main">
          <x14:cfRule type="dataBar" id="{E94FC0E2-87E8-4278-B7F1-B6D505E6B9D5}">
            <x14:dataBar minLength="0" maxLength="100" gradient="0">
              <x14:cfvo type="num">
                <xm:f>0</xm:f>
              </x14:cfvo>
              <x14:cfvo type="num">
                <xm:f>1</xm:f>
              </x14:cfvo>
              <x14:negativeFillColor rgb="FFFF0000"/>
              <x14:axisColor rgb="FF000000"/>
            </x14:dataBar>
          </x14:cfRule>
          <xm:sqref>P4</xm:sqref>
        </x14:conditionalFormatting>
        <x14:conditionalFormatting xmlns:xm="http://schemas.microsoft.com/office/excel/2006/main">
          <x14:cfRule type="dataBar" id="{0B4A9D1A-41F6-484D-9765-3E7909314660}">
            <x14:dataBar minLength="0" maxLength="100" gradient="0">
              <x14:cfvo type="num">
                <xm:f>0</xm:f>
              </x14:cfvo>
              <x14:cfvo type="num">
                <xm:f>1</xm:f>
              </x14:cfvo>
              <x14:negativeFillColor rgb="FFFF0000"/>
              <x14:axisColor rgb="FF000000"/>
            </x14:dataBar>
          </x14:cfRule>
          <xm:sqref>P6 P8 P10 P12 P14 P16 P18 P20 P22 P24 P26 P28</xm:sqref>
        </x14:conditionalFormatting>
        <x14:conditionalFormatting xmlns:xm="http://schemas.microsoft.com/office/excel/2006/main">
          <x14:cfRule type="dataBar" id="{7FE3BF17-ABF1-46A7-AD12-7B2915D9B54F}">
            <x14:dataBar minLength="0" maxLength="100" gradient="0">
              <x14:cfvo type="num">
                <xm:f>0</xm:f>
              </x14:cfvo>
              <x14:cfvo type="num">
                <xm:f>1</xm:f>
              </x14:cfvo>
              <x14:negativeFillColor rgb="FFFF0000"/>
              <x14:axisColor rgb="FF000000"/>
            </x14:dataBar>
          </x14:cfRule>
          <xm:sqref>P33</xm:sqref>
        </x14:conditionalFormatting>
        <x14:conditionalFormatting xmlns:xm="http://schemas.microsoft.com/office/excel/2006/main">
          <x14:cfRule type="dataBar" id="{2DFFCA2B-6A9A-4487-B57A-16EAA053C5F2}">
            <x14:dataBar minLength="0" maxLength="100" gradient="0">
              <x14:cfvo type="num">
                <xm:f>0</xm:f>
              </x14:cfvo>
              <x14:cfvo type="num">
                <xm:f>1</xm:f>
              </x14:cfvo>
              <x14:negativeFillColor rgb="FFFF0000"/>
              <x14:axisColor rgb="FF000000"/>
            </x14:dataBar>
          </x14:cfRule>
          <xm:sqref>P35</xm:sqref>
        </x14:conditionalFormatting>
        <x14:conditionalFormatting xmlns:xm="http://schemas.microsoft.com/office/excel/2006/main">
          <x14:cfRule type="dataBar" id="{327AC291-7A99-4632-8385-FF1FC449FD65}">
            <x14:dataBar minLength="0" maxLength="100" gradient="0">
              <x14:cfvo type="num">
                <xm:f>0</xm:f>
              </x14:cfvo>
              <x14:cfvo type="num">
                <xm:f>1</xm:f>
              </x14:cfvo>
              <x14:negativeFillColor rgb="FFFF0000"/>
              <x14:axisColor rgb="FF000000"/>
            </x14:dataBar>
          </x14:cfRule>
          <xm:sqref>P37</xm:sqref>
        </x14:conditionalFormatting>
        <x14:conditionalFormatting xmlns:xm="http://schemas.microsoft.com/office/excel/2006/main">
          <x14:cfRule type="dataBar" id="{AB40F71C-5ED9-4404-A835-E0E50007B323}">
            <x14:dataBar minLength="0" maxLength="100" gradient="0">
              <x14:cfvo type="num">
                <xm:f>0</xm:f>
              </x14:cfvo>
              <x14:cfvo type="num">
                <xm:f>1</xm:f>
              </x14:cfvo>
              <x14:negativeFillColor rgb="FFFF0000"/>
              <x14:axisColor rgb="FF000000"/>
            </x14:dataBar>
          </x14:cfRule>
          <xm:sqref>P39</xm:sqref>
        </x14:conditionalFormatting>
        <x14:conditionalFormatting xmlns:xm="http://schemas.microsoft.com/office/excel/2006/main">
          <x14:cfRule type="dataBar" id="{BA74AE8A-BB49-447C-BDDA-D2E44280E8E4}">
            <x14:dataBar minLength="0" maxLength="100" gradient="0">
              <x14:cfvo type="num">
                <xm:f>0</xm:f>
              </x14:cfvo>
              <x14:cfvo type="num">
                <xm:f>1</xm:f>
              </x14:cfvo>
              <x14:negativeFillColor rgb="FFFF0000"/>
              <x14:axisColor rgb="FF000000"/>
            </x14:dataBar>
          </x14:cfRule>
          <xm:sqref>P41</xm:sqref>
        </x14:conditionalFormatting>
        <x14:conditionalFormatting xmlns:xm="http://schemas.microsoft.com/office/excel/2006/main">
          <x14:cfRule type="dataBar" id="{DE69D2EF-5605-4237-A91F-3FF20C125B0C}">
            <x14:dataBar minLength="0" maxLength="100" gradient="0">
              <x14:cfvo type="num">
                <xm:f>0</xm:f>
              </x14:cfvo>
              <x14:cfvo type="num">
                <xm:f>1</xm:f>
              </x14:cfvo>
              <x14:negativeFillColor rgb="FFFF0000"/>
              <x14:axisColor rgb="FF000000"/>
            </x14:dataBar>
          </x14:cfRule>
          <xm:sqref>P43</xm:sqref>
        </x14:conditionalFormatting>
        <x14:conditionalFormatting xmlns:xm="http://schemas.microsoft.com/office/excel/2006/main">
          <x14:cfRule type="dataBar" id="{702EC1DE-826C-4D7B-BC0D-BA82014D44F2}">
            <x14:dataBar minLength="0" maxLength="100" gradient="0">
              <x14:cfvo type="num">
                <xm:f>0</xm:f>
              </x14:cfvo>
              <x14:cfvo type="num">
                <xm:f>1</xm:f>
              </x14:cfvo>
              <x14:negativeFillColor rgb="FFFF0000"/>
              <x14:axisColor rgb="FF000000"/>
            </x14:dataBar>
          </x14:cfRule>
          <xm:sqref>P45</xm:sqref>
        </x14:conditionalFormatting>
        <x14:conditionalFormatting xmlns:xm="http://schemas.microsoft.com/office/excel/2006/main">
          <x14:cfRule type="dataBar" id="{C84F6664-2EBD-4901-A937-78AB97D812D7}">
            <x14:dataBar minLength="0" maxLength="100" gradient="0">
              <x14:cfvo type="num">
                <xm:f>0</xm:f>
              </x14:cfvo>
              <x14:cfvo type="num">
                <xm:f>1</xm:f>
              </x14:cfvo>
              <x14:negativeFillColor rgb="FFFF0000"/>
              <x14:axisColor rgb="FF000000"/>
            </x14:dataBar>
          </x14:cfRule>
          <xm:sqref>P47</xm:sqref>
        </x14:conditionalFormatting>
        <x14:conditionalFormatting xmlns:xm="http://schemas.microsoft.com/office/excel/2006/main">
          <x14:cfRule type="dataBar" id="{1BE94A16-9D65-48A3-989D-4A0C1912712F}">
            <x14:dataBar minLength="0" maxLength="100" gradient="0">
              <x14:cfvo type="num">
                <xm:f>0</xm:f>
              </x14:cfvo>
              <x14:cfvo type="num">
                <xm:f>1</xm:f>
              </x14:cfvo>
              <x14:negativeFillColor rgb="FFFF0000"/>
              <x14:axisColor rgb="FF000000"/>
            </x14:dataBar>
          </x14:cfRule>
          <xm:sqref>P49</xm:sqref>
        </x14:conditionalFormatting>
        <x14:conditionalFormatting xmlns:xm="http://schemas.microsoft.com/office/excel/2006/main">
          <x14:cfRule type="dataBar" id="{E5818D7F-B0E8-47AD-AF1A-6DBC08552199}">
            <x14:dataBar minLength="0" maxLength="100" gradient="0">
              <x14:cfvo type="num">
                <xm:f>0</xm:f>
              </x14:cfvo>
              <x14:cfvo type="num">
                <xm:f>1</xm:f>
              </x14:cfvo>
              <x14:negativeFillColor rgb="FFFF0000"/>
              <x14:axisColor rgb="FF000000"/>
            </x14:dataBar>
          </x14:cfRule>
          <xm:sqref>P51</xm:sqref>
        </x14:conditionalFormatting>
        <x14:conditionalFormatting xmlns:xm="http://schemas.microsoft.com/office/excel/2006/main">
          <x14:cfRule type="dataBar" id="{F6086004-8F65-4C86-8A7C-E2A2EB845E29}">
            <x14:dataBar minLength="0" maxLength="100" gradient="0">
              <x14:cfvo type="num">
                <xm:f>0</xm:f>
              </x14:cfvo>
              <x14:cfvo type="num">
                <xm:f>1</xm:f>
              </x14:cfvo>
              <x14:negativeFillColor rgb="FFFF0000"/>
              <x14:axisColor rgb="FF000000"/>
            </x14:dataBar>
          </x14:cfRule>
          <xm:sqref>P53</xm:sqref>
        </x14:conditionalFormatting>
        <x14:conditionalFormatting xmlns:xm="http://schemas.microsoft.com/office/excel/2006/main">
          <x14:cfRule type="dataBar" id="{34C4213B-1EA3-468B-AB16-CC56D50145E3}">
            <x14:dataBar minLength="0" maxLength="100" gradient="0">
              <x14:cfvo type="num">
                <xm:f>0</xm:f>
              </x14:cfvo>
              <x14:cfvo type="num">
                <xm:f>1</xm:f>
              </x14:cfvo>
              <x14:negativeFillColor rgb="FFFF0000"/>
              <x14:axisColor rgb="FF000000"/>
            </x14:dataBar>
          </x14:cfRule>
          <xm:sqref>P55</xm:sqref>
        </x14:conditionalFormatting>
        <x14:conditionalFormatting xmlns:xm="http://schemas.microsoft.com/office/excel/2006/main">
          <x14:cfRule type="dataBar" id="{5F098420-07B0-4DC0-8D31-EE21547B06F2}">
            <x14:dataBar minLength="0" maxLength="100" gradient="0">
              <x14:cfvo type="num">
                <xm:f>0</xm:f>
              </x14:cfvo>
              <x14:cfvo type="num">
                <xm:f>1</xm:f>
              </x14:cfvo>
              <x14:negativeFillColor rgb="FFFF0000"/>
              <x14:axisColor rgb="FF000000"/>
            </x14:dataBar>
          </x14:cfRule>
          <xm:sqref>P57</xm:sqref>
        </x14:conditionalFormatting>
        <x14:conditionalFormatting xmlns:xm="http://schemas.microsoft.com/office/excel/2006/main">
          <x14:cfRule type="dataBar" id="{9A2E316D-B305-4EE6-A2EE-A6E149BFDC86}">
            <x14:dataBar minLength="0" maxLength="100" gradient="0">
              <x14:cfvo type="num">
                <xm:f>0</xm:f>
              </x14:cfvo>
              <x14:cfvo type="num">
                <xm:f>1</xm:f>
              </x14:cfvo>
              <x14:negativeFillColor rgb="FFFF0000"/>
              <x14:axisColor rgb="FF000000"/>
            </x14:dataBar>
          </x14:cfRule>
          <xm:sqref>Q4</xm:sqref>
        </x14:conditionalFormatting>
        <x14:conditionalFormatting xmlns:xm="http://schemas.microsoft.com/office/excel/2006/main">
          <x14:cfRule type="dataBar" id="{6B41A06A-3C8C-4936-BAD2-2CEE4442B4B1}">
            <x14:dataBar minLength="0" maxLength="100" gradient="0">
              <x14:cfvo type="num">
                <xm:f>0</xm:f>
              </x14:cfvo>
              <x14:cfvo type="num">
                <xm:f>1</xm:f>
              </x14:cfvo>
              <x14:negativeFillColor rgb="FFFF0000"/>
              <x14:axisColor rgb="FF000000"/>
            </x14:dataBar>
          </x14:cfRule>
          <xm:sqref>Q6 Q8 Q10 Q12 Q14 Q16 Q18 Q20 Q22 Q24 Q26 Q28</xm:sqref>
        </x14:conditionalFormatting>
        <x14:conditionalFormatting xmlns:xm="http://schemas.microsoft.com/office/excel/2006/main">
          <x14:cfRule type="dataBar" id="{9D009248-587F-4E14-99DA-1A9776E7F116}">
            <x14:dataBar minLength="0" maxLength="100" gradient="0">
              <x14:cfvo type="num">
                <xm:f>0</xm:f>
              </x14:cfvo>
              <x14:cfvo type="num">
                <xm:f>1</xm:f>
              </x14:cfvo>
              <x14:negativeFillColor rgb="FFFF0000"/>
              <x14:axisColor rgb="FF000000"/>
            </x14:dataBar>
          </x14:cfRule>
          <xm:sqref>Q33</xm:sqref>
        </x14:conditionalFormatting>
        <x14:conditionalFormatting xmlns:xm="http://schemas.microsoft.com/office/excel/2006/main">
          <x14:cfRule type="dataBar" id="{48C31267-D891-4E58-9FD4-9F7FB472B2E2}">
            <x14:dataBar minLength="0" maxLength="100" gradient="0">
              <x14:cfvo type="num">
                <xm:f>0</xm:f>
              </x14:cfvo>
              <x14:cfvo type="num">
                <xm:f>1</xm:f>
              </x14:cfvo>
              <x14:negativeFillColor rgb="FFFF0000"/>
              <x14:axisColor rgb="FF000000"/>
            </x14:dataBar>
          </x14:cfRule>
          <xm:sqref>Q35</xm:sqref>
        </x14:conditionalFormatting>
        <x14:conditionalFormatting xmlns:xm="http://schemas.microsoft.com/office/excel/2006/main">
          <x14:cfRule type="dataBar" id="{FEA430CF-70B5-4CB2-B054-C238F9F4D177}">
            <x14:dataBar minLength="0" maxLength="100" gradient="0">
              <x14:cfvo type="num">
                <xm:f>0</xm:f>
              </x14:cfvo>
              <x14:cfvo type="num">
                <xm:f>1</xm:f>
              </x14:cfvo>
              <x14:negativeFillColor rgb="FFFF0000"/>
              <x14:axisColor rgb="FF000000"/>
            </x14:dataBar>
          </x14:cfRule>
          <xm:sqref>Q37</xm:sqref>
        </x14:conditionalFormatting>
        <x14:conditionalFormatting xmlns:xm="http://schemas.microsoft.com/office/excel/2006/main">
          <x14:cfRule type="dataBar" id="{BA7F3BFD-EA27-4A90-913B-E42C27AE21DE}">
            <x14:dataBar minLength="0" maxLength="100" gradient="0">
              <x14:cfvo type="num">
                <xm:f>0</xm:f>
              </x14:cfvo>
              <x14:cfvo type="num">
                <xm:f>1</xm:f>
              </x14:cfvo>
              <x14:negativeFillColor rgb="FFFF0000"/>
              <x14:axisColor rgb="FF000000"/>
            </x14:dataBar>
          </x14:cfRule>
          <xm:sqref>Q39</xm:sqref>
        </x14:conditionalFormatting>
        <x14:conditionalFormatting xmlns:xm="http://schemas.microsoft.com/office/excel/2006/main">
          <x14:cfRule type="dataBar" id="{E2F91789-1D4E-43C2-9CE3-55BF759B2692}">
            <x14:dataBar minLength="0" maxLength="100" gradient="0">
              <x14:cfvo type="num">
                <xm:f>0</xm:f>
              </x14:cfvo>
              <x14:cfvo type="num">
                <xm:f>1</xm:f>
              </x14:cfvo>
              <x14:negativeFillColor rgb="FFFF0000"/>
              <x14:axisColor rgb="FF000000"/>
            </x14:dataBar>
          </x14:cfRule>
          <xm:sqref>Q41</xm:sqref>
        </x14:conditionalFormatting>
        <x14:conditionalFormatting xmlns:xm="http://schemas.microsoft.com/office/excel/2006/main">
          <x14:cfRule type="dataBar" id="{3DD0C2FC-C8DB-4611-8183-636E49F26792}">
            <x14:dataBar minLength="0" maxLength="100" gradient="0">
              <x14:cfvo type="num">
                <xm:f>0</xm:f>
              </x14:cfvo>
              <x14:cfvo type="num">
                <xm:f>1</xm:f>
              </x14:cfvo>
              <x14:negativeFillColor rgb="FFFF0000"/>
              <x14:axisColor rgb="FF000000"/>
            </x14:dataBar>
          </x14:cfRule>
          <xm:sqref>Q43</xm:sqref>
        </x14:conditionalFormatting>
        <x14:conditionalFormatting xmlns:xm="http://schemas.microsoft.com/office/excel/2006/main">
          <x14:cfRule type="dataBar" id="{2202966E-A918-43C5-B160-E2674BF34DB2}">
            <x14:dataBar minLength="0" maxLength="100" gradient="0">
              <x14:cfvo type="num">
                <xm:f>0</xm:f>
              </x14:cfvo>
              <x14:cfvo type="num">
                <xm:f>1</xm:f>
              </x14:cfvo>
              <x14:negativeFillColor rgb="FFFF0000"/>
              <x14:axisColor rgb="FF000000"/>
            </x14:dataBar>
          </x14:cfRule>
          <xm:sqref>Q45</xm:sqref>
        </x14:conditionalFormatting>
        <x14:conditionalFormatting xmlns:xm="http://schemas.microsoft.com/office/excel/2006/main">
          <x14:cfRule type="dataBar" id="{74879423-CA90-4978-A07C-A68F295ADC73}">
            <x14:dataBar minLength="0" maxLength="100" gradient="0">
              <x14:cfvo type="num">
                <xm:f>0</xm:f>
              </x14:cfvo>
              <x14:cfvo type="num">
                <xm:f>1</xm:f>
              </x14:cfvo>
              <x14:negativeFillColor rgb="FFFF0000"/>
              <x14:axisColor rgb="FF000000"/>
            </x14:dataBar>
          </x14:cfRule>
          <xm:sqref>Q47</xm:sqref>
        </x14:conditionalFormatting>
        <x14:conditionalFormatting xmlns:xm="http://schemas.microsoft.com/office/excel/2006/main">
          <x14:cfRule type="dataBar" id="{16B34869-EF27-41E2-AB82-251EE5528681}">
            <x14:dataBar minLength="0" maxLength="100" gradient="0">
              <x14:cfvo type="num">
                <xm:f>0</xm:f>
              </x14:cfvo>
              <x14:cfvo type="num">
                <xm:f>1</xm:f>
              </x14:cfvo>
              <x14:negativeFillColor rgb="FFFF0000"/>
              <x14:axisColor rgb="FF000000"/>
            </x14:dataBar>
          </x14:cfRule>
          <xm:sqref>Q49</xm:sqref>
        </x14:conditionalFormatting>
        <x14:conditionalFormatting xmlns:xm="http://schemas.microsoft.com/office/excel/2006/main">
          <x14:cfRule type="dataBar" id="{4DD6DD23-D037-4702-A7A0-DEFD7CC769D4}">
            <x14:dataBar minLength="0" maxLength="100" gradient="0">
              <x14:cfvo type="num">
                <xm:f>0</xm:f>
              </x14:cfvo>
              <x14:cfvo type="num">
                <xm:f>1</xm:f>
              </x14:cfvo>
              <x14:negativeFillColor rgb="FFFF0000"/>
              <x14:axisColor rgb="FF000000"/>
            </x14:dataBar>
          </x14:cfRule>
          <xm:sqref>Q51</xm:sqref>
        </x14:conditionalFormatting>
        <x14:conditionalFormatting xmlns:xm="http://schemas.microsoft.com/office/excel/2006/main">
          <x14:cfRule type="dataBar" id="{E84D201C-FAF2-48EE-8323-69EFECFE1A8C}">
            <x14:dataBar minLength="0" maxLength="100" gradient="0">
              <x14:cfvo type="num">
                <xm:f>0</xm:f>
              </x14:cfvo>
              <x14:cfvo type="num">
                <xm:f>1</xm:f>
              </x14:cfvo>
              <x14:negativeFillColor rgb="FFFF0000"/>
              <x14:axisColor rgb="FF000000"/>
            </x14:dataBar>
          </x14:cfRule>
          <xm:sqref>Q53</xm:sqref>
        </x14:conditionalFormatting>
        <x14:conditionalFormatting xmlns:xm="http://schemas.microsoft.com/office/excel/2006/main">
          <x14:cfRule type="dataBar" id="{D6FBBC2B-4844-4DF5-8628-421622958E07}">
            <x14:dataBar minLength="0" maxLength="100" gradient="0">
              <x14:cfvo type="num">
                <xm:f>0</xm:f>
              </x14:cfvo>
              <x14:cfvo type="num">
                <xm:f>1</xm:f>
              </x14:cfvo>
              <x14:negativeFillColor rgb="FFFF0000"/>
              <x14:axisColor rgb="FF000000"/>
            </x14:dataBar>
          </x14:cfRule>
          <xm:sqref>Q55</xm:sqref>
        </x14:conditionalFormatting>
        <x14:conditionalFormatting xmlns:xm="http://schemas.microsoft.com/office/excel/2006/main">
          <x14:cfRule type="dataBar" id="{762BBEF5-A8C2-4B44-87A7-252A9C829F05}">
            <x14:dataBar minLength="0" maxLength="100" gradient="0">
              <x14:cfvo type="num">
                <xm:f>0</xm:f>
              </x14:cfvo>
              <x14:cfvo type="num">
                <xm:f>1</xm:f>
              </x14:cfvo>
              <x14:negativeFillColor rgb="FFFF0000"/>
              <x14:axisColor rgb="FF000000"/>
            </x14:dataBar>
          </x14:cfRule>
          <xm:sqref>Q57</xm:sqref>
        </x14:conditionalFormatting>
        <x14:conditionalFormatting xmlns:xm="http://schemas.microsoft.com/office/excel/2006/main">
          <x14:cfRule type="dataBar" id="{BDD30849-D054-44C7-8BE9-321A98E961A1}">
            <x14:dataBar minLength="0" maxLength="100" gradient="0">
              <x14:cfvo type="num">
                <xm:f>0</xm:f>
              </x14:cfvo>
              <x14:cfvo type="num">
                <xm:f>1</xm:f>
              </x14:cfvo>
              <x14:negativeFillColor rgb="FFFF0000"/>
              <x14:axisColor rgb="FF000000"/>
            </x14:dataBar>
          </x14:cfRule>
          <xm:sqref>R8 R6 R10 R12 R14 R16 R18 R20 R22 R24 R26 R28 X6 X8 X10 X12 X14 X16 X18 X20 X22 X24 X26 X28 AD6 AD8 AD10 AD12 AD14 AD16 AD18 AD20 AD22 AD24 AD26 AD28 AJ6 AJ8 AJ10 AJ12 AJ14 AJ16 AJ18 AJ20 AJ22 AJ24 AJ26 AJ28 AP6 AP8 AP10 AP12 AP14 AP16 AP18 AP20 AP22 AP24 AP26 AP28 AV6 AV8 AV10 AV12 AV14 AV16 AV18 AV20 AV22 AV24 AV26 AV28</xm:sqref>
        </x14:conditionalFormatting>
        <x14:conditionalFormatting xmlns:xm="http://schemas.microsoft.com/office/excel/2006/main">
          <x14:cfRule type="dataBar" id="{32831762-5DD6-4383-82A9-6F145D1A81B5}">
            <x14:dataBar minLength="0" maxLength="100" gradient="0">
              <x14:cfvo type="num">
                <xm:f>0</xm:f>
              </x14:cfvo>
              <x14:cfvo type="num">
                <xm:f>1</xm:f>
              </x14:cfvo>
              <x14:negativeFillColor rgb="FFFF0000"/>
              <x14:axisColor rgb="FF000000"/>
            </x14:dataBar>
          </x14:cfRule>
          <xm:sqref>R33</xm:sqref>
        </x14:conditionalFormatting>
        <x14:conditionalFormatting xmlns:xm="http://schemas.microsoft.com/office/excel/2006/main">
          <x14:cfRule type="dataBar" id="{70E7F0A9-54EA-4D18-AF1E-4FC2CEA9D88F}">
            <x14:dataBar minLength="0" maxLength="100" gradient="0">
              <x14:cfvo type="num">
                <xm:f>0</xm:f>
              </x14:cfvo>
              <x14:cfvo type="num">
                <xm:f>1</xm:f>
              </x14:cfvo>
              <x14:negativeFillColor rgb="FFFF0000"/>
              <x14:axisColor rgb="FF000000"/>
            </x14:dataBar>
          </x14:cfRule>
          <xm:sqref>R35</xm:sqref>
        </x14:conditionalFormatting>
        <x14:conditionalFormatting xmlns:xm="http://schemas.microsoft.com/office/excel/2006/main">
          <x14:cfRule type="dataBar" id="{B01477AA-B02C-4AEF-84CD-17A58ECA44FB}">
            <x14:dataBar minLength="0" maxLength="100" gradient="0">
              <x14:cfvo type="num">
                <xm:f>0</xm:f>
              </x14:cfvo>
              <x14:cfvo type="num">
                <xm:f>1</xm:f>
              </x14:cfvo>
              <x14:negativeFillColor rgb="FFFF0000"/>
              <x14:axisColor rgb="FF000000"/>
            </x14:dataBar>
          </x14:cfRule>
          <xm:sqref>R37</xm:sqref>
        </x14:conditionalFormatting>
        <x14:conditionalFormatting xmlns:xm="http://schemas.microsoft.com/office/excel/2006/main">
          <x14:cfRule type="dataBar" id="{33CA3711-1A37-47CA-8BC9-FB3120EC07C5}">
            <x14:dataBar minLength="0" maxLength="100" gradient="0">
              <x14:cfvo type="num">
                <xm:f>0</xm:f>
              </x14:cfvo>
              <x14:cfvo type="num">
                <xm:f>1</xm:f>
              </x14:cfvo>
              <x14:negativeFillColor rgb="FFFF0000"/>
              <x14:axisColor rgb="FF000000"/>
            </x14:dataBar>
          </x14:cfRule>
          <xm:sqref>R39</xm:sqref>
        </x14:conditionalFormatting>
        <x14:conditionalFormatting xmlns:xm="http://schemas.microsoft.com/office/excel/2006/main">
          <x14:cfRule type="dataBar" id="{66E17421-6280-4435-AEB6-3E3A7A2A8E35}">
            <x14:dataBar minLength="0" maxLength="100" gradient="0">
              <x14:cfvo type="num">
                <xm:f>0</xm:f>
              </x14:cfvo>
              <x14:cfvo type="num">
                <xm:f>1</xm:f>
              </x14:cfvo>
              <x14:negativeFillColor rgb="FFFF0000"/>
              <x14:axisColor rgb="FF000000"/>
            </x14:dataBar>
          </x14:cfRule>
          <xm:sqref>R41</xm:sqref>
        </x14:conditionalFormatting>
        <x14:conditionalFormatting xmlns:xm="http://schemas.microsoft.com/office/excel/2006/main">
          <x14:cfRule type="dataBar" id="{12C6705F-D451-4EC3-B417-BF36C2A9A8FF}">
            <x14:dataBar minLength="0" maxLength="100" gradient="0">
              <x14:cfvo type="num">
                <xm:f>0</xm:f>
              </x14:cfvo>
              <x14:cfvo type="num">
                <xm:f>1</xm:f>
              </x14:cfvo>
              <x14:negativeFillColor rgb="FFFF0000"/>
              <x14:axisColor rgb="FF000000"/>
            </x14:dataBar>
          </x14:cfRule>
          <xm:sqref>R43</xm:sqref>
        </x14:conditionalFormatting>
        <x14:conditionalFormatting xmlns:xm="http://schemas.microsoft.com/office/excel/2006/main">
          <x14:cfRule type="dataBar" id="{3D6D18C7-890B-4FB7-9E6C-FA7E5FE7F66E}">
            <x14:dataBar minLength="0" maxLength="100" gradient="0">
              <x14:cfvo type="num">
                <xm:f>0</xm:f>
              </x14:cfvo>
              <x14:cfvo type="num">
                <xm:f>1</xm:f>
              </x14:cfvo>
              <x14:negativeFillColor rgb="FFFF0000"/>
              <x14:axisColor rgb="FF000000"/>
            </x14:dataBar>
          </x14:cfRule>
          <xm:sqref>R45</xm:sqref>
        </x14:conditionalFormatting>
        <x14:conditionalFormatting xmlns:xm="http://schemas.microsoft.com/office/excel/2006/main">
          <x14:cfRule type="dataBar" id="{88A8AC98-4184-4A65-9646-46358E222310}">
            <x14:dataBar minLength="0" maxLength="100" gradient="0">
              <x14:cfvo type="num">
                <xm:f>0</xm:f>
              </x14:cfvo>
              <x14:cfvo type="num">
                <xm:f>1</xm:f>
              </x14:cfvo>
              <x14:negativeFillColor rgb="FFFF0000"/>
              <x14:axisColor rgb="FF000000"/>
            </x14:dataBar>
          </x14:cfRule>
          <xm:sqref>R47</xm:sqref>
        </x14:conditionalFormatting>
        <x14:conditionalFormatting xmlns:xm="http://schemas.microsoft.com/office/excel/2006/main">
          <x14:cfRule type="dataBar" id="{9DACD65E-219E-4369-B93E-759E1EA0777D}">
            <x14:dataBar minLength="0" maxLength="100" gradient="0">
              <x14:cfvo type="num">
                <xm:f>0</xm:f>
              </x14:cfvo>
              <x14:cfvo type="num">
                <xm:f>1</xm:f>
              </x14:cfvo>
              <x14:negativeFillColor rgb="FFFF0000"/>
              <x14:axisColor rgb="FF000000"/>
            </x14:dataBar>
          </x14:cfRule>
          <xm:sqref>R49</xm:sqref>
        </x14:conditionalFormatting>
        <x14:conditionalFormatting xmlns:xm="http://schemas.microsoft.com/office/excel/2006/main">
          <x14:cfRule type="dataBar" id="{4F5255A3-50D3-47CC-BCCE-96C3361B1058}">
            <x14:dataBar minLength="0" maxLength="100" gradient="0">
              <x14:cfvo type="num">
                <xm:f>0</xm:f>
              </x14:cfvo>
              <x14:cfvo type="num">
                <xm:f>1</xm:f>
              </x14:cfvo>
              <x14:negativeFillColor rgb="FFFF0000"/>
              <x14:axisColor rgb="FF000000"/>
            </x14:dataBar>
          </x14:cfRule>
          <xm:sqref>R51</xm:sqref>
        </x14:conditionalFormatting>
        <x14:conditionalFormatting xmlns:xm="http://schemas.microsoft.com/office/excel/2006/main">
          <x14:cfRule type="dataBar" id="{F2A81EED-73D0-42B6-AC2E-BF7C8D7DE370}">
            <x14:dataBar minLength="0" maxLength="100" gradient="0">
              <x14:cfvo type="num">
                <xm:f>0</xm:f>
              </x14:cfvo>
              <x14:cfvo type="num">
                <xm:f>1</xm:f>
              </x14:cfvo>
              <x14:negativeFillColor rgb="FFFF0000"/>
              <x14:axisColor rgb="FF000000"/>
            </x14:dataBar>
          </x14:cfRule>
          <xm:sqref>R53</xm:sqref>
        </x14:conditionalFormatting>
        <x14:conditionalFormatting xmlns:xm="http://schemas.microsoft.com/office/excel/2006/main">
          <x14:cfRule type="dataBar" id="{06A2A414-96E6-42F4-A011-7E79F51C2A31}">
            <x14:dataBar minLength="0" maxLength="100" gradient="0">
              <x14:cfvo type="num">
                <xm:f>0</xm:f>
              </x14:cfvo>
              <x14:cfvo type="num">
                <xm:f>1</xm:f>
              </x14:cfvo>
              <x14:negativeFillColor rgb="FFFF0000"/>
              <x14:axisColor rgb="FF000000"/>
            </x14:dataBar>
          </x14:cfRule>
          <xm:sqref>R55</xm:sqref>
        </x14:conditionalFormatting>
        <x14:conditionalFormatting xmlns:xm="http://schemas.microsoft.com/office/excel/2006/main">
          <x14:cfRule type="dataBar" id="{1F05DE26-7C51-42CB-B807-E519D946DD93}">
            <x14:dataBar minLength="0" maxLength="100" gradient="0">
              <x14:cfvo type="num">
                <xm:f>0</xm:f>
              </x14:cfvo>
              <x14:cfvo type="num">
                <xm:f>1</xm:f>
              </x14:cfvo>
              <x14:negativeFillColor rgb="FFFF0000"/>
              <x14:axisColor rgb="FF000000"/>
            </x14:dataBar>
          </x14:cfRule>
          <xm:sqref>R57</xm:sqref>
        </x14:conditionalFormatting>
        <x14:conditionalFormatting xmlns:xm="http://schemas.microsoft.com/office/excel/2006/main">
          <x14:cfRule type="dataBar" id="{D4B07AB2-5273-4589-A911-D880C22C32A1}">
            <x14:dataBar minLength="0" maxLength="100" gradient="0">
              <x14:cfvo type="num">
                <xm:f>0</xm:f>
              </x14:cfvo>
              <x14:cfvo type="num">
                <xm:f>1</xm:f>
              </x14:cfvo>
              <x14:negativeFillColor rgb="FFFF0000"/>
              <x14:axisColor rgb="FF000000"/>
            </x14:dataBar>
          </x14:cfRule>
          <xm:sqref>S6 S8 S10 S12 S14 S16 S18 S20 S22 S24 S26 S28 Y6 Y8 Y10 Y12 Y14 Y16 Y18 Y20 Y22 Y24 Y26 Y28 AE6 AE8 AE10 AE12 AE14 AE16 AE18 AE20 AE22 AE24 AE26 AE28 AK6 AK8 AK10 AK12 AK14 AK16 AK18 AK20 AK22 AK24 AK26 AK28 AQ6 AQ8 AQ10 AQ12 AQ14 AQ16 AQ18 AQ20 AQ22 AQ24 AQ26 AQ28 AW6 AW8 AW10 AW12 AW14 AW16 AW18 AW20 AW22 AW24 AW26 AW28</xm:sqref>
        </x14:conditionalFormatting>
        <x14:conditionalFormatting xmlns:xm="http://schemas.microsoft.com/office/excel/2006/main">
          <x14:cfRule type="dataBar" id="{715445F7-7DAE-46E5-B057-35387403E57D}">
            <x14:dataBar minLength="0" maxLength="100" gradient="0">
              <x14:cfvo type="num">
                <xm:f>0</xm:f>
              </x14:cfvo>
              <x14:cfvo type="num">
                <xm:f>1</xm:f>
              </x14:cfvo>
              <x14:negativeFillColor rgb="FFFF0000"/>
              <x14:axisColor rgb="FF000000"/>
            </x14:dataBar>
          </x14:cfRule>
          <xm:sqref>S33</xm:sqref>
        </x14:conditionalFormatting>
        <x14:conditionalFormatting xmlns:xm="http://schemas.microsoft.com/office/excel/2006/main">
          <x14:cfRule type="dataBar" id="{3F2392EF-BE97-4810-B4B0-3450CA11A74F}">
            <x14:dataBar minLength="0" maxLength="100" gradient="0">
              <x14:cfvo type="num">
                <xm:f>0</xm:f>
              </x14:cfvo>
              <x14:cfvo type="num">
                <xm:f>1</xm:f>
              </x14:cfvo>
              <x14:negativeFillColor rgb="FFFF0000"/>
              <x14:axisColor rgb="FF000000"/>
            </x14:dataBar>
          </x14:cfRule>
          <xm:sqref>S35</xm:sqref>
        </x14:conditionalFormatting>
        <x14:conditionalFormatting xmlns:xm="http://schemas.microsoft.com/office/excel/2006/main">
          <x14:cfRule type="dataBar" id="{6EF9A539-EBCE-4971-A0B7-E40E39B3F252}">
            <x14:dataBar minLength="0" maxLength="100" gradient="0">
              <x14:cfvo type="num">
                <xm:f>0</xm:f>
              </x14:cfvo>
              <x14:cfvo type="num">
                <xm:f>1</xm:f>
              </x14:cfvo>
              <x14:negativeFillColor rgb="FFFF0000"/>
              <x14:axisColor rgb="FF000000"/>
            </x14:dataBar>
          </x14:cfRule>
          <xm:sqref>S37</xm:sqref>
        </x14:conditionalFormatting>
        <x14:conditionalFormatting xmlns:xm="http://schemas.microsoft.com/office/excel/2006/main">
          <x14:cfRule type="dataBar" id="{4C2EDCD5-676B-4250-8189-F276B340C575}">
            <x14:dataBar minLength="0" maxLength="100" gradient="0">
              <x14:cfvo type="num">
                <xm:f>0</xm:f>
              </x14:cfvo>
              <x14:cfvo type="num">
                <xm:f>1</xm:f>
              </x14:cfvo>
              <x14:negativeFillColor rgb="FFFF0000"/>
              <x14:axisColor rgb="FF000000"/>
            </x14:dataBar>
          </x14:cfRule>
          <xm:sqref>S39</xm:sqref>
        </x14:conditionalFormatting>
        <x14:conditionalFormatting xmlns:xm="http://schemas.microsoft.com/office/excel/2006/main">
          <x14:cfRule type="dataBar" id="{707ECE5F-CBC0-4D25-A341-975B4E2CD701}">
            <x14:dataBar minLength="0" maxLength="100" gradient="0">
              <x14:cfvo type="num">
                <xm:f>0</xm:f>
              </x14:cfvo>
              <x14:cfvo type="num">
                <xm:f>1</xm:f>
              </x14:cfvo>
              <x14:negativeFillColor rgb="FFFF0000"/>
              <x14:axisColor rgb="FF000000"/>
            </x14:dataBar>
          </x14:cfRule>
          <xm:sqref>S41</xm:sqref>
        </x14:conditionalFormatting>
        <x14:conditionalFormatting xmlns:xm="http://schemas.microsoft.com/office/excel/2006/main">
          <x14:cfRule type="dataBar" id="{D413C904-C231-42AB-969E-B4D10825DD84}">
            <x14:dataBar minLength="0" maxLength="100" gradient="0">
              <x14:cfvo type="num">
                <xm:f>0</xm:f>
              </x14:cfvo>
              <x14:cfvo type="num">
                <xm:f>1</xm:f>
              </x14:cfvo>
              <x14:negativeFillColor rgb="FFFF0000"/>
              <x14:axisColor rgb="FF000000"/>
            </x14:dataBar>
          </x14:cfRule>
          <xm:sqref>S43</xm:sqref>
        </x14:conditionalFormatting>
        <x14:conditionalFormatting xmlns:xm="http://schemas.microsoft.com/office/excel/2006/main">
          <x14:cfRule type="dataBar" id="{97A01BEC-99D6-4FBD-AB8F-A8E0B2F94860}">
            <x14:dataBar minLength="0" maxLength="100" gradient="0">
              <x14:cfvo type="num">
                <xm:f>0</xm:f>
              </x14:cfvo>
              <x14:cfvo type="num">
                <xm:f>1</xm:f>
              </x14:cfvo>
              <x14:negativeFillColor rgb="FFFF0000"/>
              <x14:axisColor rgb="FF000000"/>
            </x14:dataBar>
          </x14:cfRule>
          <xm:sqref>S45</xm:sqref>
        </x14:conditionalFormatting>
        <x14:conditionalFormatting xmlns:xm="http://schemas.microsoft.com/office/excel/2006/main">
          <x14:cfRule type="dataBar" id="{661627FF-EDBF-4162-A6E7-69FC70B1DB56}">
            <x14:dataBar minLength="0" maxLength="100" gradient="0">
              <x14:cfvo type="num">
                <xm:f>0</xm:f>
              </x14:cfvo>
              <x14:cfvo type="num">
                <xm:f>1</xm:f>
              </x14:cfvo>
              <x14:negativeFillColor rgb="FFFF0000"/>
              <x14:axisColor rgb="FF000000"/>
            </x14:dataBar>
          </x14:cfRule>
          <xm:sqref>S47</xm:sqref>
        </x14:conditionalFormatting>
        <x14:conditionalFormatting xmlns:xm="http://schemas.microsoft.com/office/excel/2006/main">
          <x14:cfRule type="dataBar" id="{E0FC969C-C206-40EF-B51D-76B75F07EB12}">
            <x14:dataBar minLength="0" maxLength="100" gradient="0">
              <x14:cfvo type="num">
                <xm:f>0</xm:f>
              </x14:cfvo>
              <x14:cfvo type="num">
                <xm:f>1</xm:f>
              </x14:cfvo>
              <x14:negativeFillColor rgb="FFFF0000"/>
              <x14:axisColor rgb="FF000000"/>
            </x14:dataBar>
          </x14:cfRule>
          <xm:sqref>S49</xm:sqref>
        </x14:conditionalFormatting>
        <x14:conditionalFormatting xmlns:xm="http://schemas.microsoft.com/office/excel/2006/main">
          <x14:cfRule type="dataBar" id="{F16311B7-4F65-4AC0-903C-2796313B09BB}">
            <x14:dataBar minLength="0" maxLength="100" gradient="0">
              <x14:cfvo type="num">
                <xm:f>0</xm:f>
              </x14:cfvo>
              <x14:cfvo type="num">
                <xm:f>1</xm:f>
              </x14:cfvo>
              <x14:negativeFillColor rgb="FFFF0000"/>
              <x14:axisColor rgb="FF000000"/>
            </x14:dataBar>
          </x14:cfRule>
          <xm:sqref>S51</xm:sqref>
        </x14:conditionalFormatting>
        <x14:conditionalFormatting xmlns:xm="http://schemas.microsoft.com/office/excel/2006/main">
          <x14:cfRule type="dataBar" id="{FB90363C-DD16-456D-9BFC-AFF7AC131DCB}">
            <x14:dataBar minLength="0" maxLength="100" gradient="0">
              <x14:cfvo type="num">
                <xm:f>0</xm:f>
              </x14:cfvo>
              <x14:cfvo type="num">
                <xm:f>1</xm:f>
              </x14:cfvo>
              <x14:negativeFillColor rgb="FFFF0000"/>
              <x14:axisColor rgb="FF000000"/>
            </x14:dataBar>
          </x14:cfRule>
          <xm:sqref>S53</xm:sqref>
        </x14:conditionalFormatting>
        <x14:conditionalFormatting xmlns:xm="http://schemas.microsoft.com/office/excel/2006/main">
          <x14:cfRule type="dataBar" id="{F7955611-75B1-4E2E-BC2F-952AFEBBC5ED}">
            <x14:dataBar minLength="0" maxLength="100" gradient="0">
              <x14:cfvo type="num">
                <xm:f>0</xm:f>
              </x14:cfvo>
              <x14:cfvo type="num">
                <xm:f>1</xm:f>
              </x14:cfvo>
              <x14:negativeFillColor rgb="FFFF0000"/>
              <x14:axisColor rgb="FF000000"/>
            </x14:dataBar>
          </x14:cfRule>
          <xm:sqref>S55</xm:sqref>
        </x14:conditionalFormatting>
        <x14:conditionalFormatting xmlns:xm="http://schemas.microsoft.com/office/excel/2006/main">
          <x14:cfRule type="dataBar" id="{3AB9E506-7D36-48D8-90F4-255F8EB19D8B}">
            <x14:dataBar minLength="0" maxLength="100" gradient="0">
              <x14:cfvo type="num">
                <xm:f>0</xm:f>
              </x14:cfvo>
              <x14:cfvo type="num">
                <xm:f>1</xm:f>
              </x14:cfvo>
              <x14:negativeFillColor rgb="FFFF0000"/>
              <x14:axisColor rgb="FF000000"/>
            </x14:dataBar>
          </x14:cfRule>
          <xm:sqref>S57</xm:sqref>
        </x14:conditionalFormatting>
        <x14:conditionalFormatting xmlns:xm="http://schemas.microsoft.com/office/excel/2006/main">
          <x14:cfRule type="dataBar" id="{ADB64D95-A1A4-45FD-93D0-903BA3ED6F83}">
            <x14:dataBar minLength="0" maxLength="100" gradient="0">
              <x14:cfvo type="num">
                <xm:f>0</xm:f>
              </x14:cfvo>
              <x14:cfvo type="num">
                <xm:f>1</xm:f>
              </x14:cfvo>
              <x14:negativeFillColor rgb="FFFF0000"/>
              <x14:axisColor rgb="FF000000"/>
            </x14:dataBar>
          </x14:cfRule>
          <xm:sqref>T8 T6 T10 T12 T14 T16 T18 T20 T22 T24 T26 T28 Z6 Z8 Z10 Z12 Z14 Z16 Z18 Z20 Z22 Z24 Z26 Z28 AF6 AF8 AF10 AF12 AF14 AF16 AF18 AF20 AF22 AF24 AF26 AF28 AL6 AL8 AL10 AL12 AL14 AL16 AL18 AL20 AL22 AL24 AL26 AL28 AR6 AR8 AR10 AR12 AR14 AR16 AR18 AR20 AR22 AR24 AR26 AR28 AX6 AX8 AX10 AX12 AX14 AX16 AX18 AX20 AX22 AX24 AX26 AX28</xm:sqref>
        </x14:conditionalFormatting>
        <x14:conditionalFormatting xmlns:xm="http://schemas.microsoft.com/office/excel/2006/main">
          <x14:cfRule type="dataBar" id="{EBF96F82-0076-40AA-935E-711486DF90DC}">
            <x14:dataBar minLength="0" maxLength="100" gradient="0">
              <x14:cfvo type="num">
                <xm:f>0</xm:f>
              </x14:cfvo>
              <x14:cfvo type="num">
                <xm:f>1</xm:f>
              </x14:cfvo>
              <x14:negativeFillColor rgb="FFFF0000"/>
              <x14:axisColor rgb="FF000000"/>
            </x14:dataBar>
          </x14:cfRule>
          <xm:sqref>T33</xm:sqref>
        </x14:conditionalFormatting>
        <x14:conditionalFormatting xmlns:xm="http://schemas.microsoft.com/office/excel/2006/main">
          <x14:cfRule type="dataBar" id="{081E5C37-4299-4ECC-AF7E-27B7D362811C}">
            <x14:dataBar minLength="0" maxLength="100" gradient="0">
              <x14:cfvo type="num">
                <xm:f>0</xm:f>
              </x14:cfvo>
              <x14:cfvo type="num">
                <xm:f>1</xm:f>
              </x14:cfvo>
              <x14:negativeFillColor rgb="FFFF0000"/>
              <x14:axisColor rgb="FF000000"/>
            </x14:dataBar>
          </x14:cfRule>
          <xm:sqref>T35</xm:sqref>
        </x14:conditionalFormatting>
        <x14:conditionalFormatting xmlns:xm="http://schemas.microsoft.com/office/excel/2006/main">
          <x14:cfRule type="dataBar" id="{9DE4951D-3FAF-4DE8-8ED0-C5EA82886195}">
            <x14:dataBar minLength="0" maxLength="100" gradient="0">
              <x14:cfvo type="num">
                <xm:f>0</xm:f>
              </x14:cfvo>
              <x14:cfvo type="num">
                <xm:f>1</xm:f>
              </x14:cfvo>
              <x14:negativeFillColor rgb="FFFF0000"/>
              <x14:axisColor rgb="FF000000"/>
            </x14:dataBar>
          </x14:cfRule>
          <xm:sqref>T37</xm:sqref>
        </x14:conditionalFormatting>
        <x14:conditionalFormatting xmlns:xm="http://schemas.microsoft.com/office/excel/2006/main">
          <x14:cfRule type="dataBar" id="{E79BCF10-BDEB-418A-89D0-BFBC4D9CC1A3}">
            <x14:dataBar minLength="0" maxLength="100" gradient="0">
              <x14:cfvo type="num">
                <xm:f>0</xm:f>
              </x14:cfvo>
              <x14:cfvo type="num">
                <xm:f>1</xm:f>
              </x14:cfvo>
              <x14:negativeFillColor rgb="FFFF0000"/>
              <x14:axisColor rgb="FF000000"/>
            </x14:dataBar>
          </x14:cfRule>
          <xm:sqref>T39</xm:sqref>
        </x14:conditionalFormatting>
        <x14:conditionalFormatting xmlns:xm="http://schemas.microsoft.com/office/excel/2006/main">
          <x14:cfRule type="dataBar" id="{1454DAF7-C8D4-4B96-A247-774C31296E2C}">
            <x14:dataBar minLength="0" maxLength="100" gradient="0">
              <x14:cfvo type="num">
                <xm:f>0</xm:f>
              </x14:cfvo>
              <x14:cfvo type="num">
                <xm:f>1</xm:f>
              </x14:cfvo>
              <x14:negativeFillColor rgb="FFFF0000"/>
              <x14:axisColor rgb="FF000000"/>
            </x14:dataBar>
          </x14:cfRule>
          <xm:sqref>T41</xm:sqref>
        </x14:conditionalFormatting>
        <x14:conditionalFormatting xmlns:xm="http://schemas.microsoft.com/office/excel/2006/main">
          <x14:cfRule type="dataBar" id="{3928CD59-E238-4494-A848-59E2A514461A}">
            <x14:dataBar minLength="0" maxLength="100" gradient="0">
              <x14:cfvo type="num">
                <xm:f>0</xm:f>
              </x14:cfvo>
              <x14:cfvo type="num">
                <xm:f>1</xm:f>
              </x14:cfvo>
              <x14:negativeFillColor rgb="FFFF0000"/>
              <x14:axisColor rgb="FF000000"/>
            </x14:dataBar>
          </x14:cfRule>
          <xm:sqref>T43</xm:sqref>
        </x14:conditionalFormatting>
        <x14:conditionalFormatting xmlns:xm="http://schemas.microsoft.com/office/excel/2006/main">
          <x14:cfRule type="dataBar" id="{64BDC601-E02C-440D-855F-422B62C502D0}">
            <x14:dataBar minLength="0" maxLength="100" gradient="0">
              <x14:cfvo type="num">
                <xm:f>0</xm:f>
              </x14:cfvo>
              <x14:cfvo type="num">
                <xm:f>1</xm:f>
              </x14:cfvo>
              <x14:negativeFillColor rgb="FFFF0000"/>
              <x14:axisColor rgb="FF000000"/>
            </x14:dataBar>
          </x14:cfRule>
          <xm:sqref>T45</xm:sqref>
        </x14:conditionalFormatting>
        <x14:conditionalFormatting xmlns:xm="http://schemas.microsoft.com/office/excel/2006/main">
          <x14:cfRule type="dataBar" id="{2BA5C464-A864-45B2-A7EC-72EDBDB38317}">
            <x14:dataBar minLength="0" maxLength="100" gradient="0">
              <x14:cfvo type="num">
                <xm:f>0</xm:f>
              </x14:cfvo>
              <x14:cfvo type="num">
                <xm:f>1</xm:f>
              </x14:cfvo>
              <x14:negativeFillColor rgb="FFFF0000"/>
              <x14:axisColor rgb="FF000000"/>
            </x14:dataBar>
          </x14:cfRule>
          <xm:sqref>T47</xm:sqref>
        </x14:conditionalFormatting>
        <x14:conditionalFormatting xmlns:xm="http://schemas.microsoft.com/office/excel/2006/main">
          <x14:cfRule type="dataBar" id="{02DE3E7F-BAC2-40B7-B7E4-3ABAB4A4BA45}">
            <x14:dataBar minLength="0" maxLength="100" gradient="0">
              <x14:cfvo type="num">
                <xm:f>0</xm:f>
              </x14:cfvo>
              <x14:cfvo type="num">
                <xm:f>1</xm:f>
              </x14:cfvo>
              <x14:negativeFillColor rgb="FFFF0000"/>
              <x14:axisColor rgb="FF000000"/>
            </x14:dataBar>
          </x14:cfRule>
          <xm:sqref>T49</xm:sqref>
        </x14:conditionalFormatting>
        <x14:conditionalFormatting xmlns:xm="http://schemas.microsoft.com/office/excel/2006/main">
          <x14:cfRule type="dataBar" id="{DF263D94-5267-4631-BF48-ABB2DBC50E3C}">
            <x14:dataBar minLength="0" maxLength="100" gradient="0">
              <x14:cfvo type="num">
                <xm:f>0</xm:f>
              </x14:cfvo>
              <x14:cfvo type="num">
                <xm:f>1</xm:f>
              </x14:cfvo>
              <x14:negativeFillColor rgb="FFFF0000"/>
              <x14:axisColor rgb="FF000000"/>
            </x14:dataBar>
          </x14:cfRule>
          <xm:sqref>T51</xm:sqref>
        </x14:conditionalFormatting>
        <x14:conditionalFormatting xmlns:xm="http://schemas.microsoft.com/office/excel/2006/main">
          <x14:cfRule type="dataBar" id="{E28CCEE9-A0AD-4D22-8B80-493939A17709}">
            <x14:dataBar minLength="0" maxLength="100" gradient="0">
              <x14:cfvo type="num">
                <xm:f>0</xm:f>
              </x14:cfvo>
              <x14:cfvo type="num">
                <xm:f>1</xm:f>
              </x14:cfvo>
              <x14:negativeFillColor rgb="FFFF0000"/>
              <x14:axisColor rgb="FF000000"/>
            </x14:dataBar>
          </x14:cfRule>
          <xm:sqref>T53</xm:sqref>
        </x14:conditionalFormatting>
        <x14:conditionalFormatting xmlns:xm="http://schemas.microsoft.com/office/excel/2006/main">
          <x14:cfRule type="dataBar" id="{E85B427D-428A-4E28-9BDB-9FB87E4A916C}">
            <x14:dataBar minLength="0" maxLength="100" gradient="0">
              <x14:cfvo type="num">
                <xm:f>0</xm:f>
              </x14:cfvo>
              <x14:cfvo type="num">
                <xm:f>1</xm:f>
              </x14:cfvo>
              <x14:negativeFillColor rgb="FFFF0000"/>
              <x14:axisColor rgb="FF000000"/>
            </x14:dataBar>
          </x14:cfRule>
          <xm:sqref>T55</xm:sqref>
        </x14:conditionalFormatting>
        <x14:conditionalFormatting xmlns:xm="http://schemas.microsoft.com/office/excel/2006/main">
          <x14:cfRule type="dataBar" id="{593F1456-1BC5-4DBC-B1D4-EE942E4D4150}">
            <x14:dataBar minLength="0" maxLength="100" gradient="0">
              <x14:cfvo type="num">
                <xm:f>0</xm:f>
              </x14:cfvo>
              <x14:cfvo type="num">
                <xm:f>1</xm:f>
              </x14:cfvo>
              <x14:negativeFillColor rgb="FFFF0000"/>
              <x14:axisColor rgb="FF000000"/>
            </x14:dataBar>
          </x14:cfRule>
          <xm:sqref>T57</xm:sqref>
        </x14:conditionalFormatting>
        <x14:conditionalFormatting xmlns:xm="http://schemas.microsoft.com/office/excel/2006/main">
          <x14:cfRule type="dataBar" id="{E3D67F03-91EB-4BA0-A696-F81AEF5463D7}">
            <x14:dataBar minLength="0" maxLength="100" gradient="0">
              <x14:cfvo type="num">
                <xm:f>0</xm:f>
              </x14:cfvo>
              <x14:cfvo type="num">
                <xm:f>1</xm:f>
              </x14:cfvo>
              <x14:negativeFillColor rgb="FFFF0000"/>
              <x14:axisColor rgb="FF000000"/>
            </x14:dataBar>
          </x14:cfRule>
          <xm:sqref>U6 U8 U10 U12 U14 U16 U18 U20 U22 U24 U26 U28 AA6 AA8 AA10 AA12 AA14 AA16 AA18 AA20 AA22 AA24 AA26 AA28 AG6 AG8 AG10 AG12 AG14 AG16 AG18 AG20 AG22 AG24 AG26 AG28 AM6 AM8 AM10 AM12 AM14 AM16 AM18 AM20 AM22 AM24 AM26 AM28 AS6 AS8 AS10 AS12 AS14 AS16 AS18 AS20 AS22 AS24 AS26 AS28</xm:sqref>
        </x14:conditionalFormatting>
        <x14:conditionalFormatting xmlns:xm="http://schemas.microsoft.com/office/excel/2006/main">
          <x14:cfRule type="dataBar" id="{684F396C-6DD7-4890-A5BF-BB9A81465D85}">
            <x14:dataBar minLength="0" maxLength="100" gradient="0">
              <x14:cfvo type="num">
                <xm:f>0</xm:f>
              </x14:cfvo>
              <x14:cfvo type="num">
                <xm:f>1</xm:f>
              </x14:cfvo>
              <x14:negativeFillColor rgb="FFFF0000"/>
              <x14:axisColor rgb="FF000000"/>
            </x14:dataBar>
          </x14:cfRule>
          <xm:sqref>U33</xm:sqref>
        </x14:conditionalFormatting>
        <x14:conditionalFormatting xmlns:xm="http://schemas.microsoft.com/office/excel/2006/main">
          <x14:cfRule type="dataBar" id="{DF608D8A-6C66-49A4-B881-28ABDF1EFC24}">
            <x14:dataBar minLength="0" maxLength="100" gradient="0">
              <x14:cfvo type="num">
                <xm:f>0</xm:f>
              </x14:cfvo>
              <x14:cfvo type="num">
                <xm:f>1</xm:f>
              </x14:cfvo>
              <x14:negativeFillColor rgb="FFFF0000"/>
              <x14:axisColor rgb="FF000000"/>
            </x14:dataBar>
          </x14:cfRule>
          <xm:sqref>U35</xm:sqref>
        </x14:conditionalFormatting>
        <x14:conditionalFormatting xmlns:xm="http://schemas.microsoft.com/office/excel/2006/main">
          <x14:cfRule type="dataBar" id="{832455F1-7C91-4419-8556-8899A6F9E8FC}">
            <x14:dataBar minLength="0" maxLength="100" gradient="0">
              <x14:cfvo type="num">
                <xm:f>0</xm:f>
              </x14:cfvo>
              <x14:cfvo type="num">
                <xm:f>1</xm:f>
              </x14:cfvo>
              <x14:negativeFillColor rgb="FFFF0000"/>
              <x14:axisColor rgb="FF000000"/>
            </x14:dataBar>
          </x14:cfRule>
          <xm:sqref>U37</xm:sqref>
        </x14:conditionalFormatting>
        <x14:conditionalFormatting xmlns:xm="http://schemas.microsoft.com/office/excel/2006/main">
          <x14:cfRule type="dataBar" id="{CC8E5AEF-D960-486E-A532-9E0F24240EEE}">
            <x14:dataBar minLength="0" maxLength="100" gradient="0">
              <x14:cfvo type="num">
                <xm:f>0</xm:f>
              </x14:cfvo>
              <x14:cfvo type="num">
                <xm:f>1</xm:f>
              </x14:cfvo>
              <x14:negativeFillColor rgb="FFFF0000"/>
              <x14:axisColor rgb="FF000000"/>
            </x14:dataBar>
          </x14:cfRule>
          <xm:sqref>U39</xm:sqref>
        </x14:conditionalFormatting>
        <x14:conditionalFormatting xmlns:xm="http://schemas.microsoft.com/office/excel/2006/main">
          <x14:cfRule type="dataBar" id="{A66FDD44-4E82-45E6-AD3A-2C97C513E63F}">
            <x14:dataBar minLength="0" maxLength="100" gradient="0">
              <x14:cfvo type="num">
                <xm:f>0</xm:f>
              </x14:cfvo>
              <x14:cfvo type="num">
                <xm:f>1</xm:f>
              </x14:cfvo>
              <x14:negativeFillColor rgb="FFFF0000"/>
              <x14:axisColor rgb="FF000000"/>
            </x14:dataBar>
          </x14:cfRule>
          <xm:sqref>U41</xm:sqref>
        </x14:conditionalFormatting>
        <x14:conditionalFormatting xmlns:xm="http://schemas.microsoft.com/office/excel/2006/main">
          <x14:cfRule type="dataBar" id="{6619C5D5-0CBF-4DCA-861F-6B4A3E971567}">
            <x14:dataBar minLength="0" maxLength="100" gradient="0">
              <x14:cfvo type="num">
                <xm:f>0</xm:f>
              </x14:cfvo>
              <x14:cfvo type="num">
                <xm:f>1</xm:f>
              </x14:cfvo>
              <x14:negativeFillColor rgb="FFFF0000"/>
              <x14:axisColor rgb="FF000000"/>
            </x14:dataBar>
          </x14:cfRule>
          <xm:sqref>U43</xm:sqref>
        </x14:conditionalFormatting>
        <x14:conditionalFormatting xmlns:xm="http://schemas.microsoft.com/office/excel/2006/main">
          <x14:cfRule type="dataBar" id="{3E0E4FB0-C68F-44A8-A81E-9CCFB1A1BDF4}">
            <x14:dataBar minLength="0" maxLength="100" gradient="0">
              <x14:cfvo type="num">
                <xm:f>0</xm:f>
              </x14:cfvo>
              <x14:cfvo type="num">
                <xm:f>1</xm:f>
              </x14:cfvo>
              <x14:negativeFillColor rgb="FFFF0000"/>
              <x14:axisColor rgb="FF000000"/>
            </x14:dataBar>
          </x14:cfRule>
          <xm:sqref>U45</xm:sqref>
        </x14:conditionalFormatting>
        <x14:conditionalFormatting xmlns:xm="http://schemas.microsoft.com/office/excel/2006/main">
          <x14:cfRule type="dataBar" id="{25D1BC0D-306D-4ECE-898B-D94C1459780A}">
            <x14:dataBar minLength="0" maxLength="100" gradient="0">
              <x14:cfvo type="num">
                <xm:f>0</xm:f>
              </x14:cfvo>
              <x14:cfvo type="num">
                <xm:f>1</xm:f>
              </x14:cfvo>
              <x14:negativeFillColor rgb="FFFF0000"/>
              <x14:axisColor rgb="FF000000"/>
            </x14:dataBar>
          </x14:cfRule>
          <xm:sqref>U47</xm:sqref>
        </x14:conditionalFormatting>
        <x14:conditionalFormatting xmlns:xm="http://schemas.microsoft.com/office/excel/2006/main">
          <x14:cfRule type="dataBar" id="{6F9752C4-E23B-4082-A3A8-0147060C5462}">
            <x14:dataBar minLength="0" maxLength="100" gradient="0">
              <x14:cfvo type="num">
                <xm:f>0</xm:f>
              </x14:cfvo>
              <x14:cfvo type="num">
                <xm:f>1</xm:f>
              </x14:cfvo>
              <x14:negativeFillColor rgb="FFFF0000"/>
              <x14:axisColor rgb="FF000000"/>
            </x14:dataBar>
          </x14:cfRule>
          <xm:sqref>U49</xm:sqref>
        </x14:conditionalFormatting>
        <x14:conditionalFormatting xmlns:xm="http://schemas.microsoft.com/office/excel/2006/main">
          <x14:cfRule type="dataBar" id="{F65AFBC8-F6BF-4B7E-8D80-ADFF8234A84B}">
            <x14:dataBar minLength="0" maxLength="100" gradient="0">
              <x14:cfvo type="num">
                <xm:f>0</xm:f>
              </x14:cfvo>
              <x14:cfvo type="num">
                <xm:f>1</xm:f>
              </x14:cfvo>
              <x14:negativeFillColor rgb="FFFF0000"/>
              <x14:axisColor rgb="FF000000"/>
            </x14:dataBar>
          </x14:cfRule>
          <xm:sqref>U51</xm:sqref>
        </x14:conditionalFormatting>
        <x14:conditionalFormatting xmlns:xm="http://schemas.microsoft.com/office/excel/2006/main">
          <x14:cfRule type="dataBar" id="{E0051EE5-CA65-4E61-9988-3A5FC2C173CB}">
            <x14:dataBar minLength="0" maxLength="100" gradient="0">
              <x14:cfvo type="num">
                <xm:f>0</xm:f>
              </x14:cfvo>
              <x14:cfvo type="num">
                <xm:f>1</xm:f>
              </x14:cfvo>
              <x14:negativeFillColor rgb="FFFF0000"/>
              <x14:axisColor rgb="FF000000"/>
            </x14:dataBar>
          </x14:cfRule>
          <xm:sqref>U53</xm:sqref>
        </x14:conditionalFormatting>
        <x14:conditionalFormatting xmlns:xm="http://schemas.microsoft.com/office/excel/2006/main">
          <x14:cfRule type="dataBar" id="{C94A67F4-5E4A-40F3-A660-543790A3FD02}">
            <x14:dataBar minLength="0" maxLength="100" gradient="0">
              <x14:cfvo type="num">
                <xm:f>0</xm:f>
              </x14:cfvo>
              <x14:cfvo type="num">
                <xm:f>1</xm:f>
              </x14:cfvo>
              <x14:negativeFillColor rgb="FFFF0000"/>
              <x14:axisColor rgb="FF000000"/>
            </x14:dataBar>
          </x14:cfRule>
          <xm:sqref>U55</xm:sqref>
        </x14:conditionalFormatting>
        <x14:conditionalFormatting xmlns:xm="http://schemas.microsoft.com/office/excel/2006/main">
          <x14:cfRule type="dataBar" id="{C274D289-F66A-4EAD-8C4D-2FD0B0C82CA4}">
            <x14:dataBar minLength="0" maxLength="100" gradient="0">
              <x14:cfvo type="num">
                <xm:f>0</xm:f>
              </x14:cfvo>
              <x14:cfvo type="num">
                <xm:f>1</xm:f>
              </x14:cfvo>
              <x14:negativeFillColor rgb="FFFF0000"/>
              <x14:axisColor rgb="FF000000"/>
            </x14:dataBar>
          </x14:cfRule>
          <xm:sqref>U57</xm:sqref>
        </x14:conditionalFormatting>
        <x14:conditionalFormatting xmlns:xm="http://schemas.microsoft.com/office/excel/2006/main">
          <x14:cfRule type="dataBar" id="{0FE29591-9947-460B-97E9-5046CB63EA90}">
            <x14:dataBar minLength="0" maxLength="100" gradient="0">
              <x14:cfvo type="num">
                <xm:f>0</xm:f>
              </x14:cfvo>
              <x14:cfvo type="num">
                <xm:f>1</xm:f>
              </x14:cfvo>
              <x14:negativeFillColor rgb="FFFF0000"/>
              <x14:axisColor rgb="FF000000"/>
            </x14:dataBar>
          </x14:cfRule>
          <xm:sqref>V6 V8 V10 V12 V14 V16 V18 V20 V22 V24 V26 V28 AB6 AB8 AB10 AB12 AB14 AB16 AB18 AB20 AB22 AB24 AB26 AB28 AH6 AH8 AH10 AH12 AH14 AH16 AH18 AH20 AH22 AH24 AH26 AH28 AN6 AN8 AN10 AN12 AN14 AN16 AN18 AN20 AN22 AN24 AN26 AN28 AT6 AT8 AT10 AT12 AT14 AT16 AT18 AT20 AT22 AT24 AT26 AT28</xm:sqref>
        </x14:conditionalFormatting>
        <x14:conditionalFormatting xmlns:xm="http://schemas.microsoft.com/office/excel/2006/main">
          <x14:cfRule type="dataBar" id="{43D96E2F-ACE0-4218-8331-6A69585DD34C}">
            <x14:dataBar minLength="0" maxLength="100" gradient="0">
              <x14:cfvo type="num">
                <xm:f>0</xm:f>
              </x14:cfvo>
              <x14:cfvo type="num">
                <xm:f>1</xm:f>
              </x14:cfvo>
              <x14:negativeFillColor rgb="FFFF0000"/>
              <x14:axisColor rgb="FF000000"/>
            </x14:dataBar>
          </x14:cfRule>
          <xm:sqref>V33</xm:sqref>
        </x14:conditionalFormatting>
        <x14:conditionalFormatting xmlns:xm="http://schemas.microsoft.com/office/excel/2006/main">
          <x14:cfRule type="dataBar" id="{8D8A17B6-2234-453E-A06D-4B38DB2C2D34}">
            <x14:dataBar minLength="0" maxLength="100" gradient="0">
              <x14:cfvo type="num">
                <xm:f>0</xm:f>
              </x14:cfvo>
              <x14:cfvo type="num">
                <xm:f>1</xm:f>
              </x14:cfvo>
              <x14:negativeFillColor rgb="FFFF0000"/>
              <x14:axisColor rgb="FF000000"/>
            </x14:dataBar>
          </x14:cfRule>
          <xm:sqref>V35</xm:sqref>
        </x14:conditionalFormatting>
        <x14:conditionalFormatting xmlns:xm="http://schemas.microsoft.com/office/excel/2006/main">
          <x14:cfRule type="dataBar" id="{E5BCE07B-2A96-41C4-808F-1E2EF7624928}">
            <x14:dataBar minLength="0" maxLength="100" gradient="0">
              <x14:cfvo type="num">
                <xm:f>0</xm:f>
              </x14:cfvo>
              <x14:cfvo type="num">
                <xm:f>1</xm:f>
              </x14:cfvo>
              <x14:negativeFillColor rgb="FFFF0000"/>
              <x14:axisColor rgb="FF000000"/>
            </x14:dataBar>
          </x14:cfRule>
          <xm:sqref>V37</xm:sqref>
        </x14:conditionalFormatting>
        <x14:conditionalFormatting xmlns:xm="http://schemas.microsoft.com/office/excel/2006/main">
          <x14:cfRule type="dataBar" id="{9D8EB808-C6A5-46A3-AA75-289E8628AD30}">
            <x14:dataBar minLength="0" maxLength="100" gradient="0">
              <x14:cfvo type="num">
                <xm:f>0</xm:f>
              </x14:cfvo>
              <x14:cfvo type="num">
                <xm:f>1</xm:f>
              </x14:cfvo>
              <x14:negativeFillColor rgb="FFFF0000"/>
              <x14:axisColor rgb="FF000000"/>
            </x14:dataBar>
          </x14:cfRule>
          <xm:sqref>V39</xm:sqref>
        </x14:conditionalFormatting>
        <x14:conditionalFormatting xmlns:xm="http://schemas.microsoft.com/office/excel/2006/main">
          <x14:cfRule type="dataBar" id="{010FC62C-7CC4-4E49-882A-AD2AD119704A}">
            <x14:dataBar minLength="0" maxLength="100" gradient="0">
              <x14:cfvo type="num">
                <xm:f>0</xm:f>
              </x14:cfvo>
              <x14:cfvo type="num">
                <xm:f>1</xm:f>
              </x14:cfvo>
              <x14:negativeFillColor rgb="FFFF0000"/>
              <x14:axisColor rgb="FF000000"/>
            </x14:dataBar>
          </x14:cfRule>
          <xm:sqref>V41</xm:sqref>
        </x14:conditionalFormatting>
        <x14:conditionalFormatting xmlns:xm="http://schemas.microsoft.com/office/excel/2006/main">
          <x14:cfRule type="dataBar" id="{61BCE389-60AF-48AE-8BDB-D2772314ABCE}">
            <x14:dataBar minLength="0" maxLength="100" gradient="0">
              <x14:cfvo type="num">
                <xm:f>0</xm:f>
              </x14:cfvo>
              <x14:cfvo type="num">
                <xm:f>1</xm:f>
              </x14:cfvo>
              <x14:negativeFillColor rgb="FFFF0000"/>
              <x14:axisColor rgb="FF000000"/>
            </x14:dataBar>
          </x14:cfRule>
          <xm:sqref>V43</xm:sqref>
        </x14:conditionalFormatting>
        <x14:conditionalFormatting xmlns:xm="http://schemas.microsoft.com/office/excel/2006/main">
          <x14:cfRule type="dataBar" id="{3CF48322-2705-4C56-84B1-95F2F6E957DC}">
            <x14:dataBar minLength="0" maxLength="100" gradient="0">
              <x14:cfvo type="num">
                <xm:f>0</xm:f>
              </x14:cfvo>
              <x14:cfvo type="num">
                <xm:f>1</xm:f>
              </x14:cfvo>
              <x14:negativeFillColor rgb="FFFF0000"/>
              <x14:axisColor rgb="FF000000"/>
            </x14:dataBar>
          </x14:cfRule>
          <xm:sqref>V45</xm:sqref>
        </x14:conditionalFormatting>
        <x14:conditionalFormatting xmlns:xm="http://schemas.microsoft.com/office/excel/2006/main">
          <x14:cfRule type="dataBar" id="{EAF08393-B2E2-45B1-8B46-11939756ACB9}">
            <x14:dataBar minLength="0" maxLength="100" gradient="0">
              <x14:cfvo type="num">
                <xm:f>0</xm:f>
              </x14:cfvo>
              <x14:cfvo type="num">
                <xm:f>1</xm:f>
              </x14:cfvo>
              <x14:negativeFillColor rgb="FFFF0000"/>
              <x14:axisColor rgb="FF000000"/>
            </x14:dataBar>
          </x14:cfRule>
          <xm:sqref>V47</xm:sqref>
        </x14:conditionalFormatting>
        <x14:conditionalFormatting xmlns:xm="http://schemas.microsoft.com/office/excel/2006/main">
          <x14:cfRule type="dataBar" id="{04F73410-D2F0-452F-8D9F-2EB189B82EB8}">
            <x14:dataBar minLength="0" maxLength="100" gradient="0">
              <x14:cfvo type="num">
                <xm:f>0</xm:f>
              </x14:cfvo>
              <x14:cfvo type="num">
                <xm:f>1</xm:f>
              </x14:cfvo>
              <x14:negativeFillColor rgb="FFFF0000"/>
              <x14:axisColor rgb="FF000000"/>
            </x14:dataBar>
          </x14:cfRule>
          <xm:sqref>V49</xm:sqref>
        </x14:conditionalFormatting>
        <x14:conditionalFormatting xmlns:xm="http://schemas.microsoft.com/office/excel/2006/main">
          <x14:cfRule type="dataBar" id="{70FC7BBF-7FA3-4BCC-8219-16109D936BEA}">
            <x14:dataBar minLength="0" maxLength="100" gradient="0">
              <x14:cfvo type="num">
                <xm:f>0</xm:f>
              </x14:cfvo>
              <x14:cfvo type="num">
                <xm:f>1</xm:f>
              </x14:cfvo>
              <x14:negativeFillColor rgb="FFFF0000"/>
              <x14:axisColor rgb="FF000000"/>
            </x14:dataBar>
          </x14:cfRule>
          <xm:sqref>V51</xm:sqref>
        </x14:conditionalFormatting>
        <x14:conditionalFormatting xmlns:xm="http://schemas.microsoft.com/office/excel/2006/main">
          <x14:cfRule type="dataBar" id="{36F6E1BE-AF6B-43ED-BFB2-0864808B1DF0}">
            <x14:dataBar minLength="0" maxLength="100" gradient="0">
              <x14:cfvo type="num">
                <xm:f>0</xm:f>
              </x14:cfvo>
              <x14:cfvo type="num">
                <xm:f>1</xm:f>
              </x14:cfvo>
              <x14:negativeFillColor rgb="FFFF0000"/>
              <x14:axisColor rgb="FF000000"/>
            </x14:dataBar>
          </x14:cfRule>
          <xm:sqref>V53</xm:sqref>
        </x14:conditionalFormatting>
        <x14:conditionalFormatting xmlns:xm="http://schemas.microsoft.com/office/excel/2006/main">
          <x14:cfRule type="dataBar" id="{95E2663C-98D0-4EEF-B134-511FAAF5F761}">
            <x14:dataBar minLength="0" maxLength="100" gradient="0">
              <x14:cfvo type="num">
                <xm:f>0</xm:f>
              </x14:cfvo>
              <x14:cfvo type="num">
                <xm:f>1</xm:f>
              </x14:cfvo>
              <x14:negativeFillColor rgb="FFFF0000"/>
              <x14:axisColor rgb="FF000000"/>
            </x14:dataBar>
          </x14:cfRule>
          <xm:sqref>V55</xm:sqref>
        </x14:conditionalFormatting>
        <x14:conditionalFormatting xmlns:xm="http://schemas.microsoft.com/office/excel/2006/main">
          <x14:cfRule type="dataBar" id="{6C0F1409-8E5B-4355-8F14-90AF81EFCA9E}">
            <x14:dataBar minLength="0" maxLength="100" gradient="0">
              <x14:cfvo type="num">
                <xm:f>0</xm:f>
              </x14:cfvo>
              <x14:cfvo type="num">
                <xm:f>1</xm:f>
              </x14:cfvo>
              <x14:negativeFillColor rgb="FFFF0000"/>
              <x14:axisColor rgb="FF000000"/>
            </x14:dataBar>
          </x14:cfRule>
          <xm:sqref>V57</xm:sqref>
        </x14:conditionalFormatting>
        <x14:conditionalFormatting xmlns:xm="http://schemas.microsoft.com/office/excel/2006/main">
          <x14:cfRule type="dataBar" id="{7ECC4992-463D-423D-9862-3D22567E87E2}">
            <x14:dataBar minLength="0" maxLength="100" gradient="0">
              <x14:cfvo type="num">
                <xm:f>0</xm:f>
              </x14:cfvo>
              <x14:cfvo type="num">
                <xm:f>1</xm:f>
              </x14:cfvo>
              <x14:negativeFillColor rgb="FFFF0000"/>
              <x14:axisColor rgb="FF000000"/>
            </x14:dataBar>
          </x14:cfRule>
          <xm:sqref>W6 W8 W10 W12 W14 W16 W18 W20 W22 W24 W26 W28 AC6 AC8 AC10 AC12 AC14 AC16 AC18 AC20 AC22 AC24 AC26 AC28 AI6 AI8 AI10 AI12 AI14 AI16 AI18 AI20 AI22 AI24 AI26 AI28 AO6 AO8 AO10 AO12 AO14 AO16 AO18 AO20 AO22 AO24 AO26 AO28 AU6 AU8 AU10 AU12 AU14 AU16 AU18 AU20 AU22 AU24 AU26 AU28</xm:sqref>
        </x14:conditionalFormatting>
        <x14:conditionalFormatting xmlns:xm="http://schemas.microsoft.com/office/excel/2006/main">
          <x14:cfRule type="dataBar" id="{FBC8455C-97FA-418F-9FBB-5EA828CCBEC9}">
            <x14:dataBar minLength="0" maxLength="100" gradient="0">
              <x14:cfvo type="num">
                <xm:f>0</xm:f>
              </x14:cfvo>
              <x14:cfvo type="num">
                <xm:f>1</xm:f>
              </x14:cfvo>
              <x14:negativeFillColor rgb="FFFF0000"/>
              <x14:axisColor rgb="FF000000"/>
            </x14:dataBar>
          </x14:cfRule>
          <xm:sqref>W33</xm:sqref>
        </x14:conditionalFormatting>
        <x14:conditionalFormatting xmlns:xm="http://schemas.microsoft.com/office/excel/2006/main">
          <x14:cfRule type="dataBar" id="{1FBFB315-3C44-4AA7-B3C5-FC38D8858FB0}">
            <x14:dataBar minLength="0" maxLength="100" gradient="0">
              <x14:cfvo type="num">
                <xm:f>0</xm:f>
              </x14:cfvo>
              <x14:cfvo type="num">
                <xm:f>1</xm:f>
              </x14:cfvo>
              <x14:negativeFillColor rgb="FFFF0000"/>
              <x14:axisColor rgb="FF000000"/>
            </x14:dataBar>
          </x14:cfRule>
          <xm:sqref>W35</xm:sqref>
        </x14:conditionalFormatting>
        <x14:conditionalFormatting xmlns:xm="http://schemas.microsoft.com/office/excel/2006/main">
          <x14:cfRule type="dataBar" id="{4DFB4B6F-6FA3-4480-9730-77708BF9F441}">
            <x14:dataBar minLength="0" maxLength="100" gradient="0">
              <x14:cfvo type="num">
                <xm:f>0</xm:f>
              </x14:cfvo>
              <x14:cfvo type="num">
                <xm:f>1</xm:f>
              </x14:cfvo>
              <x14:negativeFillColor rgb="FFFF0000"/>
              <x14:axisColor rgb="FF000000"/>
            </x14:dataBar>
          </x14:cfRule>
          <xm:sqref>W37</xm:sqref>
        </x14:conditionalFormatting>
        <x14:conditionalFormatting xmlns:xm="http://schemas.microsoft.com/office/excel/2006/main">
          <x14:cfRule type="dataBar" id="{BDD5A3F2-0AE5-4320-89BA-483A6C4806D9}">
            <x14:dataBar minLength="0" maxLength="100" gradient="0">
              <x14:cfvo type="num">
                <xm:f>0</xm:f>
              </x14:cfvo>
              <x14:cfvo type="num">
                <xm:f>1</xm:f>
              </x14:cfvo>
              <x14:negativeFillColor rgb="FFFF0000"/>
              <x14:axisColor rgb="FF000000"/>
            </x14:dataBar>
          </x14:cfRule>
          <xm:sqref>W39</xm:sqref>
        </x14:conditionalFormatting>
        <x14:conditionalFormatting xmlns:xm="http://schemas.microsoft.com/office/excel/2006/main">
          <x14:cfRule type="dataBar" id="{FDDECE3C-50FE-454A-A260-29AAC1A1BDCD}">
            <x14:dataBar minLength="0" maxLength="100" gradient="0">
              <x14:cfvo type="num">
                <xm:f>0</xm:f>
              </x14:cfvo>
              <x14:cfvo type="num">
                <xm:f>1</xm:f>
              </x14:cfvo>
              <x14:negativeFillColor rgb="FFFF0000"/>
              <x14:axisColor rgb="FF000000"/>
            </x14:dataBar>
          </x14:cfRule>
          <xm:sqref>W41</xm:sqref>
        </x14:conditionalFormatting>
        <x14:conditionalFormatting xmlns:xm="http://schemas.microsoft.com/office/excel/2006/main">
          <x14:cfRule type="dataBar" id="{8980E920-B0E7-45E0-A7A6-C0352F2812FD}">
            <x14:dataBar minLength="0" maxLength="100" gradient="0">
              <x14:cfvo type="num">
                <xm:f>0</xm:f>
              </x14:cfvo>
              <x14:cfvo type="num">
                <xm:f>1</xm:f>
              </x14:cfvo>
              <x14:negativeFillColor rgb="FFFF0000"/>
              <x14:axisColor rgb="FF000000"/>
            </x14:dataBar>
          </x14:cfRule>
          <xm:sqref>W43</xm:sqref>
        </x14:conditionalFormatting>
        <x14:conditionalFormatting xmlns:xm="http://schemas.microsoft.com/office/excel/2006/main">
          <x14:cfRule type="dataBar" id="{98783A18-D2E2-4CB7-827F-9617DAC4FF12}">
            <x14:dataBar minLength="0" maxLength="100" gradient="0">
              <x14:cfvo type="num">
                <xm:f>0</xm:f>
              </x14:cfvo>
              <x14:cfvo type="num">
                <xm:f>1</xm:f>
              </x14:cfvo>
              <x14:negativeFillColor rgb="FFFF0000"/>
              <x14:axisColor rgb="FF000000"/>
            </x14:dataBar>
          </x14:cfRule>
          <xm:sqref>W45</xm:sqref>
        </x14:conditionalFormatting>
        <x14:conditionalFormatting xmlns:xm="http://schemas.microsoft.com/office/excel/2006/main">
          <x14:cfRule type="dataBar" id="{0EF5927A-A092-4DC3-82B9-87C1D91078DA}">
            <x14:dataBar minLength="0" maxLength="100" gradient="0">
              <x14:cfvo type="num">
                <xm:f>0</xm:f>
              </x14:cfvo>
              <x14:cfvo type="num">
                <xm:f>1</xm:f>
              </x14:cfvo>
              <x14:negativeFillColor rgb="FFFF0000"/>
              <x14:axisColor rgb="FF000000"/>
            </x14:dataBar>
          </x14:cfRule>
          <xm:sqref>W47</xm:sqref>
        </x14:conditionalFormatting>
        <x14:conditionalFormatting xmlns:xm="http://schemas.microsoft.com/office/excel/2006/main">
          <x14:cfRule type="dataBar" id="{D038F51D-908E-479E-B290-323416EBE793}">
            <x14:dataBar minLength="0" maxLength="100" gradient="0">
              <x14:cfvo type="num">
                <xm:f>0</xm:f>
              </x14:cfvo>
              <x14:cfvo type="num">
                <xm:f>1</xm:f>
              </x14:cfvo>
              <x14:negativeFillColor rgb="FFFF0000"/>
              <x14:axisColor rgb="FF000000"/>
            </x14:dataBar>
          </x14:cfRule>
          <xm:sqref>W49</xm:sqref>
        </x14:conditionalFormatting>
        <x14:conditionalFormatting xmlns:xm="http://schemas.microsoft.com/office/excel/2006/main">
          <x14:cfRule type="dataBar" id="{A5AA36F6-636D-4B42-BB4E-3EE6CE134706}">
            <x14:dataBar minLength="0" maxLength="100" gradient="0">
              <x14:cfvo type="num">
                <xm:f>0</xm:f>
              </x14:cfvo>
              <x14:cfvo type="num">
                <xm:f>1</xm:f>
              </x14:cfvo>
              <x14:negativeFillColor rgb="FFFF0000"/>
              <x14:axisColor rgb="FF000000"/>
            </x14:dataBar>
          </x14:cfRule>
          <xm:sqref>W51</xm:sqref>
        </x14:conditionalFormatting>
        <x14:conditionalFormatting xmlns:xm="http://schemas.microsoft.com/office/excel/2006/main">
          <x14:cfRule type="dataBar" id="{03027917-507C-4391-A394-B19166E7E007}">
            <x14:dataBar minLength="0" maxLength="100" gradient="0">
              <x14:cfvo type="num">
                <xm:f>0</xm:f>
              </x14:cfvo>
              <x14:cfvo type="num">
                <xm:f>1</xm:f>
              </x14:cfvo>
              <x14:negativeFillColor rgb="FFFF0000"/>
              <x14:axisColor rgb="FF000000"/>
            </x14:dataBar>
          </x14:cfRule>
          <xm:sqref>W53</xm:sqref>
        </x14:conditionalFormatting>
        <x14:conditionalFormatting xmlns:xm="http://schemas.microsoft.com/office/excel/2006/main">
          <x14:cfRule type="dataBar" id="{B98CC59A-EC9A-411D-AD1E-F4DE6F0DFCD3}">
            <x14:dataBar minLength="0" maxLength="100" gradient="0">
              <x14:cfvo type="num">
                <xm:f>0</xm:f>
              </x14:cfvo>
              <x14:cfvo type="num">
                <xm:f>1</xm:f>
              </x14:cfvo>
              <x14:negativeFillColor rgb="FFFF0000"/>
              <x14:axisColor rgb="FF000000"/>
            </x14:dataBar>
          </x14:cfRule>
          <xm:sqref>W55</xm:sqref>
        </x14:conditionalFormatting>
        <x14:conditionalFormatting xmlns:xm="http://schemas.microsoft.com/office/excel/2006/main">
          <x14:cfRule type="dataBar" id="{EA48C075-36FF-4197-952A-927E3E29A95D}">
            <x14:dataBar minLength="0" maxLength="100" gradient="0">
              <x14:cfvo type="num">
                <xm:f>0</xm:f>
              </x14:cfvo>
              <x14:cfvo type="num">
                <xm:f>1</xm:f>
              </x14:cfvo>
              <x14:negativeFillColor rgb="FFFF0000"/>
              <x14:axisColor rgb="FF000000"/>
            </x14:dataBar>
          </x14:cfRule>
          <xm:sqref>W57</xm:sqref>
        </x14:conditionalFormatting>
        <x14:conditionalFormatting xmlns:xm="http://schemas.microsoft.com/office/excel/2006/main">
          <x14:cfRule type="dataBar" id="{3E9C2682-81E9-4C36-8C59-EE8E415CF3D9}">
            <x14:dataBar minLength="0" maxLength="100" gradient="0">
              <x14:cfvo type="num">
                <xm:f>0</xm:f>
              </x14:cfvo>
              <x14:cfvo type="num">
                <xm:f>1</xm:f>
              </x14:cfvo>
              <x14:negativeFillColor rgb="FFFF0000"/>
              <x14:axisColor rgb="FF000000"/>
            </x14:dataBar>
          </x14:cfRule>
          <xm:sqref>R4 X4 AD4 AJ4 AP4 AV4</xm:sqref>
        </x14:conditionalFormatting>
        <x14:conditionalFormatting xmlns:xm="http://schemas.microsoft.com/office/excel/2006/main">
          <x14:cfRule type="dataBar" id="{935E82FE-2A2F-49F4-A13D-D251A085EF8C}">
            <x14:dataBar minLength="0" maxLength="100" gradient="0">
              <x14:cfvo type="num">
                <xm:f>0</xm:f>
              </x14:cfvo>
              <x14:cfvo type="num">
                <xm:f>1</xm:f>
              </x14:cfvo>
              <x14:negativeFillColor rgb="FFFF0000"/>
              <x14:axisColor rgb="FF000000"/>
            </x14:dataBar>
          </x14:cfRule>
          <xm:sqref>X33</xm:sqref>
        </x14:conditionalFormatting>
        <x14:conditionalFormatting xmlns:xm="http://schemas.microsoft.com/office/excel/2006/main">
          <x14:cfRule type="dataBar" id="{905B88CF-AD8E-4CAD-BF5C-86B9E4DC83CA}">
            <x14:dataBar minLength="0" maxLength="100" gradient="0">
              <x14:cfvo type="num">
                <xm:f>0</xm:f>
              </x14:cfvo>
              <x14:cfvo type="num">
                <xm:f>1</xm:f>
              </x14:cfvo>
              <x14:negativeFillColor rgb="FFFF0000"/>
              <x14:axisColor rgb="FF000000"/>
            </x14:dataBar>
          </x14:cfRule>
          <xm:sqref>X35</xm:sqref>
        </x14:conditionalFormatting>
        <x14:conditionalFormatting xmlns:xm="http://schemas.microsoft.com/office/excel/2006/main">
          <x14:cfRule type="dataBar" id="{CC225813-797A-4C91-91F4-8CF984B81D71}">
            <x14:dataBar minLength="0" maxLength="100" gradient="0">
              <x14:cfvo type="num">
                <xm:f>0</xm:f>
              </x14:cfvo>
              <x14:cfvo type="num">
                <xm:f>1</xm:f>
              </x14:cfvo>
              <x14:negativeFillColor rgb="FFFF0000"/>
              <x14:axisColor rgb="FF000000"/>
            </x14:dataBar>
          </x14:cfRule>
          <xm:sqref>X37</xm:sqref>
        </x14:conditionalFormatting>
        <x14:conditionalFormatting xmlns:xm="http://schemas.microsoft.com/office/excel/2006/main">
          <x14:cfRule type="dataBar" id="{876DF042-40C5-4EB7-8CB4-6EE96B4AF0CE}">
            <x14:dataBar minLength="0" maxLength="100" gradient="0">
              <x14:cfvo type="num">
                <xm:f>0</xm:f>
              </x14:cfvo>
              <x14:cfvo type="num">
                <xm:f>1</xm:f>
              </x14:cfvo>
              <x14:negativeFillColor rgb="FFFF0000"/>
              <x14:axisColor rgb="FF000000"/>
            </x14:dataBar>
          </x14:cfRule>
          <xm:sqref>X39</xm:sqref>
        </x14:conditionalFormatting>
        <x14:conditionalFormatting xmlns:xm="http://schemas.microsoft.com/office/excel/2006/main">
          <x14:cfRule type="dataBar" id="{BA9097AC-52D9-4621-9C00-B2BC1F41F04F}">
            <x14:dataBar minLength="0" maxLength="100" gradient="0">
              <x14:cfvo type="num">
                <xm:f>0</xm:f>
              </x14:cfvo>
              <x14:cfvo type="num">
                <xm:f>1</xm:f>
              </x14:cfvo>
              <x14:negativeFillColor rgb="FFFF0000"/>
              <x14:axisColor rgb="FF000000"/>
            </x14:dataBar>
          </x14:cfRule>
          <xm:sqref>X41</xm:sqref>
        </x14:conditionalFormatting>
        <x14:conditionalFormatting xmlns:xm="http://schemas.microsoft.com/office/excel/2006/main">
          <x14:cfRule type="dataBar" id="{4B34AE90-39DF-433A-89AA-6E90606AD2F1}">
            <x14:dataBar minLength="0" maxLength="100" gradient="0">
              <x14:cfvo type="num">
                <xm:f>0</xm:f>
              </x14:cfvo>
              <x14:cfvo type="num">
                <xm:f>1</xm:f>
              </x14:cfvo>
              <x14:negativeFillColor rgb="FFFF0000"/>
              <x14:axisColor rgb="FF000000"/>
            </x14:dataBar>
          </x14:cfRule>
          <xm:sqref>X43</xm:sqref>
        </x14:conditionalFormatting>
        <x14:conditionalFormatting xmlns:xm="http://schemas.microsoft.com/office/excel/2006/main">
          <x14:cfRule type="dataBar" id="{C92F8F46-0B56-4701-87A0-048AD1CC7701}">
            <x14:dataBar minLength="0" maxLength="100" gradient="0">
              <x14:cfvo type="num">
                <xm:f>0</xm:f>
              </x14:cfvo>
              <x14:cfvo type="num">
                <xm:f>1</xm:f>
              </x14:cfvo>
              <x14:negativeFillColor rgb="FFFF0000"/>
              <x14:axisColor rgb="FF000000"/>
            </x14:dataBar>
          </x14:cfRule>
          <xm:sqref>X45</xm:sqref>
        </x14:conditionalFormatting>
        <x14:conditionalFormatting xmlns:xm="http://schemas.microsoft.com/office/excel/2006/main">
          <x14:cfRule type="dataBar" id="{FBD7862A-AC24-4B77-AA86-62A824D4CCBA}">
            <x14:dataBar minLength="0" maxLength="100" gradient="0">
              <x14:cfvo type="num">
                <xm:f>0</xm:f>
              </x14:cfvo>
              <x14:cfvo type="num">
                <xm:f>1</xm:f>
              </x14:cfvo>
              <x14:negativeFillColor rgb="FFFF0000"/>
              <x14:axisColor rgb="FF000000"/>
            </x14:dataBar>
          </x14:cfRule>
          <xm:sqref>X47</xm:sqref>
        </x14:conditionalFormatting>
        <x14:conditionalFormatting xmlns:xm="http://schemas.microsoft.com/office/excel/2006/main">
          <x14:cfRule type="dataBar" id="{EAE2C06F-6DE5-42ED-8631-FD1F38904609}">
            <x14:dataBar minLength="0" maxLength="100" gradient="0">
              <x14:cfvo type="num">
                <xm:f>0</xm:f>
              </x14:cfvo>
              <x14:cfvo type="num">
                <xm:f>1</xm:f>
              </x14:cfvo>
              <x14:negativeFillColor rgb="FFFF0000"/>
              <x14:axisColor rgb="FF000000"/>
            </x14:dataBar>
          </x14:cfRule>
          <xm:sqref>X49</xm:sqref>
        </x14:conditionalFormatting>
        <x14:conditionalFormatting xmlns:xm="http://schemas.microsoft.com/office/excel/2006/main">
          <x14:cfRule type="dataBar" id="{809FD2C6-F346-454A-90B2-216DD09FACD0}">
            <x14:dataBar minLength="0" maxLength="100" gradient="0">
              <x14:cfvo type="num">
                <xm:f>0</xm:f>
              </x14:cfvo>
              <x14:cfvo type="num">
                <xm:f>1</xm:f>
              </x14:cfvo>
              <x14:negativeFillColor rgb="FFFF0000"/>
              <x14:axisColor rgb="FF000000"/>
            </x14:dataBar>
          </x14:cfRule>
          <xm:sqref>X51</xm:sqref>
        </x14:conditionalFormatting>
        <x14:conditionalFormatting xmlns:xm="http://schemas.microsoft.com/office/excel/2006/main">
          <x14:cfRule type="dataBar" id="{729F9B34-A190-4DD8-B3EC-13B53DA82341}">
            <x14:dataBar minLength="0" maxLength="100" gradient="0">
              <x14:cfvo type="num">
                <xm:f>0</xm:f>
              </x14:cfvo>
              <x14:cfvo type="num">
                <xm:f>1</xm:f>
              </x14:cfvo>
              <x14:negativeFillColor rgb="FFFF0000"/>
              <x14:axisColor rgb="FF000000"/>
            </x14:dataBar>
          </x14:cfRule>
          <xm:sqref>X53</xm:sqref>
        </x14:conditionalFormatting>
        <x14:conditionalFormatting xmlns:xm="http://schemas.microsoft.com/office/excel/2006/main">
          <x14:cfRule type="dataBar" id="{DD58C2BD-6E42-42F4-9DE6-F990D82EC434}">
            <x14:dataBar minLength="0" maxLength="100" gradient="0">
              <x14:cfvo type="num">
                <xm:f>0</xm:f>
              </x14:cfvo>
              <x14:cfvo type="num">
                <xm:f>1</xm:f>
              </x14:cfvo>
              <x14:negativeFillColor rgb="FFFF0000"/>
              <x14:axisColor rgb="FF000000"/>
            </x14:dataBar>
          </x14:cfRule>
          <xm:sqref>X55</xm:sqref>
        </x14:conditionalFormatting>
        <x14:conditionalFormatting xmlns:xm="http://schemas.microsoft.com/office/excel/2006/main">
          <x14:cfRule type="dataBar" id="{4A051094-BFBE-4071-91A2-26E0B2BE0715}">
            <x14:dataBar minLength="0" maxLength="100" gradient="0">
              <x14:cfvo type="num">
                <xm:f>0</xm:f>
              </x14:cfvo>
              <x14:cfvo type="num">
                <xm:f>1</xm:f>
              </x14:cfvo>
              <x14:negativeFillColor rgb="FFFF0000"/>
              <x14:axisColor rgb="FF000000"/>
            </x14:dataBar>
          </x14:cfRule>
          <xm:sqref>X57</xm:sqref>
        </x14:conditionalFormatting>
        <x14:conditionalFormatting xmlns:xm="http://schemas.microsoft.com/office/excel/2006/main">
          <x14:cfRule type="dataBar" id="{780631AB-34C6-4565-AADA-C48628981DC2}">
            <x14:dataBar minLength="0" maxLength="100" gradient="0">
              <x14:cfvo type="num">
                <xm:f>0</xm:f>
              </x14:cfvo>
              <x14:cfvo type="num">
                <xm:f>1</xm:f>
              </x14:cfvo>
              <x14:negativeFillColor rgb="FFFF0000"/>
              <x14:axisColor rgb="FF000000"/>
            </x14:dataBar>
          </x14:cfRule>
          <xm:sqref>S4 Y4 AE4 AK4 AQ4 AW4</xm:sqref>
        </x14:conditionalFormatting>
        <x14:conditionalFormatting xmlns:xm="http://schemas.microsoft.com/office/excel/2006/main">
          <x14:cfRule type="dataBar" id="{48DDE002-6A24-4C22-9159-2BADA511047A}">
            <x14:dataBar minLength="0" maxLength="100" gradient="0">
              <x14:cfvo type="num">
                <xm:f>0</xm:f>
              </x14:cfvo>
              <x14:cfvo type="num">
                <xm:f>1</xm:f>
              </x14:cfvo>
              <x14:negativeFillColor rgb="FFFF0000"/>
              <x14:axisColor rgb="FF000000"/>
            </x14:dataBar>
          </x14:cfRule>
          <xm:sqref>Y33</xm:sqref>
        </x14:conditionalFormatting>
        <x14:conditionalFormatting xmlns:xm="http://schemas.microsoft.com/office/excel/2006/main">
          <x14:cfRule type="dataBar" id="{A01D0A00-D3B8-4E51-ABF0-77D49463DDBB}">
            <x14:dataBar minLength="0" maxLength="100" gradient="0">
              <x14:cfvo type="num">
                <xm:f>0</xm:f>
              </x14:cfvo>
              <x14:cfvo type="num">
                <xm:f>1</xm:f>
              </x14:cfvo>
              <x14:negativeFillColor rgb="FFFF0000"/>
              <x14:axisColor rgb="FF000000"/>
            </x14:dataBar>
          </x14:cfRule>
          <xm:sqref>Y35</xm:sqref>
        </x14:conditionalFormatting>
        <x14:conditionalFormatting xmlns:xm="http://schemas.microsoft.com/office/excel/2006/main">
          <x14:cfRule type="dataBar" id="{5BA75BB2-8F09-4F71-BDCB-F65283FD058A}">
            <x14:dataBar minLength="0" maxLength="100" gradient="0">
              <x14:cfvo type="num">
                <xm:f>0</xm:f>
              </x14:cfvo>
              <x14:cfvo type="num">
                <xm:f>1</xm:f>
              </x14:cfvo>
              <x14:negativeFillColor rgb="FFFF0000"/>
              <x14:axisColor rgb="FF000000"/>
            </x14:dataBar>
          </x14:cfRule>
          <xm:sqref>Y37</xm:sqref>
        </x14:conditionalFormatting>
        <x14:conditionalFormatting xmlns:xm="http://schemas.microsoft.com/office/excel/2006/main">
          <x14:cfRule type="dataBar" id="{8120F6D3-2848-47AB-A3BC-5F3E69C299E2}">
            <x14:dataBar minLength="0" maxLength="100" gradient="0">
              <x14:cfvo type="num">
                <xm:f>0</xm:f>
              </x14:cfvo>
              <x14:cfvo type="num">
                <xm:f>1</xm:f>
              </x14:cfvo>
              <x14:negativeFillColor rgb="FFFF0000"/>
              <x14:axisColor rgb="FF000000"/>
            </x14:dataBar>
          </x14:cfRule>
          <xm:sqref>Y39</xm:sqref>
        </x14:conditionalFormatting>
        <x14:conditionalFormatting xmlns:xm="http://schemas.microsoft.com/office/excel/2006/main">
          <x14:cfRule type="dataBar" id="{ADEEF1B2-F7FF-4E25-AB4D-38CA9E0EC043}">
            <x14:dataBar minLength="0" maxLength="100" gradient="0">
              <x14:cfvo type="num">
                <xm:f>0</xm:f>
              </x14:cfvo>
              <x14:cfvo type="num">
                <xm:f>1</xm:f>
              </x14:cfvo>
              <x14:negativeFillColor rgb="FFFF0000"/>
              <x14:axisColor rgb="FF000000"/>
            </x14:dataBar>
          </x14:cfRule>
          <xm:sqref>Y41</xm:sqref>
        </x14:conditionalFormatting>
        <x14:conditionalFormatting xmlns:xm="http://schemas.microsoft.com/office/excel/2006/main">
          <x14:cfRule type="dataBar" id="{A25A55E0-8878-4B72-8E91-F84DBF61ECF5}">
            <x14:dataBar minLength="0" maxLength="100" gradient="0">
              <x14:cfvo type="num">
                <xm:f>0</xm:f>
              </x14:cfvo>
              <x14:cfvo type="num">
                <xm:f>1</xm:f>
              </x14:cfvo>
              <x14:negativeFillColor rgb="FFFF0000"/>
              <x14:axisColor rgb="FF000000"/>
            </x14:dataBar>
          </x14:cfRule>
          <xm:sqref>Y43</xm:sqref>
        </x14:conditionalFormatting>
        <x14:conditionalFormatting xmlns:xm="http://schemas.microsoft.com/office/excel/2006/main">
          <x14:cfRule type="dataBar" id="{ED5B569A-DB5F-44DA-9A37-515F4A3B996F}">
            <x14:dataBar minLength="0" maxLength="100" gradient="0">
              <x14:cfvo type="num">
                <xm:f>0</xm:f>
              </x14:cfvo>
              <x14:cfvo type="num">
                <xm:f>1</xm:f>
              </x14:cfvo>
              <x14:negativeFillColor rgb="FFFF0000"/>
              <x14:axisColor rgb="FF000000"/>
            </x14:dataBar>
          </x14:cfRule>
          <xm:sqref>Y45</xm:sqref>
        </x14:conditionalFormatting>
        <x14:conditionalFormatting xmlns:xm="http://schemas.microsoft.com/office/excel/2006/main">
          <x14:cfRule type="dataBar" id="{58DA0F65-A305-497B-A84B-CD55F4910B8C}">
            <x14:dataBar minLength="0" maxLength="100" gradient="0">
              <x14:cfvo type="num">
                <xm:f>0</xm:f>
              </x14:cfvo>
              <x14:cfvo type="num">
                <xm:f>1</xm:f>
              </x14:cfvo>
              <x14:negativeFillColor rgb="FFFF0000"/>
              <x14:axisColor rgb="FF000000"/>
            </x14:dataBar>
          </x14:cfRule>
          <xm:sqref>Y47</xm:sqref>
        </x14:conditionalFormatting>
        <x14:conditionalFormatting xmlns:xm="http://schemas.microsoft.com/office/excel/2006/main">
          <x14:cfRule type="dataBar" id="{4194258B-0D01-4006-8C63-00CC45C36C8B}">
            <x14:dataBar minLength="0" maxLength="100" gradient="0">
              <x14:cfvo type="num">
                <xm:f>0</xm:f>
              </x14:cfvo>
              <x14:cfvo type="num">
                <xm:f>1</xm:f>
              </x14:cfvo>
              <x14:negativeFillColor rgb="FFFF0000"/>
              <x14:axisColor rgb="FF000000"/>
            </x14:dataBar>
          </x14:cfRule>
          <xm:sqref>Y49</xm:sqref>
        </x14:conditionalFormatting>
        <x14:conditionalFormatting xmlns:xm="http://schemas.microsoft.com/office/excel/2006/main">
          <x14:cfRule type="dataBar" id="{115BA014-2D09-4D41-A726-D201033134CB}">
            <x14:dataBar minLength="0" maxLength="100" gradient="0">
              <x14:cfvo type="num">
                <xm:f>0</xm:f>
              </x14:cfvo>
              <x14:cfvo type="num">
                <xm:f>1</xm:f>
              </x14:cfvo>
              <x14:negativeFillColor rgb="FFFF0000"/>
              <x14:axisColor rgb="FF000000"/>
            </x14:dataBar>
          </x14:cfRule>
          <xm:sqref>Y51</xm:sqref>
        </x14:conditionalFormatting>
        <x14:conditionalFormatting xmlns:xm="http://schemas.microsoft.com/office/excel/2006/main">
          <x14:cfRule type="dataBar" id="{50C4FD05-D413-4B22-ACF0-1B86C67F9BC8}">
            <x14:dataBar minLength="0" maxLength="100" gradient="0">
              <x14:cfvo type="num">
                <xm:f>0</xm:f>
              </x14:cfvo>
              <x14:cfvo type="num">
                <xm:f>1</xm:f>
              </x14:cfvo>
              <x14:negativeFillColor rgb="FFFF0000"/>
              <x14:axisColor rgb="FF000000"/>
            </x14:dataBar>
          </x14:cfRule>
          <xm:sqref>Y53</xm:sqref>
        </x14:conditionalFormatting>
        <x14:conditionalFormatting xmlns:xm="http://schemas.microsoft.com/office/excel/2006/main">
          <x14:cfRule type="dataBar" id="{CA074C02-5B5D-419C-8EE7-3E15886ADA1F}">
            <x14:dataBar minLength="0" maxLength="100" gradient="0">
              <x14:cfvo type="num">
                <xm:f>0</xm:f>
              </x14:cfvo>
              <x14:cfvo type="num">
                <xm:f>1</xm:f>
              </x14:cfvo>
              <x14:negativeFillColor rgb="FFFF0000"/>
              <x14:axisColor rgb="FF000000"/>
            </x14:dataBar>
          </x14:cfRule>
          <xm:sqref>Y55</xm:sqref>
        </x14:conditionalFormatting>
        <x14:conditionalFormatting xmlns:xm="http://schemas.microsoft.com/office/excel/2006/main">
          <x14:cfRule type="dataBar" id="{A9CED3D4-A4CB-4CE0-835E-696F178E51A7}">
            <x14:dataBar minLength="0" maxLength="100" gradient="0">
              <x14:cfvo type="num">
                <xm:f>0</xm:f>
              </x14:cfvo>
              <x14:cfvo type="num">
                <xm:f>1</xm:f>
              </x14:cfvo>
              <x14:negativeFillColor rgb="FFFF0000"/>
              <x14:axisColor rgb="FF000000"/>
            </x14:dataBar>
          </x14:cfRule>
          <xm:sqref>Y57</xm:sqref>
        </x14:conditionalFormatting>
        <x14:conditionalFormatting xmlns:xm="http://schemas.microsoft.com/office/excel/2006/main">
          <x14:cfRule type="dataBar" id="{2CD7E641-018A-44CD-835C-3E7D8EAA88C4}">
            <x14:dataBar minLength="0" maxLength="100" gradient="0">
              <x14:cfvo type="num">
                <xm:f>0</xm:f>
              </x14:cfvo>
              <x14:cfvo type="num">
                <xm:f>1</xm:f>
              </x14:cfvo>
              <x14:negativeFillColor rgb="FFFF0000"/>
              <x14:axisColor rgb="FF000000"/>
            </x14:dataBar>
          </x14:cfRule>
          <xm:sqref>T4 Z4 AF4 AL4 AR4 AX4</xm:sqref>
        </x14:conditionalFormatting>
        <x14:conditionalFormatting xmlns:xm="http://schemas.microsoft.com/office/excel/2006/main">
          <x14:cfRule type="dataBar" id="{BDFFF155-4CE2-4916-A37C-63DA9A9179CE}">
            <x14:dataBar minLength="0" maxLength="100" gradient="0">
              <x14:cfvo type="num">
                <xm:f>0</xm:f>
              </x14:cfvo>
              <x14:cfvo type="num">
                <xm:f>1</xm:f>
              </x14:cfvo>
              <x14:negativeFillColor rgb="FFFF0000"/>
              <x14:axisColor rgb="FF000000"/>
            </x14:dataBar>
          </x14:cfRule>
          <xm:sqref>Z33</xm:sqref>
        </x14:conditionalFormatting>
        <x14:conditionalFormatting xmlns:xm="http://schemas.microsoft.com/office/excel/2006/main">
          <x14:cfRule type="dataBar" id="{AF0E2F81-EB28-483E-9595-9C9DA8831504}">
            <x14:dataBar minLength="0" maxLength="100" gradient="0">
              <x14:cfvo type="num">
                <xm:f>0</xm:f>
              </x14:cfvo>
              <x14:cfvo type="num">
                <xm:f>1</xm:f>
              </x14:cfvo>
              <x14:negativeFillColor rgb="FFFF0000"/>
              <x14:axisColor rgb="FF000000"/>
            </x14:dataBar>
          </x14:cfRule>
          <xm:sqref>Z35</xm:sqref>
        </x14:conditionalFormatting>
        <x14:conditionalFormatting xmlns:xm="http://schemas.microsoft.com/office/excel/2006/main">
          <x14:cfRule type="dataBar" id="{A7E73089-F501-424C-BBB3-48C46FBD1666}">
            <x14:dataBar minLength="0" maxLength="100" gradient="0">
              <x14:cfvo type="num">
                <xm:f>0</xm:f>
              </x14:cfvo>
              <x14:cfvo type="num">
                <xm:f>1</xm:f>
              </x14:cfvo>
              <x14:negativeFillColor rgb="FFFF0000"/>
              <x14:axisColor rgb="FF000000"/>
            </x14:dataBar>
          </x14:cfRule>
          <xm:sqref>Z37</xm:sqref>
        </x14:conditionalFormatting>
        <x14:conditionalFormatting xmlns:xm="http://schemas.microsoft.com/office/excel/2006/main">
          <x14:cfRule type="dataBar" id="{32841E1E-7A80-41C5-9FD7-CD4FE3992903}">
            <x14:dataBar minLength="0" maxLength="100" gradient="0">
              <x14:cfvo type="num">
                <xm:f>0</xm:f>
              </x14:cfvo>
              <x14:cfvo type="num">
                <xm:f>1</xm:f>
              </x14:cfvo>
              <x14:negativeFillColor rgb="FFFF0000"/>
              <x14:axisColor rgb="FF000000"/>
            </x14:dataBar>
          </x14:cfRule>
          <xm:sqref>Z39</xm:sqref>
        </x14:conditionalFormatting>
        <x14:conditionalFormatting xmlns:xm="http://schemas.microsoft.com/office/excel/2006/main">
          <x14:cfRule type="dataBar" id="{D7DD0E6C-35FE-4CF2-BC00-03A16520F507}">
            <x14:dataBar minLength="0" maxLength="100" gradient="0">
              <x14:cfvo type="num">
                <xm:f>0</xm:f>
              </x14:cfvo>
              <x14:cfvo type="num">
                <xm:f>1</xm:f>
              </x14:cfvo>
              <x14:negativeFillColor rgb="FFFF0000"/>
              <x14:axisColor rgb="FF000000"/>
            </x14:dataBar>
          </x14:cfRule>
          <xm:sqref>Z41</xm:sqref>
        </x14:conditionalFormatting>
        <x14:conditionalFormatting xmlns:xm="http://schemas.microsoft.com/office/excel/2006/main">
          <x14:cfRule type="dataBar" id="{0F038BD0-8B00-4C65-A3D6-6C76AF3AB591}">
            <x14:dataBar minLength="0" maxLength="100" gradient="0">
              <x14:cfvo type="num">
                <xm:f>0</xm:f>
              </x14:cfvo>
              <x14:cfvo type="num">
                <xm:f>1</xm:f>
              </x14:cfvo>
              <x14:negativeFillColor rgb="FFFF0000"/>
              <x14:axisColor rgb="FF000000"/>
            </x14:dataBar>
          </x14:cfRule>
          <xm:sqref>Z43</xm:sqref>
        </x14:conditionalFormatting>
        <x14:conditionalFormatting xmlns:xm="http://schemas.microsoft.com/office/excel/2006/main">
          <x14:cfRule type="dataBar" id="{6B29AA03-A675-431E-85CD-AB805A737436}">
            <x14:dataBar minLength="0" maxLength="100" gradient="0">
              <x14:cfvo type="num">
                <xm:f>0</xm:f>
              </x14:cfvo>
              <x14:cfvo type="num">
                <xm:f>1</xm:f>
              </x14:cfvo>
              <x14:negativeFillColor rgb="FFFF0000"/>
              <x14:axisColor rgb="FF000000"/>
            </x14:dataBar>
          </x14:cfRule>
          <xm:sqref>Z45</xm:sqref>
        </x14:conditionalFormatting>
        <x14:conditionalFormatting xmlns:xm="http://schemas.microsoft.com/office/excel/2006/main">
          <x14:cfRule type="dataBar" id="{BA091F62-822D-4349-95AA-12B054196637}">
            <x14:dataBar minLength="0" maxLength="100" gradient="0">
              <x14:cfvo type="num">
                <xm:f>0</xm:f>
              </x14:cfvo>
              <x14:cfvo type="num">
                <xm:f>1</xm:f>
              </x14:cfvo>
              <x14:negativeFillColor rgb="FFFF0000"/>
              <x14:axisColor rgb="FF000000"/>
            </x14:dataBar>
          </x14:cfRule>
          <xm:sqref>Z47</xm:sqref>
        </x14:conditionalFormatting>
        <x14:conditionalFormatting xmlns:xm="http://schemas.microsoft.com/office/excel/2006/main">
          <x14:cfRule type="dataBar" id="{7A33C0CA-D008-4DEC-A4E7-AAA2121EE1FA}">
            <x14:dataBar minLength="0" maxLength="100" gradient="0">
              <x14:cfvo type="num">
                <xm:f>0</xm:f>
              </x14:cfvo>
              <x14:cfvo type="num">
                <xm:f>1</xm:f>
              </x14:cfvo>
              <x14:negativeFillColor rgb="FFFF0000"/>
              <x14:axisColor rgb="FF000000"/>
            </x14:dataBar>
          </x14:cfRule>
          <xm:sqref>Z49</xm:sqref>
        </x14:conditionalFormatting>
        <x14:conditionalFormatting xmlns:xm="http://schemas.microsoft.com/office/excel/2006/main">
          <x14:cfRule type="dataBar" id="{9365A2C0-090C-4948-ABF8-DD492CB4B94E}">
            <x14:dataBar minLength="0" maxLength="100" gradient="0">
              <x14:cfvo type="num">
                <xm:f>0</xm:f>
              </x14:cfvo>
              <x14:cfvo type="num">
                <xm:f>1</xm:f>
              </x14:cfvo>
              <x14:negativeFillColor rgb="FFFF0000"/>
              <x14:axisColor rgb="FF000000"/>
            </x14:dataBar>
          </x14:cfRule>
          <xm:sqref>Z51</xm:sqref>
        </x14:conditionalFormatting>
        <x14:conditionalFormatting xmlns:xm="http://schemas.microsoft.com/office/excel/2006/main">
          <x14:cfRule type="dataBar" id="{980DD0C9-A606-4638-909F-CD76D2FCB60E}">
            <x14:dataBar minLength="0" maxLength="100" gradient="0">
              <x14:cfvo type="num">
                <xm:f>0</xm:f>
              </x14:cfvo>
              <x14:cfvo type="num">
                <xm:f>1</xm:f>
              </x14:cfvo>
              <x14:negativeFillColor rgb="FFFF0000"/>
              <x14:axisColor rgb="FF000000"/>
            </x14:dataBar>
          </x14:cfRule>
          <xm:sqref>Z53</xm:sqref>
        </x14:conditionalFormatting>
        <x14:conditionalFormatting xmlns:xm="http://schemas.microsoft.com/office/excel/2006/main">
          <x14:cfRule type="dataBar" id="{09955E7B-F4B3-47DB-9DB9-B8CC32DE282F}">
            <x14:dataBar minLength="0" maxLength="100" gradient="0">
              <x14:cfvo type="num">
                <xm:f>0</xm:f>
              </x14:cfvo>
              <x14:cfvo type="num">
                <xm:f>1</xm:f>
              </x14:cfvo>
              <x14:negativeFillColor rgb="FFFF0000"/>
              <x14:axisColor rgb="FF000000"/>
            </x14:dataBar>
          </x14:cfRule>
          <xm:sqref>Z55</xm:sqref>
        </x14:conditionalFormatting>
        <x14:conditionalFormatting xmlns:xm="http://schemas.microsoft.com/office/excel/2006/main">
          <x14:cfRule type="dataBar" id="{4754D93E-B9DE-4B3C-A314-F36860D25829}">
            <x14:dataBar minLength="0" maxLength="100" gradient="0">
              <x14:cfvo type="num">
                <xm:f>0</xm:f>
              </x14:cfvo>
              <x14:cfvo type="num">
                <xm:f>1</xm:f>
              </x14:cfvo>
              <x14:negativeFillColor rgb="FFFF0000"/>
              <x14:axisColor rgb="FF000000"/>
            </x14:dataBar>
          </x14:cfRule>
          <xm:sqref>Z57</xm:sqref>
        </x14:conditionalFormatting>
        <x14:conditionalFormatting xmlns:xm="http://schemas.microsoft.com/office/excel/2006/main">
          <x14:cfRule type="dataBar" id="{8F7CBD82-98D1-4DE2-A178-ECBEEBBCE597}">
            <x14:dataBar minLength="0" maxLength="100" gradient="0">
              <x14:cfvo type="num">
                <xm:f>0</xm:f>
              </x14:cfvo>
              <x14:cfvo type="num">
                <xm:f>1</xm:f>
              </x14:cfvo>
              <x14:negativeFillColor rgb="FFFF0000"/>
              <x14:axisColor rgb="FF000000"/>
            </x14:dataBar>
          </x14:cfRule>
          <xm:sqref>U4 AA4 AG4 AM4 AS4</xm:sqref>
        </x14:conditionalFormatting>
        <x14:conditionalFormatting xmlns:xm="http://schemas.microsoft.com/office/excel/2006/main">
          <x14:cfRule type="dataBar" id="{C0E870A3-3768-41F2-8203-7F92BF183D77}">
            <x14:dataBar minLength="0" maxLength="100" gradient="0">
              <x14:cfvo type="num">
                <xm:f>0</xm:f>
              </x14:cfvo>
              <x14:cfvo type="num">
                <xm:f>1</xm:f>
              </x14:cfvo>
              <x14:negativeFillColor rgb="FFFF0000"/>
              <x14:axisColor rgb="FF000000"/>
            </x14:dataBar>
          </x14:cfRule>
          <xm:sqref>AA33</xm:sqref>
        </x14:conditionalFormatting>
        <x14:conditionalFormatting xmlns:xm="http://schemas.microsoft.com/office/excel/2006/main">
          <x14:cfRule type="dataBar" id="{313E77A9-3290-4F57-85B3-1370AB61625F}">
            <x14:dataBar minLength="0" maxLength="100" gradient="0">
              <x14:cfvo type="num">
                <xm:f>0</xm:f>
              </x14:cfvo>
              <x14:cfvo type="num">
                <xm:f>1</xm:f>
              </x14:cfvo>
              <x14:negativeFillColor rgb="FFFF0000"/>
              <x14:axisColor rgb="FF000000"/>
            </x14:dataBar>
          </x14:cfRule>
          <xm:sqref>AA35</xm:sqref>
        </x14:conditionalFormatting>
        <x14:conditionalFormatting xmlns:xm="http://schemas.microsoft.com/office/excel/2006/main">
          <x14:cfRule type="dataBar" id="{1F4C5AFF-124A-4519-9654-DEAC6F18C22F}">
            <x14:dataBar minLength="0" maxLength="100" gradient="0">
              <x14:cfvo type="num">
                <xm:f>0</xm:f>
              </x14:cfvo>
              <x14:cfvo type="num">
                <xm:f>1</xm:f>
              </x14:cfvo>
              <x14:negativeFillColor rgb="FFFF0000"/>
              <x14:axisColor rgb="FF000000"/>
            </x14:dataBar>
          </x14:cfRule>
          <xm:sqref>AA37</xm:sqref>
        </x14:conditionalFormatting>
        <x14:conditionalFormatting xmlns:xm="http://schemas.microsoft.com/office/excel/2006/main">
          <x14:cfRule type="dataBar" id="{105D3928-A510-44F9-963D-49DC01949AD4}">
            <x14:dataBar minLength="0" maxLength="100" gradient="0">
              <x14:cfvo type="num">
                <xm:f>0</xm:f>
              </x14:cfvo>
              <x14:cfvo type="num">
                <xm:f>1</xm:f>
              </x14:cfvo>
              <x14:negativeFillColor rgb="FFFF0000"/>
              <x14:axisColor rgb="FF000000"/>
            </x14:dataBar>
          </x14:cfRule>
          <xm:sqref>AA39</xm:sqref>
        </x14:conditionalFormatting>
        <x14:conditionalFormatting xmlns:xm="http://schemas.microsoft.com/office/excel/2006/main">
          <x14:cfRule type="dataBar" id="{5FE49D11-38E8-4977-97D5-F9D9B5FA72FD}">
            <x14:dataBar minLength="0" maxLength="100" gradient="0">
              <x14:cfvo type="num">
                <xm:f>0</xm:f>
              </x14:cfvo>
              <x14:cfvo type="num">
                <xm:f>1</xm:f>
              </x14:cfvo>
              <x14:negativeFillColor rgb="FFFF0000"/>
              <x14:axisColor rgb="FF000000"/>
            </x14:dataBar>
          </x14:cfRule>
          <xm:sqref>AA41</xm:sqref>
        </x14:conditionalFormatting>
        <x14:conditionalFormatting xmlns:xm="http://schemas.microsoft.com/office/excel/2006/main">
          <x14:cfRule type="dataBar" id="{149AD82F-49EE-40E6-A317-5267FE77DC27}">
            <x14:dataBar minLength="0" maxLength="100" gradient="0">
              <x14:cfvo type="num">
                <xm:f>0</xm:f>
              </x14:cfvo>
              <x14:cfvo type="num">
                <xm:f>1</xm:f>
              </x14:cfvo>
              <x14:negativeFillColor rgb="FFFF0000"/>
              <x14:axisColor rgb="FF000000"/>
            </x14:dataBar>
          </x14:cfRule>
          <xm:sqref>AA43</xm:sqref>
        </x14:conditionalFormatting>
        <x14:conditionalFormatting xmlns:xm="http://schemas.microsoft.com/office/excel/2006/main">
          <x14:cfRule type="dataBar" id="{9A486BB9-D5EC-4B11-9787-94C562B2B5D8}">
            <x14:dataBar minLength="0" maxLength="100" gradient="0">
              <x14:cfvo type="num">
                <xm:f>0</xm:f>
              </x14:cfvo>
              <x14:cfvo type="num">
                <xm:f>1</xm:f>
              </x14:cfvo>
              <x14:negativeFillColor rgb="FFFF0000"/>
              <x14:axisColor rgb="FF000000"/>
            </x14:dataBar>
          </x14:cfRule>
          <xm:sqref>AA45</xm:sqref>
        </x14:conditionalFormatting>
        <x14:conditionalFormatting xmlns:xm="http://schemas.microsoft.com/office/excel/2006/main">
          <x14:cfRule type="dataBar" id="{B0055D05-0358-432A-A56D-8EDD16F36C1C}">
            <x14:dataBar minLength="0" maxLength="100" gradient="0">
              <x14:cfvo type="num">
                <xm:f>0</xm:f>
              </x14:cfvo>
              <x14:cfvo type="num">
                <xm:f>1</xm:f>
              </x14:cfvo>
              <x14:negativeFillColor rgb="FFFF0000"/>
              <x14:axisColor rgb="FF000000"/>
            </x14:dataBar>
          </x14:cfRule>
          <xm:sqref>AA47</xm:sqref>
        </x14:conditionalFormatting>
        <x14:conditionalFormatting xmlns:xm="http://schemas.microsoft.com/office/excel/2006/main">
          <x14:cfRule type="dataBar" id="{239B1449-0107-4B3D-B3F3-E36E5A4361A2}">
            <x14:dataBar minLength="0" maxLength="100" gradient="0">
              <x14:cfvo type="num">
                <xm:f>0</xm:f>
              </x14:cfvo>
              <x14:cfvo type="num">
                <xm:f>1</xm:f>
              </x14:cfvo>
              <x14:negativeFillColor rgb="FFFF0000"/>
              <x14:axisColor rgb="FF000000"/>
            </x14:dataBar>
          </x14:cfRule>
          <xm:sqref>AA49</xm:sqref>
        </x14:conditionalFormatting>
        <x14:conditionalFormatting xmlns:xm="http://schemas.microsoft.com/office/excel/2006/main">
          <x14:cfRule type="dataBar" id="{BD29EC78-3457-474C-8DFA-96ED11A2E518}">
            <x14:dataBar minLength="0" maxLength="100" gradient="0">
              <x14:cfvo type="num">
                <xm:f>0</xm:f>
              </x14:cfvo>
              <x14:cfvo type="num">
                <xm:f>1</xm:f>
              </x14:cfvo>
              <x14:negativeFillColor rgb="FFFF0000"/>
              <x14:axisColor rgb="FF000000"/>
            </x14:dataBar>
          </x14:cfRule>
          <xm:sqref>AA51</xm:sqref>
        </x14:conditionalFormatting>
        <x14:conditionalFormatting xmlns:xm="http://schemas.microsoft.com/office/excel/2006/main">
          <x14:cfRule type="dataBar" id="{D5952E5B-512A-49C8-ADD4-D475A307C15D}">
            <x14:dataBar minLength="0" maxLength="100" gradient="0">
              <x14:cfvo type="num">
                <xm:f>0</xm:f>
              </x14:cfvo>
              <x14:cfvo type="num">
                <xm:f>1</xm:f>
              </x14:cfvo>
              <x14:negativeFillColor rgb="FFFF0000"/>
              <x14:axisColor rgb="FF000000"/>
            </x14:dataBar>
          </x14:cfRule>
          <xm:sqref>AA53</xm:sqref>
        </x14:conditionalFormatting>
        <x14:conditionalFormatting xmlns:xm="http://schemas.microsoft.com/office/excel/2006/main">
          <x14:cfRule type="dataBar" id="{BF95F3E4-87DE-47CC-A040-B07B58D6DFF6}">
            <x14:dataBar minLength="0" maxLength="100" gradient="0">
              <x14:cfvo type="num">
                <xm:f>0</xm:f>
              </x14:cfvo>
              <x14:cfvo type="num">
                <xm:f>1</xm:f>
              </x14:cfvo>
              <x14:negativeFillColor rgb="FFFF0000"/>
              <x14:axisColor rgb="FF000000"/>
            </x14:dataBar>
          </x14:cfRule>
          <xm:sqref>AA55</xm:sqref>
        </x14:conditionalFormatting>
        <x14:conditionalFormatting xmlns:xm="http://schemas.microsoft.com/office/excel/2006/main">
          <x14:cfRule type="dataBar" id="{04EF5821-48D4-407C-AD52-741F4AFC5B2A}">
            <x14:dataBar minLength="0" maxLength="100" gradient="0">
              <x14:cfvo type="num">
                <xm:f>0</xm:f>
              </x14:cfvo>
              <x14:cfvo type="num">
                <xm:f>1</xm:f>
              </x14:cfvo>
              <x14:negativeFillColor rgb="FFFF0000"/>
              <x14:axisColor rgb="FF000000"/>
            </x14:dataBar>
          </x14:cfRule>
          <xm:sqref>AA57</xm:sqref>
        </x14:conditionalFormatting>
        <x14:conditionalFormatting xmlns:xm="http://schemas.microsoft.com/office/excel/2006/main">
          <x14:cfRule type="dataBar" id="{B170FE19-F3EC-4B6E-8197-50E246A9E631}">
            <x14:dataBar minLength="0" maxLength="100" gradient="0">
              <x14:cfvo type="num">
                <xm:f>0</xm:f>
              </x14:cfvo>
              <x14:cfvo type="num">
                <xm:f>1</xm:f>
              </x14:cfvo>
              <x14:negativeFillColor rgb="FFFF0000"/>
              <x14:axisColor rgb="FF000000"/>
            </x14:dataBar>
          </x14:cfRule>
          <xm:sqref>V4 AB4 AH4 AN4 AT4</xm:sqref>
        </x14:conditionalFormatting>
        <x14:conditionalFormatting xmlns:xm="http://schemas.microsoft.com/office/excel/2006/main">
          <x14:cfRule type="dataBar" id="{CE199974-97E8-4531-A3E6-25C949812311}">
            <x14:dataBar minLength="0" maxLength="100" gradient="0">
              <x14:cfvo type="num">
                <xm:f>0</xm:f>
              </x14:cfvo>
              <x14:cfvo type="num">
                <xm:f>1</xm:f>
              </x14:cfvo>
              <x14:negativeFillColor rgb="FFFF0000"/>
              <x14:axisColor rgb="FF000000"/>
            </x14:dataBar>
          </x14:cfRule>
          <xm:sqref>AB33</xm:sqref>
        </x14:conditionalFormatting>
        <x14:conditionalFormatting xmlns:xm="http://schemas.microsoft.com/office/excel/2006/main">
          <x14:cfRule type="dataBar" id="{EF836D67-5940-4563-BA78-92FCFF360ED1}">
            <x14:dataBar minLength="0" maxLength="100" gradient="0">
              <x14:cfvo type="num">
                <xm:f>0</xm:f>
              </x14:cfvo>
              <x14:cfvo type="num">
                <xm:f>1</xm:f>
              </x14:cfvo>
              <x14:negativeFillColor rgb="FFFF0000"/>
              <x14:axisColor rgb="FF000000"/>
            </x14:dataBar>
          </x14:cfRule>
          <xm:sqref>AB35</xm:sqref>
        </x14:conditionalFormatting>
        <x14:conditionalFormatting xmlns:xm="http://schemas.microsoft.com/office/excel/2006/main">
          <x14:cfRule type="dataBar" id="{4035F1A0-1BEF-4ADA-9F2A-0D3024DE128E}">
            <x14:dataBar minLength="0" maxLength="100" gradient="0">
              <x14:cfvo type="num">
                <xm:f>0</xm:f>
              </x14:cfvo>
              <x14:cfvo type="num">
                <xm:f>1</xm:f>
              </x14:cfvo>
              <x14:negativeFillColor rgb="FFFF0000"/>
              <x14:axisColor rgb="FF000000"/>
            </x14:dataBar>
          </x14:cfRule>
          <xm:sqref>AB37</xm:sqref>
        </x14:conditionalFormatting>
        <x14:conditionalFormatting xmlns:xm="http://schemas.microsoft.com/office/excel/2006/main">
          <x14:cfRule type="dataBar" id="{12C37F17-4B8F-449C-BD3F-C9FCD84B89A3}">
            <x14:dataBar minLength="0" maxLength="100" gradient="0">
              <x14:cfvo type="num">
                <xm:f>0</xm:f>
              </x14:cfvo>
              <x14:cfvo type="num">
                <xm:f>1</xm:f>
              </x14:cfvo>
              <x14:negativeFillColor rgb="FFFF0000"/>
              <x14:axisColor rgb="FF000000"/>
            </x14:dataBar>
          </x14:cfRule>
          <xm:sqref>AB39</xm:sqref>
        </x14:conditionalFormatting>
        <x14:conditionalFormatting xmlns:xm="http://schemas.microsoft.com/office/excel/2006/main">
          <x14:cfRule type="dataBar" id="{0B2F2AB2-0CF6-457D-8699-8EDB236261D7}">
            <x14:dataBar minLength="0" maxLength="100" gradient="0">
              <x14:cfvo type="num">
                <xm:f>0</xm:f>
              </x14:cfvo>
              <x14:cfvo type="num">
                <xm:f>1</xm:f>
              </x14:cfvo>
              <x14:negativeFillColor rgb="FFFF0000"/>
              <x14:axisColor rgb="FF000000"/>
            </x14:dataBar>
          </x14:cfRule>
          <xm:sqref>AB41</xm:sqref>
        </x14:conditionalFormatting>
        <x14:conditionalFormatting xmlns:xm="http://schemas.microsoft.com/office/excel/2006/main">
          <x14:cfRule type="dataBar" id="{F448F964-A041-4AD2-8C32-7811B740AB10}">
            <x14:dataBar minLength="0" maxLength="100" gradient="0">
              <x14:cfvo type="num">
                <xm:f>0</xm:f>
              </x14:cfvo>
              <x14:cfvo type="num">
                <xm:f>1</xm:f>
              </x14:cfvo>
              <x14:negativeFillColor rgb="FFFF0000"/>
              <x14:axisColor rgb="FF000000"/>
            </x14:dataBar>
          </x14:cfRule>
          <xm:sqref>AB43</xm:sqref>
        </x14:conditionalFormatting>
        <x14:conditionalFormatting xmlns:xm="http://schemas.microsoft.com/office/excel/2006/main">
          <x14:cfRule type="dataBar" id="{4F25FD80-6574-4FD9-9F84-29C58BAFA210}">
            <x14:dataBar minLength="0" maxLength="100" gradient="0">
              <x14:cfvo type="num">
                <xm:f>0</xm:f>
              </x14:cfvo>
              <x14:cfvo type="num">
                <xm:f>1</xm:f>
              </x14:cfvo>
              <x14:negativeFillColor rgb="FFFF0000"/>
              <x14:axisColor rgb="FF000000"/>
            </x14:dataBar>
          </x14:cfRule>
          <xm:sqref>AB45</xm:sqref>
        </x14:conditionalFormatting>
        <x14:conditionalFormatting xmlns:xm="http://schemas.microsoft.com/office/excel/2006/main">
          <x14:cfRule type="dataBar" id="{619D0877-06EB-4BF5-8B91-8DE89EF7B3E0}">
            <x14:dataBar minLength="0" maxLength="100" gradient="0">
              <x14:cfvo type="num">
                <xm:f>0</xm:f>
              </x14:cfvo>
              <x14:cfvo type="num">
                <xm:f>1</xm:f>
              </x14:cfvo>
              <x14:negativeFillColor rgb="FFFF0000"/>
              <x14:axisColor rgb="FF000000"/>
            </x14:dataBar>
          </x14:cfRule>
          <xm:sqref>AB47</xm:sqref>
        </x14:conditionalFormatting>
        <x14:conditionalFormatting xmlns:xm="http://schemas.microsoft.com/office/excel/2006/main">
          <x14:cfRule type="dataBar" id="{90C132F7-99F4-4132-AED2-FD3A1AF34723}">
            <x14:dataBar minLength="0" maxLength="100" gradient="0">
              <x14:cfvo type="num">
                <xm:f>0</xm:f>
              </x14:cfvo>
              <x14:cfvo type="num">
                <xm:f>1</xm:f>
              </x14:cfvo>
              <x14:negativeFillColor rgb="FFFF0000"/>
              <x14:axisColor rgb="FF000000"/>
            </x14:dataBar>
          </x14:cfRule>
          <xm:sqref>AB49</xm:sqref>
        </x14:conditionalFormatting>
        <x14:conditionalFormatting xmlns:xm="http://schemas.microsoft.com/office/excel/2006/main">
          <x14:cfRule type="dataBar" id="{1BCF4905-B0A3-4E09-9D1E-BE15277F85E6}">
            <x14:dataBar minLength="0" maxLength="100" gradient="0">
              <x14:cfvo type="num">
                <xm:f>0</xm:f>
              </x14:cfvo>
              <x14:cfvo type="num">
                <xm:f>1</xm:f>
              </x14:cfvo>
              <x14:negativeFillColor rgb="FFFF0000"/>
              <x14:axisColor rgb="FF000000"/>
            </x14:dataBar>
          </x14:cfRule>
          <xm:sqref>AB51</xm:sqref>
        </x14:conditionalFormatting>
        <x14:conditionalFormatting xmlns:xm="http://schemas.microsoft.com/office/excel/2006/main">
          <x14:cfRule type="dataBar" id="{7D403C47-CC81-4987-9C80-F7890BD3D257}">
            <x14:dataBar minLength="0" maxLength="100" gradient="0">
              <x14:cfvo type="num">
                <xm:f>0</xm:f>
              </x14:cfvo>
              <x14:cfvo type="num">
                <xm:f>1</xm:f>
              </x14:cfvo>
              <x14:negativeFillColor rgb="FFFF0000"/>
              <x14:axisColor rgb="FF000000"/>
            </x14:dataBar>
          </x14:cfRule>
          <xm:sqref>AB53</xm:sqref>
        </x14:conditionalFormatting>
        <x14:conditionalFormatting xmlns:xm="http://schemas.microsoft.com/office/excel/2006/main">
          <x14:cfRule type="dataBar" id="{B83B85DD-CF0A-4944-81A9-0D46056FD3FA}">
            <x14:dataBar minLength="0" maxLength="100" gradient="0">
              <x14:cfvo type="num">
                <xm:f>0</xm:f>
              </x14:cfvo>
              <x14:cfvo type="num">
                <xm:f>1</xm:f>
              </x14:cfvo>
              <x14:negativeFillColor rgb="FFFF0000"/>
              <x14:axisColor rgb="FF000000"/>
            </x14:dataBar>
          </x14:cfRule>
          <xm:sqref>AB55</xm:sqref>
        </x14:conditionalFormatting>
        <x14:conditionalFormatting xmlns:xm="http://schemas.microsoft.com/office/excel/2006/main">
          <x14:cfRule type="dataBar" id="{D8C59676-B8E9-41E5-A130-AAF4FB9B8EE8}">
            <x14:dataBar minLength="0" maxLength="100" gradient="0">
              <x14:cfvo type="num">
                <xm:f>0</xm:f>
              </x14:cfvo>
              <x14:cfvo type="num">
                <xm:f>1</xm:f>
              </x14:cfvo>
              <x14:negativeFillColor rgb="FFFF0000"/>
              <x14:axisColor rgb="FF000000"/>
            </x14:dataBar>
          </x14:cfRule>
          <xm:sqref>AB57</xm:sqref>
        </x14:conditionalFormatting>
        <x14:conditionalFormatting xmlns:xm="http://schemas.microsoft.com/office/excel/2006/main">
          <x14:cfRule type="dataBar" id="{D94F16C5-F191-4ACB-9F36-B19494B7B985}">
            <x14:dataBar minLength="0" maxLength="100" gradient="0">
              <x14:cfvo type="num">
                <xm:f>0</xm:f>
              </x14:cfvo>
              <x14:cfvo type="num">
                <xm:f>1</xm:f>
              </x14:cfvo>
              <x14:negativeFillColor rgb="FFFF0000"/>
              <x14:axisColor rgb="FF000000"/>
            </x14:dataBar>
          </x14:cfRule>
          <xm:sqref>W4 AC4 AI4 AO4 AU4</xm:sqref>
        </x14:conditionalFormatting>
        <x14:conditionalFormatting xmlns:xm="http://schemas.microsoft.com/office/excel/2006/main">
          <x14:cfRule type="dataBar" id="{508EBD28-3590-447F-AC51-3337B230637B}">
            <x14:dataBar minLength="0" maxLength="100" gradient="0">
              <x14:cfvo type="num">
                <xm:f>0</xm:f>
              </x14:cfvo>
              <x14:cfvo type="num">
                <xm:f>1</xm:f>
              </x14:cfvo>
              <x14:negativeFillColor rgb="FFFF0000"/>
              <x14:axisColor rgb="FF000000"/>
            </x14:dataBar>
          </x14:cfRule>
          <xm:sqref>AC33</xm:sqref>
        </x14:conditionalFormatting>
        <x14:conditionalFormatting xmlns:xm="http://schemas.microsoft.com/office/excel/2006/main">
          <x14:cfRule type="dataBar" id="{2855FDA0-1221-411E-A6EE-EDD17324D3E3}">
            <x14:dataBar minLength="0" maxLength="100" gradient="0">
              <x14:cfvo type="num">
                <xm:f>0</xm:f>
              </x14:cfvo>
              <x14:cfvo type="num">
                <xm:f>1</xm:f>
              </x14:cfvo>
              <x14:negativeFillColor rgb="FFFF0000"/>
              <x14:axisColor rgb="FF000000"/>
            </x14:dataBar>
          </x14:cfRule>
          <xm:sqref>AC35</xm:sqref>
        </x14:conditionalFormatting>
        <x14:conditionalFormatting xmlns:xm="http://schemas.microsoft.com/office/excel/2006/main">
          <x14:cfRule type="dataBar" id="{9E5221FB-AC39-4672-BA9D-748EBBFCC6CA}">
            <x14:dataBar minLength="0" maxLength="100" gradient="0">
              <x14:cfvo type="num">
                <xm:f>0</xm:f>
              </x14:cfvo>
              <x14:cfvo type="num">
                <xm:f>1</xm:f>
              </x14:cfvo>
              <x14:negativeFillColor rgb="FFFF0000"/>
              <x14:axisColor rgb="FF000000"/>
            </x14:dataBar>
          </x14:cfRule>
          <xm:sqref>AC37</xm:sqref>
        </x14:conditionalFormatting>
        <x14:conditionalFormatting xmlns:xm="http://schemas.microsoft.com/office/excel/2006/main">
          <x14:cfRule type="dataBar" id="{E3ED760E-BB35-453B-8D2D-5BC0598BC6FB}">
            <x14:dataBar minLength="0" maxLength="100" gradient="0">
              <x14:cfvo type="num">
                <xm:f>0</xm:f>
              </x14:cfvo>
              <x14:cfvo type="num">
                <xm:f>1</xm:f>
              </x14:cfvo>
              <x14:negativeFillColor rgb="FFFF0000"/>
              <x14:axisColor rgb="FF000000"/>
            </x14:dataBar>
          </x14:cfRule>
          <xm:sqref>AC39</xm:sqref>
        </x14:conditionalFormatting>
        <x14:conditionalFormatting xmlns:xm="http://schemas.microsoft.com/office/excel/2006/main">
          <x14:cfRule type="dataBar" id="{30843A79-D6B0-44D1-A950-8DDFF5FD454F}">
            <x14:dataBar minLength="0" maxLength="100" gradient="0">
              <x14:cfvo type="num">
                <xm:f>0</xm:f>
              </x14:cfvo>
              <x14:cfvo type="num">
                <xm:f>1</xm:f>
              </x14:cfvo>
              <x14:negativeFillColor rgb="FFFF0000"/>
              <x14:axisColor rgb="FF000000"/>
            </x14:dataBar>
          </x14:cfRule>
          <xm:sqref>AC41</xm:sqref>
        </x14:conditionalFormatting>
        <x14:conditionalFormatting xmlns:xm="http://schemas.microsoft.com/office/excel/2006/main">
          <x14:cfRule type="dataBar" id="{4866B727-C240-4C86-94C8-BC1EBF5DA861}">
            <x14:dataBar minLength="0" maxLength="100" gradient="0">
              <x14:cfvo type="num">
                <xm:f>0</xm:f>
              </x14:cfvo>
              <x14:cfvo type="num">
                <xm:f>1</xm:f>
              </x14:cfvo>
              <x14:negativeFillColor rgb="FFFF0000"/>
              <x14:axisColor rgb="FF000000"/>
            </x14:dataBar>
          </x14:cfRule>
          <xm:sqref>AC43</xm:sqref>
        </x14:conditionalFormatting>
        <x14:conditionalFormatting xmlns:xm="http://schemas.microsoft.com/office/excel/2006/main">
          <x14:cfRule type="dataBar" id="{1B02AE8A-0124-4D4E-8FBE-5DEEAF721A2B}">
            <x14:dataBar minLength="0" maxLength="100" gradient="0">
              <x14:cfvo type="num">
                <xm:f>0</xm:f>
              </x14:cfvo>
              <x14:cfvo type="num">
                <xm:f>1</xm:f>
              </x14:cfvo>
              <x14:negativeFillColor rgb="FFFF0000"/>
              <x14:axisColor rgb="FF000000"/>
            </x14:dataBar>
          </x14:cfRule>
          <xm:sqref>AC45</xm:sqref>
        </x14:conditionalFormatting>
        <x14:conditionalFormatting xmlns:xm="http://schemas.microsoft.com/office/excel/2006/main">
          <x14:cfRule type="dataBar" id="{1199F11E-9858-4F87-9C85-96770B95F2E9}">
            <x14:dataBar minLength="0" maxLength="100" gradient="0">
              <x14:cfvo type="num">
                <xm:f>0</xm:f>
              </x14:cfvo>
              <x14:cfvo type="num">
                <xm:f>1</xm:f>
              </x14:cfvo>
              <x14:negativeFillColor rgb="FFFF0000"/>
              <x14:axisColor rgb="FF000000"/>
            </x14:dataBar>
          </x14:cfRule>
          <xm:sqref>AC47</xm:sqref>
        </x14:conditionalFormatting>
        <x14:conditionalFormatting xmlns:xm="http://schemas.microsoft.com/office/excel/2006/main">
          <x14:cfRule type="dataBar" id="{86139CC3-2762-40C8-A988-F3A7B9497F2B}">
            <x14:dataBar minLength="0" maxLength="100" gradient="0">
              <x14:cfvo type="num">
                <xm:f>0</xm:f>
              </x14:cfvo>
              <x14:cfvo type="num">
                <xm:f>1</xm:f>
              </x14:cfvo>
              <x14:negativeFillColor rgb="FFFF0000"/>
              <x14:axisColor rgb="FF000000"/>
            </x14:dataBar>
          </x14:cfRule>
          <xm:sqref>AC49</xm:sqref>
        </x14:conditionalFormatting>
        <x14:conditionalFormatting xmlns:xm="http://schemas.microsoft.com/office/excel/2006/main">
          <x14:cfRule type="dataBar" id="{2C86FCA9-3BCA-40CB-8BA4-509D703760A1}">
            <x14:dataBar minLength="0" maxLength="100" gradient="0">
              <x14:cfvo type="num">
                <xm:f>0</xm:f>
              </x14:cfvo>
              <x14:cfvo type="num">
                <xm:f>1</xm:f>
              </x14:cfvo>
              <x14:negativeFillColor rgb="FFFF0000"/>
              <x14:axisColor rgb="FF000000"/>
            </x14:dataBar>
          </x14:cfRule>
          <xm:sqref>AC51</xm:sqref>
        </x14:conditionalFormatting>
        <x14:conditionalFormatting xmlns:xm="http://schemas.microsoft.com/office/excel/2006/main">
          <x14:cfRule type="dataBar" id="{50535C70-BB6F-45A3-9B18-9B7031FE14ED}">
            <x14:dataBar minLength="0" maxLength="100" gradient="0">
              <x14:cfvo type="num">
                <xm:f>0</xm:f>
              </x14:cfvo>
              <x14:cfvo type="num">
                <xm:f>1</xm:f>
              </x14:cfvo>
              <x14:negativeFillColor rgb="FFFF0000"/>
              <x14:axisColor rgb="FF000000"/>
            </x14:dataBar>
          </x14:cfRule>
          <xm:sqref>AC53</xm:sqref>
        </x14:conditionalFormatting>
        <x14:conditionalFormatting xmlns:xm="http://schemas.microsoft.com/office/excel/2006/main">
          <x14:cfRule type="dataBar" id="{0C78CEF7-B173-4CBA-96A1-D6CC71A3B1C4}">
            <x14:dataBar minLength="0" maxLength="100" gradient="0">
              <x14:cfvo type="num">
                <xm:f>0</xm:f>
              </x14:cfvo>
              <x14:cfvo type="num">
                <xm:f>1</xm:f>
              </x14:cfvo>
              <x14:negativeFillColor rgb="FFFF0000"/>
              <x14:axisColor rgb="FF000000"/>
            </x14:dataBar>
          </x14:cfRule>
          <xm:sqref>AC55</xm:sqref>
        </x14:conditionalFormatting>
        <x14:conditionalFormatting xmlns:xm="http://schemas.microsoft.com/office/excel/2006/main">
          <x14:cfRule type="dataBar" id="{1B94B39A-056D-456B-8F78-277F2A131A79}">
            <x14:dataBar minLength="0" maxLength="100" gradient="0">
              <x14:cfvo type="num">
                <xm:f>0</xm:f>
              </x14:cfvo>
              <x14:cfvo type="num">
                <xm:f>1</xm:f>
              </x14:cfvo>
              <x14:negativeFillColor rgb="FFFF0000"/>
              <x14:axisColor rgb="FF000000"/>
            </x14:dataBar>
          </x14:cfRule>
          <xm:sqref>AC57</xm:sqref>
        </x14:conditionalFormatting>
        <x14:conditionalFormatting xmlns:xm="http://schemas.microsoft.com/office/excel/2006/main">
          <x14:cfRule type="dataBar" id="{D41DF84E-855E-4414-9B2C-442004649EA9}">
            <x14:dataBar minLength="0" maxLength="100" gradient="0">
              <x14:cfvo type="num">
                <xm:f>0</xm:f>
              </x14:cfvo>
              <x14:cfvo type="num">
                <xm:f>1</xm:f>
              </x14:cfvo>
              <x14:negativeFillColor rgb="FFFF0000"/>
              <x14:axisColor rgb="FF000000"/>
            </x14:dataBar>
          </x14:cfRule>
          <xm:sqref>AD33</xm:sqref>
        </x14:conditionalFormatting>
        <x14:conditionalFormatting xmlns:xm="http://schemas.microsoft.com/office/excel/2006/main">
          <x14:cfRule type="dataBar" id="{748CA702-B31B-4375-BB34-4292502C7719}">
            <x14:dataBar minLength="0" maxLength="100" gradient="0">
              <x14:cfvo type="num">
                <xm:f>0</xm:f>
              </x14:cfvo>
              <x14:cfvo type="num">
                <xm:f>1</xm:f>
              </x14:cfvo>
              <x14:negativeFillColor rgb="FFFF0000"/>
              <x14:axisColor rgb="FF000000"/>
            </x14:dataBar>
          </x14:cfRule>
          <xm:sqref>AD35</xm:sqref>
        </x14:conditionalFormatting>
        <x14:conditionalFormatting xmlns:xm="http://schemas.microsoft.com/office/excel/2006/main">
          <x14:cfRule type="dataBar" id="{37D66A8F-71A6-4A81-8951-8A106A4BF29F}">
            <x14:dataBar minLength="0" maxLength="100" gradient="0">
              <x14:cfvo type="num">
                <xm:f>0</xm:f>
              </x14:cfvo>
              <x14:cfvo type="num">
                <xm:f>1</xm:f>
              </x14:cfvo>
              <x14:negativeFillColor rgb="FFFF0000"/>
              <x14:axisColor rgb="FF000000"/>
            </x14:dataBar>
          </x14:cfRule>
          <xm:sqref>AD37</xm:sqref>
        </x14:conditionalFormatting>
        <x14:conditionalFormatting xmlns:xm="http://schemas.microsoft.com/office/excel/2006/main">
          <x14:cfRule type="dataBar" id="{9449C52F-1718-4190-A2F7-6E47A80E4A47}">
            <x14:dataBar minLength="0" maxLength="100" gradient="0">
              <x14:cfvo type="num">
                <xm:f>0</xm:f>
              </x14:cfvo>
              <x14:cfvo type="num">
                <xm:f>1</xm:f>
              </x14:cfvo>
              <x14:negativeFillColor rgb="FFFF0000"/>
              <x14:axisColor rgb="FF000000"/>
            </x14:dataBar>
          </x14:cfRule>
          <xm:sqref>AD39</xm:sqref>
        </x14:conditionalFormatting>
        <x14:conditionalFormatting xmlns:xm="http://schemas.microsoft.com/office/excel/2006/main">
          <x14:cfRule type="dataBar" id="{FC61EA76-7343-448F-A156-F8F2D65A4A93}">
            <x14:dataBar minLength="0" maxLength="100" gradient="0">
              <x14:cfvo type="num">
                <xm:f>0</xm:f>
              </x14:cfvo>
              <x14:cfvo type="num">
                <xm:f>1</xm:f>
              </x14:cfvo>
              <x14:negativeFillColor rgb="FFFF0000"/>
              <x14:axisColor rgb="FF000000"/>
            </x14:dataBar>
          </x14:cfRule>
          <xm:sqref>AD41</xm:sqref>
        </x14:conditionalFormatting>
        <x14:conditionalFormatting xmlns:xm="http://schemas.microsoft.com/office/excel/2006/main">
          <x14:cfRule type="dataBar" id="{44EA49A7-76E1-4709-96BE-5EEEFE5A3D13}">
            <x14:dataBar minLength="0" maxLength="100" gradient="0">
              <x14:cfvo type="num">
                <xm:f>0</xm:f>
              </x14:cfvo>
              <x14:cfvo type="num">
                <xm:f>1</xm:f>
              </x14:cfvo>
              <x14:negativeFillColor rgb="FFFF0000"/>
              <x14:axisColor rgb="FF000000"/>
            </x14:dataBar>
          </x14:cfRule>
          <xm:sqref>AD43</xm:sqref>
        </x14:conditionalFormatting>
        <x14:conditionalFormatting xmlns:xm="http://schemas.microsoft.com/office/excel/2006/main">
          <x14:cfRule type="dataBar" id="{4995B5A2-3F37-454B-B84A-A62AC964F8A2}">
            <x14:dataBar minLength="0" maxLength="100" gradient="0">
              <x14:cfvo type="num">
                <xm:f>0</xm:f>
              </x14:cfvo>
              <x14:cfvo type="num">
                <xm:f>1</xm:f>
              </x14:cfvo>
              <x14:negativeFillColor rgb="FFFF0000"/>
              <x14:axisColor rgb="FF000000"/>
            </x14:dataBar>
          </x14:cfRule>
          <xm:sqref>AD45</xm:sqref>
        </x14:conditionalFormatting>
        <x14:conditionalFormatting xmlns:xm="http://schemas.microsoft.com/office/excel/2006/main">
          <x14:cfRule type="dataBar" id="{82BE1166-7515-496B-8ED6-FC9D9360E7F4}">
            <x14:dataBar minLength="0" maxLength="100" gradient="0">
              <x14:cfvo type="num">
                <xm:f>0</xm:f>
              </x14:cfvo>
              <x14:cfvo type="num">
                <xm:f>1</xm:f>
              </x14:cfvo>
              <x14:negativeFillColor rgb="FFFF0000"/>
              <x14:axisColor rgb="FF000000"/>
            </x14:dataBar>
          </x14:cfRule>
          <xm:sqref>AD47</xm:sqref>
        </x14:conditionalFormatting>
        <x14:conditionalFormatting xmlns:xm="http://schemas.microsoft.com/office/excel/2006/main">
          <x14:cfRule type="dataBar" id="{06B69C74-DEB2-45A4-BED7-B07B5B2E42BD}">
            <x14:dataBar minLength="0" maxLength="100" gradient="0">
              <x14:cfvo type="num">
                <xm:f>0</xm:f>
              </x14:cfvo>
              <x14:cfvo type="num">
                <xm:f>1</xm:f>
              </x14:cfvo>
              <x14:negativeFillColor rgb="FFFF0000"/>
              <x14:axisColor rgb="FF000000"/>
            </x14:dataBar>
          </x14:cfRule>
          <xm:sqref>AD49</xm:sqref>
        </x14:conditionalFormatting>
        <x14:conditionalFormatting xmlns:xm="http://schemas.microsoft.com/office/excel/2006/main">
          <x14:cfRule type="dataBar" id="{E6483663-CAF9-4A9C-A58D-F2F826A507DA}">
            <x14:dataBar minLength="0" maxLength="100" gradient="0">
              <x14:cfvo type="num">
                <xm:f>0</xm:f>
              </x14:cfvo>
              <x14:cfvo type="num">
                <xm:f>1</xm:f>
              </x14:cfvo>
              <x14:negativeFillColor rgb="FFFF0000"/>
              <x14:axisColor rgb="FF000000"/>
            </x14:dataBar>
          </x14:cfRule>
          <xm:sqref>AD51</xm:sqref>
        </x14:conditionalFormatting>
        <x14:conditionalFormatting xmlns:xm="http://schemas.microsoft.com/office/excel/2006/main">
          <x14:cfRule type="dataBar" id="{FC76BD12-FD10-4321-B97A-C8E359A9F091}">
            <x14:dataBar minLength="0" maxLength="100" gradient="0">
              <x14:cfvo type="num">
                <xm:f>0</xm:f>
              </x14:cfvo>
              <x14:cfvo type="num">
                <xm:f>1</xm:f>
              </x14:cfvo>
              <x14:negativeFillColor rgb="FFFF0000"/>
              <x14:axisColor rgb="FF000000"/>
            </x14:dataBar>
          </x14:cfRule>
          <xm:sqref>AD53</xm:sqref>
        </x14:conditionalFormatting>
        <x14:conditionalFormatting xmlns:xm="http://schemas.microsoft.com/office/excel/2006/main">
          <x14:cfRule type="dataBar" id="{A73821E5-49D4-47D7-9B21-1B3CB48D42FD}">
            <x14:dataBar minLength="0" maxLength="100" gradient="0">
              <x14:cfvo type="num">
                <xm:f>0</xm:f>
              </x14:cfvo>
              <x14:cfvo type="num">
                <xm:f>1</xm:f>
              </x14:cfvo>
              <x14:negativeFillColor rgb="FFFF0000"/>
              <x14:axisColor rgb="FF000000"/>
            </x14:dataBar>
          </x14:cfRule>
          <xm:sqref>AD55</xm:sqref>
        </x14:conditionalFormatting>
        <x14:conditionalFormatting xmlns:xm="http://schemas.microsoft.com/office/excel/2006/main">
          <x14:cfRule type="dataBar" id="{06CFF093-29E3-4A42-84A1-4E24028373D6}">
            <x14:dataBar minLength="0" maxLength="100" gradient="0">
              <x14:cfvo type="num">
                <xm:f>0</xm:f>
              </x14:cfvo>
              <x14:cfvo type="num">
                <xm:f>1</xm:f>
              </x14:cfvo>
              <x14:negativeFillColor rgb="FFFF0000"/>
              <x14:axisColor rgb="FF000000"/>
            </x14:dataBar>
          </x14:cfRule>
          <xm:sqref>AD57</xm:sqref>
        </x14:conditionalFormatting>
        <x14:conditionalFormatting xmlns:xm="http://schemas.microsoft.com/office/excel/2006/main">
          <x14:cfRule type="dataBar" id="{C5333144-9D82-4D58-83DC-DE1A74749772}">
            <x14:dataBar minLength="0" maxLength="100" gradient="0">
              <x14:cfvo type="num">
                <xm:f>0</xm:f>
              </x14:cfvo>
              <x14:cfvo type="num">
                <xm:f>1</xm:f>
              </x14:cfvo>
              <x14:negativeFillColor rgb="FFFF0000"/>
              <x14:axisColor rgb="FF000000"/>
            </x14:dataBar>
          </x14:cfRule>
          <xm:sqref>AE33</xm:sqref>
        </x14:conditionalFormatting>
        <x14:conditionalFormatting xmlns:xm="http://schemas.microsoft.com/office/excel/2006/main">
          <x14:cfRule type="dataBar" id="{FBE3FE80-26BB-4857-AE87-6BA02E1F00B9}">
            <x14:dataBar minLength="0" maxLength="100" gradient="0">
              <x14:cfvo type="num">
                <xm:f>0</xm:f>
              </x14:cfvo>
              <x14:cfvo type="num">
                <xm:f>1</xm:f>
              </x14:cfvo>
              <x14:negativeFillColor rgb="FFFF0000"/>
              <x14:axisColor rgb="FF000000"/>
            </x14:dataBar>
          </x14:cfRule>
          <xm:sqref>AE35</xm:sqref>
        </x14:conditionalFormatting>
        <x14:conditionalFormatting xmlns:xm="http://schemas.microsoft.com/office/excel/2006/main">
          <x14:cfRule type="dataBar" id="{52C0DA2F-6407-4E16-98C3-15E3B13035F4}">
            <x14:dataBar minLength="0" maxLength="100" gradient="0">
              <x14:cfvo type="num">
                <xm:f>0</xm:f>
              </x14:cfvo>
              <x14:cfvo type="num">
                <xm:f>1</xm:f>
              </x14:cfvo>
              <x14:negativeFillColor rgb="FFFF0000"/>
              <x14:axisColor rgb="FF000000"/>
            </x14:dataBar>
          </x14:cfRule>
          <xm:sqref>AE37</xm:sqref>
        </x14:conditionalFormatting>
        <x14:conditionalFormatting xmlns:xm="http://schemas.microsoft.com/office/excel/2006/main">
          <x14:cfRule type="dataBar" id="{24516B64-1ADE-4ED7-AF41-689C45B803B2}">
            <x14:dataBar minLength="0" maxLength="100" gradient="0">
              <x14:cfvo type="num">
                <xm:f>0</xm:f>
              </x14:cfvo>
              <x14:cfvo type="num">
                <xm:f>1</xm:f>
              </x14:cfvo>
              <x14:negativeFillColor rgb="FFFF0000"/>
              <x14:axisColor rgb="FF000000"/>
            </x14:dataBar>
          </x14:cfRule>
          <xm:sqref>AE39</xm:sqref>
        </x14:conditionalFormatting>
        <x14:conditionalFormatting xmlns:xm="http://schemas.microsoft.com/office/excel/2006/main">
          <x14:cfRule type="dataBar" id="{212060A4-D0D6-411E-9EFD-D87F217861CB}">
            <x14:dataBar minLength="0" maxLength="100" gradient="0">
              <x14:cfvo type="num">
                <xm:f>0</xm:f>
              </x14:cfvo>
              <x14:cfvo type="num">
                <xm:f>1</xm:f>
              </x14:cfvo>
              <x14:negativeFillColor rgb="FFFF0000"/>
              <x14:axisColor rgb="FF000000"/>
            </x14:dataBar>
          </x14:cfRule>
          <xm:sqref>AE41</xm:sqref>
        </x14:conditionalFormatting>
        <x14:conditionalFormatting xmlns:xm="http://schemas.microsoft.com/office/excel/2006/main">
          <x14:cfRule type="dataBar" id="{7E86C140-B448-4A0B-9DEB-2FA5740DCD5C}">
            <x14:dataBar minLength="0" maxLength="100" gradient="0">
              <x14:cfvo type="num">
                <xm:f>0</xm:f>
              </x14:cfvo>
              <x14:cfvo type="num">
                <xm:f>1</xm:f>
              </x14:cfvo>
              <x14:negativeFillColor rgb="FFFF0000"/>
              <x14:axisColor rgb="FF000000"/>
            </x14:dataBar>
          </x14:cfRule>
          <xm:sqref>AE43</xm:sqref>
        </x14:conditionalFormatting>
        <x14:conditionalFormatting xmlns:xm="http://schemas.microsoft.com/office/excel/2006/main">
          <x14:cfRule type="dataBar" id="{8E6191B8-7EC0-4D35-9417-9A3744334944}">
            <x14:dataBar minLength="0" maxLength="100" gradient="0">
              <x14:cfvo type="num">
                <xm:f>0</xm:f>
              </x14:cfvo>
              <x14:cfvo type="num">
                <xm:f>1</xm:f>
              </x14:cfvo>
              <x14:negativeFillColor rgb="FFFF0000"/>
              <x14:axisColor rgb="FF000000"/>
            </x14:dataBar>
          </x14:cfRule>
          <xm:sqref>AE45</xm:sqref>
        </x14:conditionalFormatting>
        <x14:conditionalFormatting xmlns:xm="http://schemas.microsoft.com/office/excel/2006/main">
          <x14:cfRule type="dataBar" id="{62E7DE24-0CF1-4895-9369-3D38496CD9A0}">
            <x14:dataBar minLength="0" maxLength="100" gradient="0">
              <x14:cfvo type="num">
                <xm:f>0</xm:f>
              </x14:cfvo>
              <x14:cfvo type="num">
                <xm:f>1</xm:f>
              </x14:cfvo>
              <x14:negativeFillColor rgb="FFFF0000"/>
              <x14:axisColor rgb="FF000000"/>
            </x14:dataBar>
          </x14:cfRule>
          <xm:sqref>AE47</xm:sqref>
        </x14:conditionalFormatting>
        <x14:conditionalFormatting xmlns:xm="http://schemas.microsoft.com/office/excel/2006/main">
          <x14:cfRule type="dataBar" id="{9DDD012A-BD82-4AE4-B1D5-D81911673B46}">
            <x14:dataBar minLength="0" maxLength="100" gradient="0">
              <x14:cfvo type="num">
                <xm:f>0</xm:f>
              </x14:cfvo>
              <x14:cfvo type="num">
                <xm:f>1</xm:f>
              </x14:cfvo>
              <x14:negativeFillColor rgb="FFFF0000"/>
              <x14:axisColor rgb="FF000000"/>
            </x14:dataBar>
          </x14:cfRule>
          <xm:sqref>AE49</xm:sqref>
        </x14:conditionalFormatting>
        <x14:conditionalFormatting xmlns:xm="http://schemas.microsoft.com/office/excel/2006/main">
          <x14:cfRule type="dataBar" id="{2308FD79-D935-4D57-B5D8-249677B0E627}">
            <x14:dataBar minLength="0" maxLength="100" gradient="0">
              <x14:cfvo type="num">
                <xm:f>0</xm:f>
              </x14:cfvo>
              <x14:cfvo type="num">
                <xm:f>1</xm:f>
              </x14:cfvo>
              <x14:negativeFillColor rgb="FFFF0000"/>
              <x14:axisColor rgb="FF000000"/>
            </x14:dataBar>
          </x14:cfRule>
          <xm:sqref>AE51</xm:sqref>
        </x14:conditionalFormatting>
        <x14:conditionalFormatting xmlns:xm="http://schemas.microsoft.com/office/excel/2006/main">
          <x14:cfRule type="dataBar" id="{602F973A-06FA-447F-B04D-BC6F24AD8B29}">
            <x14:dataBar minLength="0" maxLength="100" gradient="0">
              <x14:cfvo type="num">
                <xm:f>0</xm:f>
              </x14:cfvo>
              <x14:cfvo type="num">
                <xm:f>1</xm:f>
              </x14:cfvo>
              <x14:negativeFillColor rgb="FFFF0000"/>
              <x14:axisColor rgb="FF000000"/>
            </x14:dataBar>
          </x14:cfRule>
          <xm:sqref>AE53</xm:sqref>
        </x14:conditionalFormatting>
        <x14:conditionalFormatting xmlns:xm="http://schemas.microsoft.com/office/excel/2006/main">
          <x14:cfRule type="dataBar" id="{D2CFB6C0-5794-4619-AFCC-11FB4527FBF5}">
            <x14:dataBar minLength="0" maxLength="100" gradient="0">
              <x14:cfvo type="num">
                <xm:f>0</xm:f>
              </x14:cfvo>
              <x14:cfvo type="num">
                <xm:f>1</xm:f>
              </x14:cfvo>
              <x14:negativeFillColor rgb="FFFF0000"/>
              <x14:axisColor rgb="FF000000"/>
            </x14:dataBar>
          </x14:cfRule>
          <xm:sqref>AE55</xm:sqref>
        </x14:conditionalFormatting>
        <x14:conditionalFormatting xmlns:xm="http://schemas.microsoft.com/office/excel/2006/main">
          <x14:cfRule type="dataBar" id="{080B0C7A-1BED-41F0-B820-F95E51B2C3FD}">
            <x14:dataBar minLength="0" maxLength="100" gradient="0">
              <x14:cfvo type="num">
                <xm:f>0</xm:f>
              </x14:cfvo>
              <x14:cfvo type="num">
                <xm:f>1</xm:f>
              </x14:cfvo>
              <x14:negativeFillColor rgb="FFFF0000"/>
              <x14:axisColor rgb="FF000000"/>
            </x14:dataBar>
          </x14:cfRule>
          <xm:sqref>AE57</xm:sqref>
        </x14:conditionalFormatting>
        <x14:conditionalFormatting xmlns:xm="http://schemas.microsoft.com/office/excel/2006/main">
          <x14:cfRule type="dataBar" id="{E1DFA467-CA17-4D49-BF1F-CDBF769F36C7}">
            <x14:dataBar minLength="0" maxLength="100" gradient="0">
              <x14:cfvo type="num">
                <xm:f>0</xm:f>
              </x14:cfvo>
              <x14:cfvo type="num">
                <xm:f>1</xm:f>
              </x14:cfvo>
              <x14:negativeFillColor rgb="FFFF0000"/>
              <x14:axisColor rgb="FF000000"/>
            </x14:dataBar>
          </x14:cfRule>
          <xm:sqref>AF33</xm:sqref>
        </x14:conditionalFormatting>
        <x14:conditionalFormatting xmlns:xm="http://schemas.microsoft.com/office/excel/2006/main">
          <x14:cfRule type="dataBar" id="{57279BF7-0079-4209-8444-82B769A5790D}">
            <x14:dataBar minLength="0" maxLength="100" gradient="0">
              <x14:cfvo type="num">
                <xm:f>0</xm:f>
              </x14:cfvo>
              <x14:cfvo type="num">
                <xm:f>1</xm:f>
              </x14:cfvo>
              <x14:negativeFillColor rgb="FFFF0000"/>
              <x14:axisColor rgb="FF000000"/>
            </x14:dataBar>
          </x14:cfRule>
          <xm:sqref>AF35</xm:sqref>
        </x14:conditionalFormatting>
        <x14:conditionalFormatting xmlns:xm="http://schemas.microsoft.com/office/excel/2006/main">
          <x14:cfRule type="dataBar" id="{090BBEE5-D836-4866-92C0-44FD383A4E8F}">
            <x14:dataBar minLength="0" maxLength="100" gradient="0">
              <x14:cfvo type="num">
                <xm:f>0</xm:f>
              </x14:cfvo>
              <x14:cfvo type="num">
                <xm:f>1</xm:f>
              </x14:cfvo>
              <x14:negativeFillColor rgb="FFFF0000"/>
              <x14:axisColor rgb="FF000000"/>
            </x14:dataBar>
          </x14:cfRule>
          <xm:sqref>AF37</xm:sqref>
        </x14:conditionalFormatting>
        <x14:conditionalFormatting xmlns:xm="http://schemas.microsoft.com/office/excel/2006/main">
          <x14:cfRule type="dataBar" id="{3B905355-0A51-49B0-A7A4-4B9391B5A22D}">
            <x14:dataBar minLength="0" maxLength="100" gradient="0">
              <x14:cfvo type="num">
                <xm:f>0</xm:f>
              </x14:cfvo>
              <x14:cfvo type="num">
                <xm:f>1</xm:f>
              </x14:cfvo>
              <x14:negativeFillColor rgb="FFFF0000"/>
              <x14:axisColor rgb="FF000000"/>
            </x14:dataBar>
          </x14:cfRule>
          <xm:sqref>AF39</xm:sqref>
        </x14:conditionalFormatting>
        <x14:conditionalFormatting xmlns:xm="http://schemas.microsoft.com/office/excel/2006/main">
          <x14:cfRule type="dataBar" id="{026B006F-38E6-44F5-87EC-6C32E8132891}">
            <x14:dataBar minLength="0" maxLength="100" gradient="0">
              <x14:cfvo type="num">
                <xm:f>0</xm:f>
              </x14:cfvo>
              <x14:cfvo type="num">
                <xm:f>1</xm:f>
              </x14:cfvo>
              <x14:negativeFillColor rgb="FFFF0000"/>
              <x14:axisColor rgb="FF000000"/>
            </x14:dataBar>
          </x14:cfRule>
          <xm:sqref>AF41</xm:sqref>
        </x14:conditionalFormatting>
        <x14:conditionalFormatting xmlns:xm="http://schemas.microsoft.com/office/excel/2006/main">
          <x14:cfRule type="dataBar" id="{DFD26F41-F60F-4EB8-B41D-DA9F63E8A00A}">
            <x14:dataBar minLength="0" maxLength="100" gradient="0">
              <x14:cfvo type="num">
                <xm:f>0</xm:f>
              </x14:cfvo>
              <x14:cfvo type="num">
                <xm:f>1</xm:f>
              </x14:cfvo>
              <x14:negativeFillColor rgb="FFFF0000"/>
              <x14:axisColor rgb="FF000000"/>
            </x14:dataBar>
          </x14:cfRule>
          <xm:sqref>AF43</xm:sqref>
        </x14:conditionalFormatting>
        <x14:conditionalFormatting xmlns:xm="http://schemas.microsoft.com/office/excel/2006/main">
          <x14:cfRule type="dataBar" id="{C3A23FC8-6150-4C62-AFE9-188A2986CE7A}">
            <x14:dataBar minLength="0" maxLength="100" gradient="0">
              <x14:cfvo type="num">
                <xm:f>0</xm:f>
              </x14:cfvo>
              <x14:cfvo type="num">
                <xm:f>1</xm:f>
              </x14:cfvo>
              <x14:negativeFillColor rgb="FFFF0000"/>
              <x14:axisColor rgb="FF000000"/>
            </x14:dataBar>
          </x14:cfRule>
          <xm:sqref>AF45</xm:sqref>
        </x14:conditionalFormatting>
        <x14:conditionalFormatting xmlns:xm="http://schemas.microsoft.com/office/excel/2006/main">
          <x14:cfRule type="dataBar" id="{5737C42F-030B-47C8-A46F-7DC7F3B97020}">
            <x14:dataBar minLength="0" maxLength="100" gradient="0">
              <x14:cfvo type="num">
                <xm:f>0</xm:f>
              </x14:cfvo>
              <x14:cfvo type="num">
                <xm:f>1</xm:f>
              </x14:cfvo>
              <x14:negativeFillColor rgb="FFFF0000"/>
              <x14:axisColor rgb="FF000000"/>
            </x14:dataBar>
          </x14:cfRule>
          <xm:sqref>AF47</xm:sqref>
        </x14:conditionalFormatting>
        <x14:conditionalFormatting xmlns:xm="http://schemas.microsoft.com/office/excel/2006/main">
          <x14:cfRule type="dataBar" id="{C1C6FA9E-B10D-499A-BC89-B9F1A196B349}">
            <x14:dataBar minLength="0" maxLength="100" gradient="0">
              <x14:cfvo type="num">
                <xm:f>0</xm:f>
              </x14:cfvo>
              <x14:cfvo type="num">
                <xm:f>1</xm:f>
              </x14:cfvo>
              <x14:negativeFillColor rgb="FFFF0000"/>
              <x14:axisColor rgb="FF000000"/>
            </x14:dataBar>
          </x14:cfRule>
          <xm:sqref>AF49</xm:sqref>
        </x14:conditionalFormatting>
        <x14:conditionalFormatting xmlns:xm="http://schemas.microsoft.com/office/excel/2006/main">
          <x14:cfRule type="dataBar" id="{C3D4426F-5BAE-4ED7-9D65-6FC211307C76}">
            <x14:dataBar minLength="0" maxLength="100" gradient="0">
              <x14:cfvo type="num">
                <xm:f>0</xm:f>
              </x14:cfvo>
              <x14:cfvo type="num">
                <xm:f>1</xm:f>
              </x14:cfvo>
              <x14:negativeFillColor rgb="FFFF0000"/>
              <x14:axisColor rgb="FF000000"/>
            </x14:dataBar>
          </x14:cfRule>
          <xm:sqref>AF51</xm:sqref>
        </x14:conditionalFormatting>
        <x14:conditionalFormatting xmlns:xm="http://schemas.microsoft.com/office/excel/2006/main">
          <x14:cfRule type="dataBar" id="{41E12C0A-5A84-46FD-8656-08C3A2D804D1}">
            <x14:dataBar minLength="0" maxLength="100" gradient="0">
              <x14:cfvo type="num">
                <xm:f>0</xm:f>
              </x14:cfvo>
              <x14:cfvo type="num">
                <xm:f>1</xm:f>
              </x14:cfvo>
              <x14:negativeFillColor rgb="FFFF0000"/>
              <x14:axisColor rgb="FF000000"/>
            </x14:dataBar>
          </x14:cfRule>
          <xm:sqref>AF53</xm:sqref>
        </x14:conditionalFormatting>
        <x14:conditionalFormatting xmlns:xm="http://schemas.microsoft.com/office/excel/2006/main">
          <x14:cfRule type="dataBar" id="{4DA67C6B-FDF2-44EE-AB94-0D6FF80F4AB6}">
            <x14:dataBar minLength="0" maxLength="100" gradient="0">
              <x14:cfvo type="num">
                <xm:f>0</xm:f>
              </x14:cfvo>
              <x14:cfvo type="num">
                <xm:f>1</xm:f>
              </x14:cfvo>
              <x14:negativeFillColor rgb="FFFF0000"/>
              <x14:axisColor rgb="FF000000"/>
            </x14:dataBar>
          </x14:cfRule>
          <xm:sqref>AF55</xm:sqref>
        </x14:conditionalFormatting>
        <x14:conditionalFormatting xmlns:xm="http://schemas.microsoft.com/office/excel/2006/main">
          <x14:cfRule type="dataBar" id="{82065667-9A99-49C9-AA14-ABC93EE251BB}">
            <x14:dataBar minLength="0" maxLength="100" gradient="0">
              <x14:cfvo type="num">
                <xm:f>0</xm:f>
              </x14:cfvo>
              <x14:cfvo type="num">
                <xm:f>1</xm:f>
              </x14:cfvo>
              <x14:negativeFillColor rgb="FFFF0000"/>
              <x14:axisColor rgb="FF000000"/>
            </x14:dataBar>
          </x14:cfRule>
          <xm:sqref>AF57</xm:sqref>
        </x14:conditionalFormatting>
        <x14:conditionalFormatting xmlns:xm="http://schemas.microsoft.com/office/excel/2006/main">
          <x14:cfRule type="dataBar" id="{F46AA4C6-C686-4FCF-A81A-B829C43EFE4C}">
            <x14:dataBar minLength="0" maxLength="100" gradient="0">
              <x14:cfvo type="num">
                <xm:f>0</xm:f>
              </x14:cfvo>
              <x14:cfvo type="num">
                <xm:f>1</xm:f>
              </x14:cfvo>
              <x14:negativeFillColor rgb="FFFF0000"/>
              <x14:axisColor rgb="FF000000"/>
            </x14:dataBar>
          </x14:cfRule>
          <xm:sqref>AG33</xm:sqref>
        </x14:conditionalFormatting>
        <x14:conditionalFormatting xmlns:xm="http://schemas.microsoft.com/office/excel/2006/main">
          <x14:cfRule type="dataBar" id="{34ACC73C-E78B-402C-9C32-C4C4EC0F03F2}">
            <x14:dataBar minLength="0" maxLength="100" gradient="0">
              <x14:cfvo type="num">
                <xm:f>0</xm:f>
              </x14:cfvo>
              <x14:cfvo type="num">
                <xm:f>1</xm:f>
              </x14:cfvo>
              <x14:negativeFillColor rgb="FFFF0000"/>
              <x14:axisColor rgb="FF000000"/>
            </x14:dataBar>
          </x14:cfRule>
          <xm:sqref>AG35</xm:sqref>
        </x14:conditionalFormatting>
        <x14:conditionalFormatting xmlns:xm="http://schemas.microsoft.com/office/excel/2006/main">
          <x14:cfRule type="dataBar" id="{BF9EC7A0-41EA-41AC-BA21-3397BCC14065}">
            <x14:dataBar minLength="0" maxLength="100" gradient="0">
              <x14:cfvo type="num">
                <xm:f>0</xm:f>
              </x14:cfvo>
              <x14:cfvo type="num">
                <xm:f>1</xm:f>
              </x14:cfvo>
              <x14:negativeFillColor rgb="FFFF0000"/>
              <x14:axisColor rgb="FF000000"/>
            </x14:dataBar>
          </x14:cfRule>
          <xm:sqref>AG37</xm:sqref>
        </x14:conditionalFormatting>
        <x14:conditionalFormatting xmlns:xm="http://schemas.microsoft.com/office/excel/2006/main">
          <x14:cfRule type="dataBar" id="{01450806-F864-4C15-9B67-2D1EEBC830D2}">
            <x14:dataBar minLength="0" maxLength="100" gradient="0">
              <x14:cfvo type="num">
                <xm:f>0</xm:f>
              </x14:cfvo>
              <x14:cfvo type="num">
                <xm:f>1</xm:f>
              </x14:cfvo>
              <x14:negativeFillColor rgb="FFFF0000"/>
              <x14:axisColor rgb="FF000000"/>
            </x14:dataBar>
          </x14:cfRule>
          <xm:sqref>AG39</xm:sqref>
        </x14:conditionalFormatting>
        <x14:conditionalFormatting xmlns:xm="http://schemas.microsoft.com/office/excel/2006/main">
          <x14:cfRule type="dataBar" id="{2A4FB7D5-3FD5-4465-8E81-1DE400730688}">
            <x14:dataBar minLength="0" maxLength="100" gradient="0">
              <x14:cfvo type="num">
                <xm:f>0</xm:f>
              </x14:cfvo>
              <x14:cfvo type="num">
                <xm:f>1</xm:f>
              </x14:cfvo>
              <x14:negativeFillColor rgb="FFFF0000"/>
              <x14:axisColor rgb="FF000000"/>
            </x14:dataBar>
          </x14:cfRule>
          <xm:sqref>AG41</xm:sqref>
        </x14:conditionalFormatting>
        <x14:conditionalFormatting xmlns:xm="http://schemas.microsoft.com/office/excel/2006/main">
          <x14:cfRule type="dataBar" id="{5C001AD0-DA94-40F0-B00E-8AB212EED31E}">
            <x14:dataBar minLength="0" maxLength="100" gradient="0">
              <x14:cfvo type="num">
                <xm:f>0</xm:f>
              </x14:cfvo>
              <x14:cfvo type="num">
                <xm:f>1</xm:f>
              </x14:cfvo>
              <x14:negativeFillColor rgb="FFFF0000"/>
              <x14:axisColor rgb="FF000000"/>
            </x14:dataBar>
          </x14:cfRule>
          <xm:sqref>AG43</xm:sqref>
        </x14:conditionalFormatting>
        <x14:conditionalFormatting xmlns:xm="http://schemas.microsoft.com/office/excel/2006/main">
          <x14:cfRule type="dataBar" id="{724CD0A5-9701-47FE-9ECF-265222568D95}">
            <x14:dataBar minLength="0" maxLength="100" gradient="0">
              <x14:cfvo type="num">
                <xm:f>0</xm:f>
              </x14:cfvo>
              <x14:cfvo type="num">
                <xm:f>1</xm:f>
              </x14:cfvo>
              <x14:negativeFillColor rgb="FFFF0000"/>
              <x14:axisColor rgb="FF000000"/>
            </x14:dataBar>
          </x14:cfRule>
          <xm:sqref>AG45</xm:sqref>
        </x14:conditionalFormatting>
        <x14:conditionalFormatting xmlns:xm="http://schemas.microsoft.com/office/excel/2006/main">
          <x14:cfRule type="dataBar" id="{7CEB0B89-C779-4902-B098-E43939280EE9}">
            <x14:dataBar minLength="0" maxLength="100" gradient="0">
              <x14:cfvo type="num">
                <xm:f>0</xm:f>
              </x14:cfvo>
              <x14:cfvo type="num">
                <xm:f>1</xm:f>
              </x14:cfvo>
              <x14:negativeFillColor rgb="FFFF0000"/>
              <x14:axisColor rgb="FF000000"/>
            </x14:dataBar>
          </x14:cfRule>
          <xm:sqref>AG47</xm:sqref>
        </x14:conditionalFormatting>
        <x14:conditionalFormatting xmlns:xm="http://schemas.microsoft.com/office/excel/2006/main">
          <x14:cfRule type="dataBar" id="{4E76A677-5F7F-411F-B5C9-B0BE4E76458E}">
            <x14:dataBar minLength="0" maxLength="100" gradient="0">
              <x14:cfvo type="num">
                <xm:f>0</xm:f>
              </x14:cfvo>
              <x14:cfvo type="num">
                <xm:f>1</xm:f>
              </x14:cfvo>
              <x14:negativeFillColor rgb="FFFF0000"/>
              <x14:axisColor rgb="FF000000"/>
            </x14:dataBar>
          </x14:cfRule>
          <xm:sqref>AG49</xm:sqref>
        </x14:conditionalFormatting>
        <x14:conditionalFormatting xmlns:xm="http://schemas.microsoft.com/office/excel/2006/main">
          <x14:cfRule type="dataBar" id="{EA698A9B-6FAB-41E6-B289-DBFB96CB39E4}">
            <x14:dataBar minLength="0" maxLength="100" gradient="0">
              <x14:cfvo type="num">
                <xm:f>0</xm:f>
              </x14:cfvo>
              <x14:cfvo type="num">
                <xm:f>1</xm:f>
              </x14:cfvo>
              <x14:negativeFillColor rgb="FFFF0000"/>
              <x14:axisColor rgb="FF000000"/>
            </x14:dataBar>
          </x14:cfRule>
          <xm:sqref>AG51</xm:sqref>
        </x14:conditionalFormatting>
        <x14:conditionalFormatting xmlns:xm="http://schemas.microsoft.com/office/excel/2006/main">
          <x14:cfRule type="dataBar" id="{AFBF9B7C-B838-4D27-8059-D5694A71871A}">
            <x14:dataBar minLength="0" maxLength="100" gradient="0">
              <x14:cfvo type="num">
                <xm:f>0</xm:f>
              </x14:cfvo>
              <x14:cfvo type="num">
                <xm:f>1</xm:f>
              </x14:cfvo>
              <x14:negativeFillColor rgb="FFFF0000"/>
              <x14:axisColor rgb="FF000000"/>
            </x14:dataBar>
          </x14:cfRule>
          <xm:sqref>AG53</xm:sqref>
        </x14:conditionalFormatting>
        <x14:conditionalFormatting xmlns:xm="http://schemas.microsoft.com/office/excel/2006/main">
          <x14:cfRule type="dataBar" id="{445BE6CD-E437-4EF4-952E-140B871B6377}">
            <x14:dataBar minLength="0" maxLength="100" gradient="0">
              <x14:cfvo type="num">
                <xm:f>0</xm:f>
              </x14:cfvo>
              <x14:cfvo type="num">
                <xm:f>1</xm:f>
              </x14:cfvo>
              <x14:negativeFillColor rgb="FFFF0000"/>
              <x14:axisColor rgb="FF000000"/>
            </x14:dataBar>
          </x14:cfRule>
          <xm:sqref>AG55</xm:sqref>
        </x14:conditionalFormatting>
        <x14:conditionalFormatting xmlns:xm="http://schemas.microsoft.com/office/excel/2006/main">
          <x14:cfRule type="dataBar" id="{34ACCB65-B604-4B29-8CB8-DD3B7613584C}">
            <x14:dataBar minLength="0" maxLength="100" gradient="0">
              <x14:cfvo type="num">
                <xm:f>0</xm:f>
              </x14:cfvo>
              <x14:cfvo type="num">
                <xm:f>1</xm:f>
              </x14:cfvo>
              <x14:negativeFillColor rgb="FFFF0000"/>
              <x14:axisColor rgb="FF000000"/>
            </x14:dataBar>
          </x14:cfRule>
          <xm:sqref>AG57</xm:sqref>
        </x14:conditionalFormatting>
        <x14:conditionalFormatting xmlns:xm="http://schemas.microsoft.com/office/excel/2006/main">
          <x14:cfRule type="dataBar" id="{40AC01F8-3160-49AA-91CA-231C8DF1CC25}">
            <x14:dataBar minLength="0" maxLength="100" gradient="0">
              <x14:cfvo type="num">
                <xm:f>0</xm:f>
              </x14:cfvo>
              <x14:cfvo type="num">
                <xm:f>1</xm:f>
              </x14:cfvo>
              <x14:negativeFillColor rgb="FFFF0000"/>
              <x14:axisColor rgb="FF000000"/>
            </x14:dataBar>
          </x14:cfRule>
          <xm:sqref>AH33</xm:sqref>
        </x14:conditionalFormatting>
        <x14:conditionalFormatting xmlns:xm="http://schemas.microsoft.com/office/excel/2006/main">
          <x14:cfRule type="dataBar" id="{00268164-CD21-4898-926E-AD6FE85F6326}">
            <x14:dataBar minLength="0" maxLength="100" gradient="0">
              <x14:cfvo type="num">
                <xm:f>0</xm:f>
              </x14:cfvo>
              <x14:cfvo type="num">
                <xm:f>1</xm:f>
              </x14:cfvo>
              <x14:negativeFillColor rgb="FFFF0000"/>
              <x14:axisColor rgb="FF000000"/>
            </x14:dataBar>
          </x14:cfRule>
          <xm:sqref>AH35</xm:sqref>
        </x14:conditionalFormatting>
        <x14:conditionalFormatting xmlns:xm="http://schemas.microsoft.com/office/excel/2006/main">
          <x14:cfRule type="dataBar" id="{E350FE4D-33AF-46F7-BBDC-DBD79699C6C7}">
            <x14:dataBar minLength="0" maxLength="100" gradient="0">
              <x14:cfvo type="num">
                <xm:f>0</xm:f>
              </x14:cfvo>
              <x14:cfvo type="num">
                <xm:f>1</xm:f>
              </x14:cfvo>
              <x14:negativeFillColor rgb="FFFF0000"/>
              <x14:axisColor rgb="FF000000"/>
            </x14:dataBar>
          </x14:cfRule>
          <xm:sqref>AH37</xm:sqref>
        </x14:conditionalFormatting>
        <x14:conditionalFormatting xmlns:xm="http://schemas.microsoft.com/office/excel/2006/main">
          <x14:cfRule type="dataBar" id="{5A4F952B-27E1-4EB7-B8D4-6E915AD553C1}">
            <x14:dataBar minLength="0" maxLength="100" gradient="0">
              <x14:cfvo type="num">
                <xm:f>0</xm:f>
              </x14:cfvo>
              <x14:cfvo type="num">
                <xm:f>1</xm:f>
              </x14:cfvo>
              <x14:negativeFillColor rgb="FFFF0000"/>
              <x14:axisColor rgb="FF000000"/>
            </x14:dataBar>
          </x14:cfRule>
          <xm:sqref>AH39</xm:sqref>
        </x14:conditionalFormatting>
        <x14:conditionalFormatting xmlns:xm="http://schemas.microsoft.com/office/excel/2006/main">
          <x14:cfRule type="dataBar" id="{965399D4-2625-4721-BEF8-A369C1A850DC}">
            <x14:dataBar minLength="0" maxLength="100" gradient="0">
              <x14:cfvo type="num">
                <xm:f>0</xm:f>
              </x14:cfvo>
              <x14:cfvo type="num">
                <xm:f>1</xm:f>
              </x14:cfvo>
              <x14:negativeFillColor rgb="FFFF0000"/>
              <x14:axisColor rgb="FF000000"/>
            </x14:dataBar>
          </x14:cfRule>
          <xm:sqref>AH41</xm:sqref>
        </x14:conditionalFormatting>
        <x14:conditionalFormatting xmlns:xm="http://schemas.microsoft.com/office/excel/2006/main">
          <x14:cfRule type="dataBar" id="{289223EA-DC32-45E0-97EB-015B51E564B6}">
            <x14:dataBar minLength="0" maxLength="100" gradient="0">
              <x14:cfvo type="num">
                <xm:f>0</xm:f>
              </x14:cfvo>
              <x14:cfvo type="num">
                <xm:f>1</xm:f>
              </x14:cfvo>
              <x14:negativeFillColor rgb="FFFF0000"/>
              <x14:axisColor rgb="FF000000"/>
            </x14:dataBar>
          </x14:cfRule>
          <xm:sqref>AH43</xm:sqref>
        </x14:conditionalFormatting>
        <x14:conditionalFormatting xmlns:xm="http://schemas.microsoft.com/office/excel/2006/main">
          <x14:cfRule type="dataBar" id="{B60916B0-A26F-4E3A-B485-B2D4BADDB78D}">
            <x14:dataBar minLength="0" maxLength="100" gradient="0">
              <x14:cfvo type="num">
                <xm:f>0</xm:f>
              </x14:cfvo>
              <x14:cfvo type="num">
                <xm:f>1</xm:f>
              </x14:cfvo>
              <x14:negativeFillColor rgb="FFFF0000"/>
              <x14:axisColor rgb="FF000000"/>
            </x14:dataBar>
          </x14:cfRule>
          <xm:sqref>AH45</xm:sqref>
        </x14:conditionalFormatting>
        <x14:conditionalFormatting xmlns:xm="http://schemas.microsoft.com/office/excel/2006/main">
          <x14:cfRule type="dataBar" id="{CE8E0ABD-B82C-4EE6-8AB7-33B323579653}">
            <x14:dataBar minLength="0" maxLength="100" gradient="0">
              <x14:cfvo type="num">
                <xm:f>0</xm:f>
              </x14:cfvo>
              <x14:cfvo type="num">
                <xm:f>1</xm:f>
              </x14:cfvo>
              <x14:negativeFillColor rgb="FFFF0000"/>
              <x14:axisColor rgb="FF000000"/>
            </x14:dataBar>
          </x14:cfRule>
          <xm:sqref>AH47</xm:sqref>
        </x14:conditionalFormatting>
        <x14:conditionalFormatting xmlns:xm="http://schemas.microsoft.com/office/excel/2006/main">
          <x14:cfRule type="dataBar" id="{D7520005-A3D0-4706-A748-99977264AD97}">
            <x14:dataBar minLength="0" maxLength="100" gradient="0">
              <x14:cfvo type="num">
                <xm:f>0</xm:f>
              </x14:cfvo>
              <x14:cfvo type="num">
                <xm:f>1</xm:f>
              </x14:cfvo>
              <x14:negativeFillColor rgb="FFFF0000"/>
              <x14:axisColor rgb="FF000000"/>
            </x14:dataBar>
          </x14:cfRule>
          <xm:sqref>AH49</xm:sqref>
        </x14:conditionalFormatting>
        <x14:conditionalFormatting xmlns:xm="http://schemas.microsoft.com/office/excel/2006/main">
          <x14:cfRule type="dataBar" id="{B09DDB40-505D-489F-8A8A-19DA6F468145}">
            <x14:dataBar minLength="0" maxLength="100" gradient="0">
              <x14:cfvo type="num">
                <xm:f>0</xm:f>
              </x14:cfvo>
              <x14:cfvo type="num">
                <xm:f>1</xm:f>
              </x14:cfvo>
              <x14:negativeFillColor rgb="FFFF0000"/>
              <x14:axisColor rgb="FF000000"/>
            </x14:dataBar>
          </x14:cfRule>
          <xm:sqref>AH51</xm:sqref>
        </x14:conditionalFormatting>
        <x14:conditionalFormatting xmlns:xm="http://schemas.microsoft.com/office/excel/2006/main">
          <x14:cfRule type="dataBar" id="{F6711CE1-4F36-40DB-AB53-E3E941B9E5BE}">
            <x14:dataBar minLength="0" maxLength="100" gradient="0">
              <x14:cfvo type="num">
                <xm:f>0</xm:f>
              </x14:cfvo>
              <x14:cfvo type="num">
                <xm:f>1</xm:f>
              </x14:cfvo>
              <x14:negativeFillColor rgb="FFFF0000"/>
              <x14:axisColor rgb="FF000000"/>
            </x14:dataBar>
          </x14:cfRule>
          <xm:sqref>AH53</xm:sqref>
        </x14:conditionalFormatting>
        <x14:conditionalFormatting xmlns:xm="http://schemas.microsoft.com/office/excel/2006/main">
          <x14:cfRule type="dataBar" id="{717B1318-42B4-44E2-8CFD-920F82D9FF09}">
            <x14:dataBar minLength="0" maxLength="100" gradient="0">
              <x14:cfvo type="num">
                <xm:f>0</xm:f>
              </x14:cfvo>
              <x14:cfvo type="num">
                <xm:f>1</xm:f>
              </x14:cfvo>
              <x14:negativeFillColor rgb="FFFF0000"/>
              <x14:axisColor rgb="FF000000"/>
            </x14:dataBar>
          </x14:cfRule>
          <xm:sqref>AH55</xm:sqref>
        </x14:conditionalFormatting>
        <x14:conditionalFormatting xmlns:xm="http://schemas.microsoft.com/office/excel/2006/main">
          <x14:cfRule type="dataBar" id="{CBD0FADC-C649-47FA-BD47-DEE92B88D0ED}">
            <x14:dataBar minLength="0" maxLength="100" gradient="0">
              <x14:cfvo type="num">
                <xm:f>0</xm:f>
              </x14:cfvo>
              <x14:cfvo type="num">
                <xm:f>1</xm:f>
              </x14:cfvo>
              <x14:negativeFillColor rgb="FFFF0000"/>
              <x14:axisColor rgb="FF000000"/>
            </x14:dataBar>
          </x14:cfRule>
          <xm:sqref>AH57</xm:sqref>
        </x14:conditionalFormatting>
        <x14:conditionalFormatting xmlns:xm="http://schemas.microsoft.com/office/excel/2006/main">
          <x14:cfRule type="dataBar" id="{5423944F-F626-4718-B2B0-4C7EB7D0C641}">
            <x14:dataBar minLength="0" maxLength="100" gradient="0">
              <x14:cfvo type="num">
                <xm:f>0</xm:f>
              </x14:cfvo>
              <x14:cfvo type="num">
                <xm:f>1</xm:f>
              </x14:cfvo>
              <x14:negativeFillColor rgb="FFFF0000"/>
              <x14:axisColor rgb="FF000000"/>
            </x14:dataBar>
          </x14:cfRule>
          <xm:sqref>AI33</xm:sqref>
        </x14:conditionalFormatting>
        <x14:conditionalFormatting xmlns:xm="http://schemas.microsoft.com/office/excel/2006/main">
          <x14:cfRule type="dataBar" id="{D41B0E14-C928-4E53-B9A3-AB3FFFCAAB63}">
            <x14:dataBar minLength="0" maxLength="100" gradient="0">
              <x14:cfvo type="num">
                <xm:f>0</xm:f>
              </x14:cfvo>
              <x14:cfvo type="num">
                <xm:f>1</xm:f>
              </x14:cfvo>
              <x14:negativeFillColor rgb="FFFF0000"/>
              <x14:axisColor rgb="FF000000"/>
            </x14:dataBar>
          </x14:cfRule>
          <xm:sqref>AI35</xm:sqref>
        </x14:conditionalFormatting>
        <x14:conditionalFormatting xmlns:xm="http://schemas.microsoft.com/office/excel/2006/main">
          <x14:cfRule type="dataBar" id="{F21FAF77-0773-4267-92B2-9106ACD95A0D}">
            <x14:dataBar minLength="0" maxLength="100" gradient="0">
              <x14:cfvo type="num">
                <xm:f>0</xm:f>
              </x14:cfvo>
              <x14:cfvo type="num">
                <xm:f>1</xm:f>
              </x14:cfvo>
              <x14:negativeFillColor rgb="FFFF0000"/>
              <x14:axisColor rgb="FF000000"/>
            </x14:dataBar>
          </x14:cfRule>
          <xm:sqref>AI37</xm:sqref>
        </x14:conditionalFormatting>
        <x14:conditionalFormatting xmlns:xm="http://schemas.microsoft.com/office/excel/2006/main">
          <x14:cfRule type="dataBar" id="{4AD0CAE9-3E6F-4F12-B787-EC6777CF1865}">
            <x14:dataBar minLength="0" maxLength="100" gradient="0">
              <x14:cfvo type="num">
                <xm:f>0</xm:f>
              </x14:cfvo>
              <x14:cfvo type="num">
                <xm:f>1</xm:f>
              </x14:cfvo>
              <x14:negativeFillColor rgb="FFFF0000"/>
              <x14:axisColor rgb="FF000000"/>
            </x14:dataBar>
          </x14:cfRule>
          <xm:sqref>AI39</xm:sqref>
        </x14:conditionalFormatting>
        <x14:conditionalFormatting xmlns:xm="http://schemas.microsoft.com/office/excel/2006/main">
          <x14:cfRule type="dataBar" id="{A0F0D5CE-DB17-4482-B9C9-6DE6B9ABBF6E}">
            <x14:dataBar minLength="0" maxLength="100" gradient="0">
              <x14:cfvo type="num">
                <xm:f>0</xm:f>
              </x14:cfvo>
              <x14:cfvo type="num">
                <xm:f>1</xm:f>
              </x14:cfvo>
              <x14:negativeFillColor rgb="FFFF0000"/>
              <x14:axisColor rgb="FF000000"/>
            </x14:dataBar>
          </x14:cfRule>
          <xm:sqref>AI41</xm:sqref>
        </x14:conditionalFormatting>
        <x14:conditionalFormatting xmlns:xm="http://schemas.microsoft.com/office/excel/2006/main">
          <x14:cfRule type="dataBar" id="{75EABC26-0BE9-4C5C-B613-D884594AE487}">
            <x14:dataBar minLength="0" maxLength="100" gradient="0">
              <x14:cfvo type="num">
                <xm:f>0</xm:f>
              </x14:cfvo>
              <x14:cfvo type="num">
                <xm:f>1</xm:f>
              </x14:cfvo>
              <x14:negativeFillColor rgb="FFFF0000"/>
              <x14:axisColor rgb="FF000000"/>
            </x14:dataBar>
          </x14:cfRule>
          <xm:sqref>AI43</xm:sqref>
        </x14:conditionalFormatting>
        <x14:conditionalFormatting xmlns:xm="http://schemas.microsoft.com/office/excel/2006/main">
          <x14:cfRule type="dataBar" id="{388D2CF3-03F1-480B-871E-2F3F1CB868DC}">
            <x14:dataBar minLength="0" maxLength="100" gradient="0">
              <x14:cfvo type="num">
                <xm:f>0</xm:f>
              </x14:cfvo>
              <x14:cfvo type="num">
                <xm:f>1</xm:f>
              </x14:cfvo>
              <x14:negativeFillColor rgb="FFFF0000"/>
              <x14:axisColor rgb="FF000000"/>
            </x14:dataBar>
          </x14:cfRule>
          <xm:sqref>AI45</xm:sqref>
        </x14:conditionalFormatting>
        <x14:conditionalFormatting xmlns:xm="http://schemas.microsoft.com/office/excel/2006/main">
          <x14:cfRule type="dataBar" id="{52F53A22-BDF8-4D5A-9F7C-D6D0D0675126}">
            <x14:dataBar minLength="0" maxLength="100" gradient="0">
              <x14:cfvo type="num">
                <xm:f>0</xm:f>
              </x14:cfvo>
              <x14:cfvo type="num">
                <xm:f>1</xm:f>
              </x14:cfvo>
              <x14:negativeFillColor rgb="FFFF0000"/>
              <x14:axisColor rgb="FF000000"/>
            </x14:dataBar>
          </x14:cfRule>
          <xm:sqref>AI47</xm:sqref>
        </x14:conditionalFormatting>
        <x14:conditionalFormatting xmlns:xm="http://schemas.microsoft.com/office/excel/2006/main">
          <x14:cfRule type="dataBar" id="{5C7DB796-4AA3-4F37-BC79-B7B566970830}">
            <x14:dataBar minLength="0" maxLength="100" gradient="0">
              <x14:cfvo type="num">
                <xm:f>0</xm:f>
              </x14:cfvo>
              <x14:cfvo type="num">
                <xm:f>1</xm:f>
              </x14:cfvo>
              <x14:negativeFillColor rgb="FFFF0000"/>
              <x14:axisColor rgb="FF000000"/>
            </x14:dataBar>
          </x14:cfRule>
          <xm:sqref>AI49</xm:sqref>
        </x14:conditionalFormatting>
        <x14:conditionalFormatting xmlns:xm="http://schemas.microsoft.com/office/excel/2006/main">
          <x14:cfRule type="dataBar" id="{276BD156-F5EC-44B5-AE29-C0DACAFAFB5C}">
            <x14:dataBar minLength="0" maxLength="100" gradient="0">
              <x14:cfvo type="num">
                <xm:f>0</xm:f>
              </x14:cfvo>
              <x14:cfvo type="num">
                <xm:f>1</xm:f>
              </x14:cfvo>
              <x14:negativeFillColor rgb="FFFF0000"/>
              <x14:axisColor rgb="FF000000"/>
            </x14:dataBar>
          </x14:cfRule>
          <xm:sqref>AI51</xm:sqref>
        </x14:conditionalFormatting>
        <x14:conditionalFormatting xmlns:xm="http://schemas.microsoft.com/office/excel/2006/main">
          <x14:cfRule type="dataBar" id="{D5299B89-ECC3-45DC-9B83-DD9189AFDFDC}">
            <x14:dataBar minLength="0" maxLength="100" gradient="0">
              <x14:cfvo type="num">
                <xm:f>0</xm:f>
              </x14:cfvo>
              <x14:cfvo type="num">
                <xm:f>1</xm:f>
              </x14:cfvo>
              <x14:negativeFillColor rgb="FFFF0000"/>
              <x14:axisColor rgb="FF000000"/>
            </x14:dataBar>
          </x14:cfRule>
          <xm:sqref>AI53</xm:sqref>
        </x14:conditionalFormatting>
        <x14:conditionalFormatting xmlns:xm="http://schemas.microsoft.com/office/excel/2006/main">
          <x14:cfRule type="dataBar" id="{2BB2F27F-D8B8-4A9F-8AD6-CE251DC95B13}">
            <x14:dataBar minLength="0" maxLength="100" gradient="0">
              <x14:cfvo type="num">
                <xm:f>0</xm:f>
              </x14:cfvo>
              <x14:cfvo type="num">
                <xm:f>1</xm:f>
              </x14:cfvo>
              <x14:negativeFillColor rgb="FFFF0000"/>
              <x14:axisColor rgb="FF000000"/>
            </x14:dataBar>
          </x14:cfRule>
          <xm:sqref>AI55</xm:sqref>
        </x14:conditionalFormatting>
        <x14:conditionalFormatting xmlns:xm="http://schemas.microsoft.com/office/excel/2006/main">
          <x14:cfRule type="dataBar" id="{49F60787-C01D-4B07-B3CB-0CD33005B1BE}">
            <x14:dataBar minLength="0" maxLength="100" gradient="0">
              <x14:cfvo type="num">
                <xm:f>0</xm:f>
              </x14:cfvo>
              <x14:cfvo type="num">
                <xm:f>1</xm:f>
              </x14:cfvo>
              <x14:negativeFillColor rgb="FFFF0000"/>
              <x14:axisColor rgb="FF000000"/>
            </x14:dataBar>
          </x14:cfRule>
          <xm:sqref>AI57</xm:sqref>
        </x14:conditionalFormatting>
        <x14:conditionalFormatting xmlns:xm="http://schemas.microsoft.com/office/excel/2006/main">
          <x14:cfRule type="dataBar" id="{F4CA7BCE-6ADD-4A28-9828-176ECD2AF06D}">
            <x14:dataBar minLength="0" maxLength="100" gradient="0">
              <x14:cfvo type="num">
                <xm:f>0</xm:f>
              </x14:cfvo>
              <x14:cfvo type="num">
                <xm:f>1</xm:f>
              </x14:cfvo>
              <x14:negativeFillColor rgb="FFFF0000"/>
              <x14:axisColor rgb="FF000000"/>
            </x14:dataBar>
          </x14:cfRule>
          <xm:sqref>AJ33</xm:sqref>
        </x14:conditionalFormatting>
        <x14:conditionalFormatting xmlns:xm="http://schemas.microsoft.com/office/excel/2006/main">
          <x14:cfRule type="dataBar" id="{8DE355EB-5650-48A2-B35C-32D6345B39A7}">
            <x14:dataBar minLength="0" maxLength="100" gradient="0">
              <x14:cfvo type="num">
                <xm:f>0</xm:f>
              </x14:cfvo>
              <x14:cfvo type="num">
                <xm:f>1</xm:f>
              </x14:cfvo>
              <x14:negativeFillColor rgb="FFFF0000"/>
              <x14:axisColor rgb="FF000000"/>
            </x14:dataBar>
          </x14:cfRule>
          <xm:sqref>AJ35</xm:sqref>
        </x14:conditionalFormatting>
        <x14:conditionalFormatting xmlns:xm="http://schemas.microsoft.com/office/excel/2006/main">
          <x14:cfRule type="dataBar" id="{4776052F-28E0-498C-86B2-3CB11390B20C}">
            <x14:dataBar minLength="0" maxLength="100" gradient="0">
              <x14:cfvo type="num">
                <xm:f>0</xm:f>
              </x14:cfvo>
              <x14:cfvo type="num">
                <xm:f>1</xm:f>
              </x14:cfvo>
              <x14:negativeFillColor rgb="FFFF0000"/>
              <x14:axisColor rgb="FF000000"/>
            </x14:dataBar>
          </x14:cfRule>
          <xm:sqref>AJ37</xm:sqref>
        </x14:conditionalFormatting>
        <x14:conditionalFormatting xmlns:xm="http://schemas.microsoft.com/office/excel/2006/main">
          <x14:cfRule type="dataBar" id="{A3D2855C-D39E-459A-9FA4-002F675E9F2A}">
            <x14:dataBar minLength="0" maxLength="100" gradient="0">
              <x14:cfvo type="num">
                <xm:f>0</xm:f>
              </x14:cfvo>
              <x14:cfvo type="num">
                <xm:f>1</xm:f>
              </x14:cfvo>
              <x14:negativeFillColor rgb="FFFF0000"/>
              <x14:axisColor rgb="FF000000"/>
            </x14:dataBar>
          </x14:cfRule>
          <xm:sqref>AJ39</xm:sqref>
        </x14:conditionalFormatting>
        <x14:conditionalFormatting xmlns:xm="http://schemas.microsoft.com/office/excel/2006/main">
          <x14:cfRule type="dataBar" id="{4882E151-1298-4C70-AC58-BCC44053C374}">
            <x14:dataBar minLength="0" maxLength="100" gradient="0">
              <x14:cfvo type="num">
                <xm:f>0</xm:f>
              </x14:cfvo>
              <x14:cfvo type="num">
                <xm:f>1</xm:f>
              </x14:cfvo>
              <x14:negativeFillColor rgb="FFFF0000"/>
              <x14:axisColor rgb="FF000000"/>
            </x14:dataBar>
          </x14:cfRule>
          <xm:sqref>AJ41</xm:sqref>
        </x14:conditionalFormatting>
        <x14:conditionalFormatting xmlns:xm="http://schemas.microsoft.com/office/excel/2006/main">
          <x14:cfRule type="dataBar" id="{C471A9DF-540A-4ECF-A5B9-BB35A6315CFD}">
            <x14:dataBar minLength="0" maxLength="100" gradient="0">
              <x14:cfvo type="num">
                <xm:f>0</xm:f>
              </x14:cfvo>
              <x14:cfvo type="num">
                <xm:f>1</xm:f>
              </x14:cfvo>
              <x14:negativeFillColor rgb="FFFF0000"/>
              <x14:axisColor rgb="FF000000"/>
            </x14:dataBar>
          </x14:cfRule>
          <xm:sqref>AJ43</xm:sqref>
        </x14:conditionalFormatting>
        <x14:conditionalFormatting xmlns:xm="http://schemas.microsoft.com/office/excel/2006/main">
          <x14:cfRule type="dataBar" id="{B3EA6952-5E4C-4F93-888A-2757E78D723B}">
            <x14:dataBar minLength="0" maxLength="100" gradient="0">
              <x14:cfvo type="num">
                <xm:f>0</xm:f>
              </x14:cfvo>
              <x14:cfvo type="num">
                <xm:f>1</xm:f>
              </x14:cfvo>
              <x14:negativeFillColor rgb="FFFF0000"/>
              <x14:axisColor rgb="FF000000"/>
            </x14:dataBar>
          </x14:cfRule>
          <xm:sqref>AJ45</xm:sqref>
        </x14:conditionalFormatting>
        <x14:conditionalFormatting xmlns:xm="http://schemas.microsoft.com/office/excel/2006/main">
          <x14:cfRule type="dataBar" id="{0FB47440-2F99-4CB8-8DBC-B5DACDDE8F86}">
            <x14:dataBar minLength="0" maxLength="100" gradient="0">
              <x14:cfvo type="num">
                <xm:f>0</xm:f>
              </x14:cfvo>
              <x14:cfvo type="num">
                <xm:f>1</xm:f>
              </x14:cfvo>
              <x14:negativeFillColor rgb="FFFF0000"/>
              <x14:axisColor rgb="FF000000"/>
            </x14:dataBar>
          </x14:cfRule>
          <xm:sqref>AJ47</xm:sqref>
        </x14:conditionalFormatting>
        <x14:conditionalFormatting xmlns:xm="http://schemas.microsoft.com/office/excel/2006/main">
          <x14:cfRule type="dataBar" id="{ACC81B8A-185F-4675-BAB2-4E2333B92B78}">
            <x14:dataBar minLength="0" maxLength="100" gradient="0">
              <x14:cfvo type="num">
                <xm:f>0</xm:f>
              </x14:cfvo>
              <x14:cfvo type="num">
                <xm:f>1</xm:f>
              </x14:cfvo>
              <x14:negativeFillColor rgb="FFFF0000"/>
              <x14:axisColor rgb="FF000000"/>
            </x14:dataBar>
          </x14:cfRule>
          <xm:sqref>AJ49</xm:sqref>
        </x14:conditionalFormatting>
        <x14:conditionalFormatting xmlns:xm="http://schemas.microsoft.com/office/excel/2006/main">
          <x14:cfRule type="dataBar" id="{218EA1C7-66B1-4ED4-9BC8-83546819DABC}">
            <x14:dataBar minLength="0" maxLength="100" gradient="0">
              <x14:cfvo type="num">
                <xm:f>0</xm:f>
              </x14:cfvo>
              <x14:cfvo type="num">
                <xm:f>1</xm:f>
              </x14:cfvo>
              <x14:negativeFillColor rgb="FFFF0000"/>
              <x14:axisColor rgb="FF000000"/>
            </x14:dataBar>
          </x14:cfRule>
          <xm:sqref>AJ51</xm:sqref>
        </x14:conditionalFormatting>
        <x14:conditionalFormatting xmlns:xm="http://schemas.microsoft.com/office/excel/2006/main">
          <x14:cfRule type="dataBar" id="{9D07FE8F-BE20-4A9D-BFA0-3A7530F38325}">
            <x14:dataBar minLength="0" maxLength="100" gradient="0">
              <x14:cfvo type="num">
                <xm:f>0</xm:f>
              </x14:cfvo>
              <x14:cfvo type="num">
                <xm:f>1</xm:f>
              </x14:cfvo>
              <x14:negativeFillColor rgb="FFFF0000"/>
              <x14:axisColor rgb="FF000000"/>
            </x14:dataBar>
          </x14:cfRule>
          <xm:sqref>AJ53</xm:sqref>
        </x14:conditionalFormatting>
        <x14:conditionalFormatting xmlns:xm="http://schemas.microsoft.com/office/excel/2006/main">
          <x14:cfRule type="dataBar" id="{7D2ED0F5-958B-4347-B844-8C05BA35B63C}">
            <x14:dataBar minLength="0" maxLength="100" gradient="0">
              <x14:cfvo type="num">
                <xm:f>0</xm:f>
              </x14:cfvo>
              <x14:cfvo type="num">
                <xm:f>1</xm:f>
              </x14:cfvo>
              <x14:negativeFillColor rgb="FFFF0000"/>
              <x14:axisColor rgb="FF000000"/>
            </x14:dataBar>
          </x14:cfRule>
          <xm:sqref>AJ55</xm:sqref>
        </x14:conditionalFormatting>
        <x14:conditionalFormatting xmlns:xm="http://schemas.microsoft.com/office/excel/2006/main">
          <x14:cfRule type="dataBar" id="{EF67F160-6C86-46D7-AA5F-B1325824D90F}">
            <x14:dataBar minLength="0" maxLength="100" gradient="0">
              <x14:cfvo type="num">
                <xm:f>0</xm:f>
              </x14:cfvo>
              <x14:cfvo type="num">
                <xm:f>1</xm:f>
              </x14:cfvo>
              <x14:negativeFillColor rgb="FFFF0000"/>
              <x14:axisColor rgb="FF000000"/>
            </x14:dataBar>
          </x14:cfRule>
          <xm:sqref>AJ57</xm:sqref>
        </x14:conditionalFormatting>
        <x14:conditionalFormatting xmlns:xm="http://schemas.microsoft.com/office/excel/2006/main">
          <x14:cfRule type="dataBar" id="{3CC1CE71-7A2E-4CAD-83EF-4A40B026B32C}">
            <x14:dataBar minLength="0" maxLength="100" gradient="0">
              <x14:cfvo type="num">
                <xm:f>0</xm:f>
              </x14:cfvo>
              <x14:cfvo type="num">
                <xm:f>1</xm:f>
              </x14:cfvo>
              <x14:negativeFillColor rgb="FFFF0000"/>
              <x14:axisColor rgb="FF000000"/>
            </x14:dataBar>
          </x14:cfRule>
          <xm:sqref>AK33</xm:sqref>
        </x14:conditionalFormatting>
        <x14:conditionalFormatting xmlns:xm="http://schemas.microsoft.com/office/excel/2006/main">
          <x14:cfRule type="dataBar" id="{D6F42A10-5B2F-4080-95B5-18A9ADE6C6E4}">
            <x14:dataBar minLength="0" maxLength="100" gradient="0">
              <x14:cfvo type="num">
                <xm:f>0</xm:f>
              </x14:cfvo>
              <x14:cfvo type="num">
                <xm:f>1</xm:f>
              </x14:cfvo>
              <x14:negativeFillColor rgb="FFFF0000"/>
              <x14:axisColor rgb="FF000000"/>
            </x14:dataBar>
          </x14:cfRule>
          <xm:sqref>AK35</xm:sqref>
        </x14:conditionalFormatting>
        <x14:conditionalFormatting xmlns:xm="http://schemas.microsoft.com/office/excel/2006/main">
          <x14:cfRule type="dataBar" id="{FCEA0F51-F568-4B60-A66A-BFFAB73DAFC9}">
            <x14:dataBar minLength="0" maxLength="100" gradient="0">
              <x14:cfvo type="num">
                <xm:f>0</xm:f>
              </x14:cfvo>
              <x14:cfvo type="num">
                <xm:f>1</xm:f>
              </x14:cfvo>
              <x14:negativeFillColor rgb="FFFF0000"/>
              <x14:axisColor rgb="FF000000"/>
            </x14:dataBar>
          </x14:cfRule>
          <xm:sqref>AK37</xm:sqref>
        </x14:conditionalFormatting>
        <x14:conditionalFormatting xmlns:xm="http://schemas.microsoft.com/office/excel/2006/main">
          <x14:cfRule type="dataBar" id="{CA4A886E-FE4D-40C0-8682-20EA8A94E111}">
            <x14:dataBar minLength="0" maxLength="100" gradient="0">
              <x14:cfvo type="num">
                <xm:f>0</xm:f>
              </x14:cfvo>
              <x14:cfvo type="num">
                <xm:f>1</xm:f>
              </x14:cfvo>
              <x14:negativeFillColor rgb="FFFF0000"/>
              <x14:axisColor rgb="FF000000"/>
            </x14:dataBar>
          </x14:cfRule>
          <xm:sqref>AK39</xm:sqref>
        </x14:conditionalFormatting>
        <x14:conditionalFormatting xmlns:xm="http://schemas.microsoft.com/office/excel/2006/main">
          <x14:cfRule type="dataBar" id="{C89EA7D6-AB93-46D4-890E-4F5C13023216}">
            <x14:dataBar minLength="0" maxLength="100" gradient="0">
              <x14:cfvo type="num">
                <xm:f>0</xm:f>
              </x14:cfvo>
              <x14:cfvo type="num">
                <xm:f>1</xm:f>
              </x14:cfvo>
              <x14:negativeFillColor rgb="FFFF0000"/>
              <x14:axisColor rgb="FF000000"/>
            </x14:dataBar>
          </x14:cfRule>
          <xm:sqref>AK41</xm:sqref>
        </x14:conditionalFormatting>
        <x14:conditionalFormatting xmlns:xm="http://schemas.microsoft.com/office/excel/2006/main">
          <x14:cfRule type="dataBar" id="{2AB10BBF-0C79-44EF-B758-D61F5EBB7BD7}">
            <x14:dataBar minLength="0" maxLength="100" gradient="0">
              <x14:cfvo type="num">
                <xm:f>0</xm:f>
              </x14:cfvo>
              <x14:cfvo type="num">
                <xm:f>1</xm:f>
              </x14:cfvo>
              <x14:negativeFillColor rgb="FFFF0000"/>
              <x14:axisColor rgb="FF000000"/>
            </x14:dataBar>
          </x14:cfRule>
          <xm:sqref>AK43</xm:sqref>
        </x14:conditionalFormatting>
        <x14:conditionalFormatting xmlns:xm="http://schemas.microsoft.com/office/excel/2006/main">
          <x14:cfRule type="dataBar" id="{4F62D5FA-6CB5-4DD8-AF59-F1FF3788CEE6}">
            <x14:dataBar minLength="0" maxLength="100" gradient="0">
              <x14:cfvo type="num">
                <xm:f>0</xm:f>
              </x14:cfvo>
              <x14:cfvo type="num">
                <xm:f>1</xm:f>
              </x14:cfvo>
              <x14:negativeFillColor rgb="FFFF0000"/>
              <x14:axisColor rgb="FF000000"/>
            </x14:dataBar>
          </x14:cfRule>
          <xm:sqref>AK45</xm:sqref>
        </x14:conditionalFormatting>
        <x14:conditionalFormatting xmlns:xm="http://schemas.microsoft.com/office/excel/2006/main">
          <x14:cfRule type="dataBar" id="{3C9A62E5-104C-47D9-A9DE-3C2FC3A0212E}">
            <x14:dataBar minLength="0" maxLength="100" gradient="0">
              <x14:cfvo type="num">
                <xm:f>0</xm:f>
              </x14:cfvo>
              <x14:cfvo type="num">
                <xm:f>1</xm:f>
              </x14:cfvo>
              <x14:negativeFillColor rgb="FFFF0000"/>
              <x14:axisColor rgb="FF000000"/>
            </x14:dataBar>
          </x14:cfRule>
          <xm:sqref>AK47</xm:sqref>
        </x14:conditionalFormatting>
        <x14:conditionalFormatting xmlns:xm="http://schemas.microsoft.com/office/excel/2006/main">
          <x14:cfRule type="dataBar" id="{C8D3A1D8-CC86-463D-97FA-1DE4497968B3}">
            <x14:dataBar minLength="0" maxLength="100" gradient="0">
              <x14:cfvo type="num">
                <xm:f>0</xm:f>
              </x14:cfvo>
              <x14:cfvo type="num">
                <xm:f>1</xm:f>
              </x14:cfvo>
              <x14:negativeFillColor rgb="FFFF0000"/>
              <x14:axisColor rgb="FF000000"/>
            </x14:dataBar>
          </x14:cfRule>
          <xm:sqref>AK49</xm:sqref>
        </x14:conditionalFormatting>
        <x14:conditionalFormatting xmlns:xm="http://schemas.microsoft.com/office/excel/2006/main">
          <x14:cfRule type="dataBar" id="{E8E7949F-CFA6-4393-9043-59FD69F262CC}">
            <x14:dataBar minLength="0" maxLength="100" gradient="0">
              <x14:cfvo type="num">
                <xm:f>0</xm:f>
              </x14:cfvo>
              <x14:cfvo type="num">
                <xm:f>1</xm:f>
              </x14:cfvo>
              <x14:negativeFillColor rgb="FFFF0000"/>
              <x14:axisColor rgb="FF000000"/>
            </x14:dataBar>
          </x14:cfRule>
          <xm:sqref>AK51</xm:sqref>
        </x14:conditionalFormatting>
        <x14:conditionalFormatting xmlns:xm="http://schemas.microsoft.com/office/excel/2006/main">
          <x14:cfRule type="dataBar" id="{AFF8FA53-0B48-497B-B80B-6151A1E63539}">
            <x14:dataBar minLength="0" maxLength="100" gradient="0">
              <x14:cfvo type="num">
                <xm:f>0</xm:f>
              </x14:cfvo>
              <x14:cfvo type="num">
                <xm:f>1</xm:f>
              </x14:cfvo>
              <x14:negativeFillColor rgb="FFFF0000"/>
              <x14:axisColor rgb="FF000000"/>
            </x14:dataBar>
          </x14:cfRule>
          <xm:sqref>AK53</xm:sqref>
        </x14:conditionalFormatting>
        <x14:conditionalFormatting xmlns:xm="http://schemas.microsoft.com/office/excel/2006/main">
          <x14:cfRule type="dataBar" id="{23788BF6-4A17-4983-91D9-F63D41B2E04D}">
            <x14:dataBar minLength="0" maxLength="100" gradient="0">
              <x14:cfvo type="num">
                <xm:f>0</xm:f>
              </x14:cfvo>
              <x14:cfvo type="num">
                <xm:f>1</xm:f>
              </x14:cfvo>
              <x14:negativeFillColor rgb="FFFF0000"/>
              <x14:axisColor rgb="FF000000"/>
            </x14:dataBar>
          </x14:cfRule>
          <xm:sqref>AK55</xm:sqref>
        </x14:conditionalFormatting>
        <x14:conditionalFormatting xmlns:xm="http://schemas.microsoft.com/office/excel/2006/main">
          <x14:cfRule type="dataBar" id="{3296917F-8ECC-49CE-BA61-4CCB677F0C54}">
            <x14:dataBar minLength="0" maxLength="100" gradient="0">
              <x14:cfvo type="num">
                <xm:f>0</xm:f>
              </x14:cfvo>
              <x14:cfvo type="num">
                <xm:f>1</xm:f>
              </x14:cfvo>
              <x14:negativeFillColor rgb="FFFF0000"/>
              <x14:axisColor rgb="FF000000"/>
            </x14:dataBar>
          </x14:cfRule>
          <xm:sqref>AK57</xm:sqref>
        </x14:conditionalFormatting>
        <x14:conditionalFormatting xmlns:xm="http://schemas.microsoft.com/office/excel/2006/main">
          <x14:cfRule type="dataBar" id="{CED0C011-534C-444A-8865-1FA934970CBE}">
            <x14:dataBar minLength="0" maxLength="100" gradient="0">
              <x14:cfvo type="num">
                <xm:f>0</xm:f>
              </x14:cfvo>
              <x14:cfvo type="num">
                <xm:f>1</xm:f>
              </x14:cfvo>
              <x14:negativeFillColor rgb="FFFF0000"/>
              <x14:axisColor rgb="FF000000"/>
            </x14:dataBar>
          </x14:cfRule>
          <xm:sqref>AL33</xm:sqref>
        </x14:conditionalFormatting>
        <x14:conditionalFormatting xmlns:xm="http://schemas.microsoft.com/office/excel/2006/main">
          <x14:cfRule type="dataBar" id="{ADFF62E0-9D93-4C0D-9354-B533C07F59B0}">
            <x14:dataBar minLength="0" maxLength="100" gradient="0">
              <x14:cfvo type="num">
                <xm:f>0</xm:f>
              </x14:cfvo>
              <x14:cfvo type="num">
                <xm:f>1</xm:f>
              </x14:cfvo>
              <x14:negativeFillColor rgb="FFFF0000"/>
              <x14:axisColor rgb="FF000000"/>
            </x14:dataBar>
          </x14:cfRule>
          <xm:sqref>AL35</xm:sqref>
        </x14:conditionalFormatting>
        <x14:conditionalFormatting xmlns:xm="http://schemas.microsoft.com/office/excel/2006/main">
          <x14:cfRule type="dataBar" id="{00F25A7B-142A-4505-89B2-971EAC7BF517}">
            <x14:dataBar minLength="0" maxLength="100" gradient="0">
              <x14:cfvo type="num">
                <xm:f>0</xm:f>
              </x14:cfvo>
              <x14:cfvo type="num">
                <xm:f>1</xm:f>
              </x14:cfvo>
              <x14:negativeFillColor rgb="FFFF0000"/>
              <x14:axisColor rgb="FF000000"/>
            </x14:dataBar>
          </x14:cfRule>
          <xm:sqref>AL37</xm:sqref>
        </x14:conditionalFormatting>
        <x14:conditionalFormatting xmlns:xm="http://schemas.microsoft.com/office/excel/2006/main">
          <x14:cfRule type="dataBar" id="{08BB2BDE-676A-4E7F-B2C8-723963715D65}">
            <x14:dataBar minLength="0" maxLength="100" gradient="0">
              <x14:cfvo type="num">
                <xm:f>0</xm:f>
              </x14:cfvo>
              <x14:cfvo type="num">
                <xm:f>1</xm:f>
              </x14:cfvo>
              <x14:negativeFillColor rgb="FFFF0000"/>
              <x14:axisColor rgb="FF000000"/>
            </x14:dataBar>
          </x14:cfRule>
          <xm:sqref>AL39</xm:sqref>
        </x14:conditionalFormatting>
        <x14:conditionalFormatting xmlns:xm="http://schemas.microsoft.com/office/excel/2006/main">
          <x14:cfRule type="dataBar" id="{141D14C7-FD28-4B97-8508-8BE78618D4FD}">
            <x14:dataBar minLength="0" maxLength="100" gradient="0">
              <x14:cfvo type="num">
                <xm:f>0</xm:f>
              </x14:cfvo>
              <x14:cfvo type="num">
                <xm:f>1</xm:f>
              </x14:cfvo>
              <x14:negativeFillColor rgb="FFFF0000"/>
              <x14:axisColor rgb="FF000000"/>
            </x14:dataBar>
          </x14:cfRule>
          <xm:sqref>AL41</xm:sqref>
        </x14:conditionalFormatting>
        <x14:conditionalFormatting xmlns:xm="http://schemas.microsoft.com/office/excel/2006/main">
          <x14:cfRule type="dataBar" id="{9C7F94DB-042A-4B6F-B17A-0FD80E00E23C}">
            <x14:dataBar minLength="0" maxLength="100" gradient="0">
              <x14:cfvo type="num">
                <xm:f>0</xm:f>
              </x14:cfvo>
              <x14:cfvo type="num">
                <xm:f>1</xm:f>
              </x14:cfvo>
              <x14:negativeFillColor rgb="FFFF0000"/>
              <x14:axisColor rgb="FF000000"/>
            </x14:dataBar>
          </x14:cfRule>
          <xm:sqref>AL43</xm:sqref>
        </x14:conditionalFormatting>
        <x14:conditionalFormatting xmlns:xm="http://schemas.microsoft.com/office/excel/2006/main">
          <x14:cfRule type="dataBar" id="{00D131AF-DEDB-435B-832E-43F3F2EDACBD}">
            <x14:dataBar minLength="0" maxLength="100" gradient="0">
              <x14:cfvo type="num">
                <xm:f>0</xm:f>
              </x14:cfvo>
              <x14:cfvo type="num">
                <xm:f>1</xm:f>
              </x14:cfvo>
              <x14:negativeFillColor rgb="FFFF0000"/>
              <x14:axisColor rgb="FF000000"/>
            </x14:dataBar>
          </x14:cfRule>
          <xm:sqref>AL45</xm:sqref>
        </x14:conditionalFormatting>
        <x14:conditionalFormatting xmlns:xm="http://schemas.microsoft.com/office/excel/2006/main">
          <x14:cfRule type="dataBar" id="{9CBA94E9-AB3A-4873-B1B5-D3E80E6BD827}">
            <x14:dataBar minLength="0" maxLength="100" gradient="0">
              <x14:cfvo type="num">
                <xm:f>0</xm:f>
              </x14:cfvo>
              <x14:cfvo type="num">
                <xm:f>1</xm:f>
              </x14:cfvo>
              <x14:negativeFillColor rgb="FFFF0000"/>
              <x14:axisColor rgb="FF000000"/>
            </x14:dataBar>
          </x14:cfRule>
          <xm:sqref>AL47</xm:sqref>
        </x14:conditionalFormatting>
        <x14:conditionalFormatting xmlns:xm="http://schemas.microsoft.com/office/excel/2006/main">
          <x14:cfRule type="dataBar" id="{07F056C6-7D77-47A6-853B-58ADAE7DE227}">
            <x14:dataBar minLength="0" maxLength="100" gradient="0">
              <x14:cfvo type="num">
                <xm:f>0</xm:f>
              </x14:cfvo>
              <x14:cfvo type="num">
                <xm:f>1</xm:f>
              </x14:cfvo>
              <x14:negativeFillColor rgb="FFFF0000"/>
              <x14:axisColor rgb="FF000000"/>
            </x14:dataBar>
          </x14:cfRule>
          <xm:sqref>AL49</xm:sqref>
        </x14:conditionalFormatting>
        <x14:conditionalFormatting xmlns:xm="http://schemas.microsoft.com/office/excel/2006/main">
          <x14:cfRule type="dataBar" id="{C547F087-6F6B-4E23-A6AE-6D266221F4C8}">
            <x14:dataBar minLength="0" maxLength="100" gradient="0">
              <x14:cfvo type="num">
                <xm:f>0</xm:f>
              </x14:cfvo>
              <x14:cfvo type="num">
                <xm:f>1</xm:f>
              </x14:cfvo>
              <x14:negativeFillColor rgb="FFFF0000"/>
              <x14:axisColor rgb="FF000000"/>
            </x14:dataBar>
          </x14:cfRule>
          <xm:sqref>AL51</xm:sqref>
        </x14:conditionalFormatting>
        <x14:conditionalFormatting xmlns:xm="http://schemas.microsoft.com/office/excel/2006/main">
          <x14:cfRule type="dataBar" id="{03983E5E-E4EB-4693-B0A6-580FC25D25F4}">
            <x14:dataBar minLength="0" maxLength="100" gradient="0">
              <x14:cfvo type="num">
                <xm:f>0</xm:f>
              </x14:cfvo>
              <x14:cfvo type="num">
                <xm:f>1</xm:f>
              </x14:cfvo>
              <x14:negativeFillColor rgb="FFFF0000"/>
              <x14:axisColor rgb="FF000000"/>
            </x14:dataBar>
          </x14:cfRule>
          <xm:sqref>AL53</xm:sqref>
        </x14:conditionalFormatting>
        <x14:conditionalFormatting xmlns:xm="http://schemas.microsoft.com/office/excel/2006/main">
          <x14:cfRule type="dataBar" id="{5A92FB00-6E90-4D79-A202-1E5D18869132}">
            <x14:dataBar minLength="0" maxLength="100" gradient="0">
              <x14:cfvo type="num">
                <xm:f>0</xm:f>
              </x14:cfvo>
              <x14:cfvo type="num">
                <xm:f>1</xm:f>
              </x14:cfvo>
              <x14:negativeFillColor rgb="FFFF0000"/>
              <x14:axisColor rgb="FF000000"/>
            </x14:dataBar>
          </x14:cfRule>
          <xm:sqref>AL55</xm:sqref>
        </x14:conditionalFormatting>
        <x14:conditionalFormatting xmlns:xm="http://schemas.microsoft.com/office/excel/2006/main">
          <x14:cfRule type="dataBar" id="{4BEE339A-58DB-45F3-A360-8E5A9AD48B82}">
            <x14:dataBar minLength="0" maxLength="100" gradient="0">
              <x14:cfvo type="num">
                <xm:f>0</xm:f>
              </x14:cfvo>
              <x14:cfvo type="num">
                <xm:f>1</xm:f>
              </x14:cfvo>
              <x14:negativeFillColor rgb="FFFF0000"/>
              <x14:axisColor rgb="FF000000"/>
            </x14:dataBar>
          </x14:cfRule>
          <xm:sqref>AL57</xm:sqref>
        </x14:conditionalFormatting>
        <x14:conditionalFormatting xmlns:xm="http://schemas.microsoft.com/office/excel/2006/main">
          <x14:cfRule type="dataBar" id="{2D9DE715-E6D1-4F07-8C5F-FD4F16D20984}">
            <x14:dataBar minLength="0" maxLength="100" gradient="0">
              <x14:cfvo type="num">
                <xm:f>0</xm:f>
              </x14:cfvo>
              <x14:cfvo type="num">
                <xm:f>1</xm:f>
              </x14:cfvo>
              <x14:negativeFillColor rgb="FFFF0000"/>
              <x14:axisColor rgb="FF000000"/>
            </x14:dataBar>
          </x14:cfRule>
          <xm:sqref>AM33</xm:sqref>
        </x14:conditionalFormatting>
        <x14:conditionalFormatting xmlns:xm="http://schemas.microsoft.com/office/excel/2006/main">
          <x14:cfRule type="dataBar" id="{5DF5EC08-3345-4A7E-9329-83927AA0FD7D}">
            <x14:dataBar minLength="0" maxLength="100" gradient="0">
              <x14:cfvo type="num">
                <xm:f>0</xm:f>
              </x14:cfvo>
              <x14:cfvo type="num">
                <xm:f>1</xm:f>
              </x14:cfvo>
              <x14:negativeFillColor rgb="FFFF0000"/>
              <x14:axisColor rgb="FF000000"/>
            </x14:dataBar>
          </x14:cfRule>
          <xm:sqref>AM35</xm:sqref>
        </x14:conditionalFormatting>
        <x14:conditionalFormatting xmlns:xm="http://schemas.microsoft.com/office/excel/2006/main">
          <x14:cfRule type="dataBar" id="{89E169F3-D809-4E09-BDCB-64F4A9F0A653}">
            <x14:dataBar minLength="0" maxLength="100" gradient="0">
              <x14:cfvo type="num">
                <xm:f>0</xm:f>
              </x14:cfvo>
              <x14:cfvo type="num">
                <xm:f>1</xm:f>
              </x14:cfvo>
              <x14:negativeFillColor rgb="FFFF0000"/>
              <x14:axisColor rgb="FF000000"/>
            </x14:dataBar>
          </x14:cfRule>
          <xm:sqref>AM37</xm:sqref>
        </x14:conditionalFormatting>
        <x14:conditionalFormatting xmlns:xm="http://schemas.microsoft.com/office/excel/2006/main">
          <x14:cfRule type="dataBar" id="{6699EE18-148B-4861-BD0B-2BCC00731942}">
            <x14:dataBar minLength="0" maxLength="100" gradient="0">
              <x14:cfvo type="num">
                <xm:f>0</xm:f>
              </x14:cfvo>
              <x14:cfvo type="num">
                <xm:f>1</xm:f>
              </x14:cfvo>
              <x14:negativeFillColor rgb="FFFF0000"/>
              <x14:axisColor rgb="FF000000"/>
            </x14:dataBar>
          </x14:cfRule>
          <xm:sqref>AM39</xm:sqref>
        </x14:conditionalFormatting>
        <x14:conditionalFormatting xmlns:xm="http://schemas.microsoft.com/office/excel/2006/main">
          <x14:cfRule type="dataBar" id="{C47CA41B-9359-46D6-BD06-955B0D9E449E}">
            <x14:dataBar minLength="0" maxLength="100" gradient="0">
              <x14:cfvo type="num">
                <xm:f>0</xm:f>
              </x14:cfvo>
              <x14:cfvo type="num">
                <xm:f>1</xm:f>
              </x14:cfvo>
              <x14:negativeFillColor rgb="FFFF0000"/>
              <x14:axisColor rgb="FF000000"/>
            </x14:dataBar>
          </x14:cfRule>
          <xm:sqref>AM41</xm:sqref>
        </x14:conditionalFormatting>
        <x14:conditionalFormatting xmlns:xm="http://schemas.microsoft.com/office/excel/2006/main">
          <x14:cfRule type="dataBar" id="{55C0CA23-E479-4485-8423-64CBB8799007}">
            <x14:dataBar minLength="0" maxLength="100" gradient="0">
              <x14:cfvo type="num">
                <xm:f>0</xm:f>
              </x14:cfvo>
              <x14:cfvo type="num">
                <xm:f>1</xm:f>
              </x14:cfvo>
              <x14:negativeFillColor rgb="FFFF0000"/>
              <x14:axisColor rgb="FF000000"/>
            </x14:dataBar>
          </x14:cfRule>
          <xm:sqref>AM43</xm:sqref>
        </x14:conditionalFormatting>
        <x14:conditionalFormatting xmlns:xm="http://schemas.microsoft.com/office/excel/2006/main">
          <x14:cfRule type="dataBar" id="{AA9CEA27-DAC8-4ECD-9D48-060DFE8739C9}">
            <x14:dataBar minLength="0" maxLength="100" gradient="0">
              <x14:cfvo type="num">
                <xm:f>0</xm:f>
              </x14:cfvo>
              <x14:cfvo type="num">
                <xm:f>1</xm:f>
              </x14:cfvo>
              <x14:negativeFillColor rgb="FFFF0000"/>
              <x14:axisColor rgb="FF000000"/>
            </x14:dataBar>
          </x14:cfRule>
          <xm:sqref>AM45</xm:sqref>
        </x14:conditionalFormatting>
        <x14:conditionalFormatting xmlns:xm="http://schemas.microsoft.com/office/excel/2006/main">
          <x14:cfRule type="dataBar" id="{3169F39E-1A66-4E31-8DE9-9F40D032367C}">
            <x14:dataBar minLength="0" maxLength="100" gradient="0">
              <x14:cfvo type="num">
                <xm:f>0</xm:f>
              </x14:cfvo>
              <x14:cfvo type="num">
                <xm:f>1</xm:f>
              </x14:cfvo>
              <x14:negativeFillColor rgb="FFFF0000"/>
              <x14:axisColor rgb="FF000000"/>
            </x14:dataBar>
          </x14:cfRule>
          <xm:sqref>AM47</xm:sqref>
        </x14:conditionalFormatting>
        <x14:conditionalFormatting xmlns:xm="http://schemas.microsoft.com/office/excel/2006/main">
          <x14:cfRule type="dataBar" id="{DF9145CB-49AD-4432-A288-1861C8CDC99C}">
            <x14:dataBar minLength="0" maxLength="100" gradient="0">
              <x14:cfvo type="num">
                <xm:f>0</xm:f>
              </x14:cfvo>
              <x14:cfvo type="num">
                <xm:f>1</xm:f>
              </x14:cfvo>
              <x14:negativeFillColor rgb="FFFF0000"/>
              <x14:axisColor rgb="FF000000"/>
            </x14:dataBar>
          </x14:cfRule>
          <xm:sqref>AM49</xm:sqref>
        </x14:conditionalFormatting>
        <x14:conditionalFormatting xmlns:xm="http://schemas.microsoft.com/office/excel/2006/main">
          <x14:cfRule type="dataBar" id="{8D28381D-FF51-4D33-949F-CD9D43991DAC}">
            <x14:dataBar minLength="0" maxLength="100" gradient="0">
              <x14:cfvo type="num">
                <xm:f>0</xm:f>
              </x14:cfvo>
              <x14:cfvo type="num">
                <xm:f>1</xm:f>
              </x14:cfvo>
              <x14:negativeFillColor rgb="FFFF0000"/>
              <x14:axisColor rgb="FF000000"/>
            </x14:dataBar>
          </x14:cfRule>
          <xm:sqref>AM51</xm:sqref>
        </x14:conditionalFormatting>
        <x14:conditionalFormatting xmlns:xm="http://schemas.microsoft.com/office/excel/2006/main">
          <x14:cfRule type="dataBar" id="{9B5470A7-4E5C-4A19-9552-80B2680A22E7}">
            <x14:dataBar minLength="0" maxLength="100" gradient="0">
              <x14:cfvo type="num">
                <xm:f>0</xm:f>
              </x14:cfvo>
              <x14:cfvo type="num">
                <xm:f>1</xm:f>
              </x14:cfvo>
              <x14:negativeFillColor rgb="FFFF0000"/>
              <x14:axisColor rgb="FF000000"/>
            </x14:dataBar>
          </x14:cfRule>
          <xm:sqref>AM53</xm:sqref>
        </x14:conditionalFormatting>
        <x14:conditionalFormatting xmlns:xm="http://schemas.microsoft.com/office/excel/2006/main">
          <x14:cfRule type="dataBar" id="{8F435845-3103-4D8D-931E-00D3AA52E50E}">
            <x14:dataBar minLength="0" maxLength="100" gradient="0">
              <x14:cfvo type="num">
                <xm:f>0</xm:f>
              </x14:cfvo>
              <x14:cfvo type="num">
                <xm:f>1</xm:f>
              </x14:cfvo>
              <x14:negativeFillColor rgb="FFFF0000"/>
              <x14:axisColor rgb="FF000000"/>
            </x14:dataBar>
          </x14:cfRule>
          <xm:sqref>AM55</xm:sqref>
        </x14:conditionalFormatting>
        <x14:conditionalFormatting xmlns:xm="http://schemas.microsoft.com/office/excel/2006/main">
          <x14:cfRule type="dataBar" id="{A938C3C4-1562-40EF-83EC-76CF012A5774}">
            <x14:dataBar minLength="0" maxLength="100" gradient="0">
              <x14:cfvo type="num">
                <xm:f>0</xm:f>
              </x14:cfvo>
              <x14:cfvo type="num">
                <xm:f>1</xm:f>
              </x14:cfvo>
              <x14:negativeFillColor rgb="FFFF0000"/>
              <x14:axisColor rgb="FF000000"/>
            </x14:dataBar>
          </x14:cfRule>
          <xm:sqref>AM57</xm:sqref>
        </x14:conditionalFormatting>
        <x14:conditionalFormatting xmlns:xm="http://schemas.microsoft.com/office/excel/2006/main">
          <x14:cfRule type="dataBar" id="{7F605965-9E53-4131-BEC9-5A936ABC7BA5}">
            <x14:dataBar minLength="0" maxLength="100" gradient="0">
              <x14:cfvo type="num">
                <xm:f>0</xm:f>
              </x14:cfvo>
              <x14:cfvo type="num">
                <xm:f>1</xm:f>
              </x14:cfvo>
              <x14:negativeFillColor rgb="FFFF0000"/>
              <x14:axisColor rgb="FF000000"/>
            </x14:dataBar>
          </x14:cfRule>
          <xm:sqref>AN33</xm:sqref>
        </x14:conditionalFormatting>
        <x14:conditionalFormatting xmlns:xm="http://schemas.microsoft.com/office/excel/2006/main">
          <x14:cfRule type="dataBar" id="{B97FA23F-B534-4EEC-8765-FBD82A7239D2}">
            <x14:dataBar minLength="0" maxLength="100" gradient="0">
              <x14:cfvo type="num">
                <xm:f>0</xm:f>
              </x14:cfvo>
              <x14:cfvo type="num">
                <xm:f>1</xm:f>
              </x14:cfvo>
              <x14:negativeFillColor rgb="FFFF0000"/>
              <x14:axisColor rgb="FF000000"/>
            </x14:dataBar>
          </x14:cfRule>
          <xm:sqref>AN35</xm:sqref>
        </x14:conditionalFormatting>
        <x14:conditionalFormatting xmlns:xm="http://schemas.microsoft.com/office/excel/2006/main">
          <x14:cfRule type="dataBar" id="{FBE58EC6-7459-4A00-8DAE-F0912F09812D}">
            <x14:dataBar minLength="0" maxLength="100" gradient="0">
              <x14:cfvo type="num">
                <xm:f>0</xm:f>
              </x14:cfvo>
              <x14:cfvo type="num">
                <xm:f>1</xm:f>
              </x14:cfvo>
              <x14:negativeFillColor rgb="FFFF0000"/>
              <x14:axisColor rgb="FF000000"/>
            </x14:dataBar>
          </x14:cfRule>
          <xm:sqref>AN37</xm:sqref>
        </x14:conditionalFormatting>
        <x14:conditionalFormatting xmlns:xm="http://schemas.microsoft.com/office/excel/2006/main">
          <x14:cfRule type="dataBar" id="{62AB1DD0-D7C5-401B-9738-9A4432D19245}">
            <x14:dataBar minLength="0" maxLength="100" gradient="0">
              <x14:cfvo type="num">
                <xm:f>0</xm:f>
              </x14:cfvo>
              <x14:cfvo type="num">
                <xm:f>1</xm:f>
              </x14:cfvo>
              <x14:negativeFillColor rgb="FFFF0000"/>
              <x14:axisColor rgb="FF000000"/>
            </x14:dataBar>
          </x14:cfRule>
          <xm:sqref>AN39</xm:sqref>
        </x14:conditionalFormatting>
        <x14:conditionalFormatting xmlns:xm="http://schemas.microsoft.com/office/excel/2006/main">
          <x14:cfRule type="dataBar" id="{945CBEEC-6B4E-4829-9DD7-CE6090EB8678}">
            <x14:dataBar minLength="0" maxLength="100" gradient="0">
              <x14:cfvo type="num">
                <xm:f>0</xm:f>
              </x14:cfvo>
              <x14:cfvo type="num">
                <xm:f>1</xm:f>
              </x14:cfvo>
              <x14:negativeFillColor rgb="FFFF0000"/>
              <x14:axisColor rgb="FF000000"/>
            </x14:dataBar>
          </x14:cfRule>
          <xm:sqref>AN41</xm:sqref>
        </x14:conditionalFormatting>
        <x14:conditionalFormatting xmlns:xm="http://schemas.microsoft.com/office/excel/2006/main">
          <x14:cfRule type="dataBar" id="{497A9094-CB9D-401A-BF74-2F8F099B84A9}">
            <x14:dataBar minLength="0" maxLength="100" gradient="0">
              <x14:cfvo type="num">
                <xm:f>0</xm:f>
              </x14:cfvo>
              <x14:cfvo type="num">
                <xm:f>1</xm:f>
              </x14:cfvo>
              <x14:negativeFillColor rgb="FFFF0000"/>
              <x14:axisColor rgb="FF000000"/>
            </x14:dataBar>
          </x14:cfRule>
          <xm:sqref>AN43</xm:sqref>
        </x14:conditionalFormatting>
        <x14:conditionalFormatting xmlns:xm="http://schemas.microsoft.com/office/excel/2006/main">
          <x14:cfRule type="dataBar" id="{8E5E5F4A-10F3-4EE0-9D1D-3F316B38445A}">
            <x14:dataBar minLength="0" maxLength="100" gradient="0">
              <x14:cfvo type="num">
                <xm:f>0</xm:f>
              </x14:cfvo>
              <x14:cfvo type="num">
                <xm:f>1</xm:f>
              </x14:cfvo>
              <x14:negativeFillColor rgb="FFFF0000"/>
              <x14:axisColor rgb="FF000000"/>
            </x14:dataBar>
          </x14:cfRule>
          <xm:sqref>AN45</xm:sqref>
        </x14:conditionalFormatting>
        <x14:conditionalFormatting xmlns:xm="http://schemas.microsoft.com/office/excel/2006/main">
          <x14:cfRule type="dataBar" id="{B80ED3E0-415E-4E52-BC7D-1A319A2F1F50}">
            <x14:dataBar minLength="0" maxLength="100" gradient="0">
              <x14:cfvo type="num">
                <xm:f>0</xm:f>
              </x14:cfvo>
              <x14:cfvo type="num">
                <xm:f>1</xm:f>
              </x14:cfvo>
              <x14:negativeFillColor rgb="FFFF0000"/>
              <x14:axisColor rgb="FF000000"/>
            </x14:dataBar>
          </x14:cfRule>
          <xm:sqref>AN47</xm:sqref>
        </x14:conditionalFormatting>
        <x14:conditionalFormatting xmlns:xm="http://schemas.microsoft.com/office/excel/2006/main">
          <x14:cfRule type="dataBar" id="{73FE6421-BF15-4F05-8ACC-C2F73DE89BBD}">
            <x14:dataBar minLength="0" maxLength="100" gradient="0">
              <x14:cfvo type="num">
                <xm:f>0</xm:f>
              </x14:cfvo>
              <x14:cfvo type="num">
                <xm:f>1</xm:f>
              </x14:cfvo>
              <x14:negativeFillColor rgb="FFFF0000"/>
              <x14:axisColor rgb="FF000000"/>
            </x14:dataBar>
          </x14:cfRule>
          <xm:sqref>AN49</xm:sqref>
        </x14:conditionalFormatting>
        <x14:conditionalFormatting xmlns:xm="http://schemas.microsoft.com/office/excel/2006/main">
          <x14:cfRule type="dataBar" id="{F659F352-FC1A-4041-AB3D-619FD3DE4368}">
            <x14:dataBar minLength="0" maxLength="100" gradient="0">
              <x14:cfvo type="num">
                <xm:f>0</xm:f>
              </x14:cfvo>
              <x14:cfvo type="num">
                <xm:f>1</xm:f>
              </x14:cfvo>
              <x14:negativeFillColor rgb="FFFF0000"/>
              <x14:axisColor rgb="FF000000"/>
            </x14:dataBar>
          </x14:cfRule>
          <xm:sqref>AN51</xm:sqref>
        </x14:conditionalFormatting>
        <x14:conditionalFormatting xmlns:xm="http://schemas.microsoft.com/office/excel/2006/main">
          <x14:cfRule type="dataBar" id="{764EF8F2-6F7B-496B-89BE-14F257686B07}">
            <x14:dataBar minLength="0" maxLength="100" gradient="0">
              <x14:cfvo type="num">
                <xm:f>0</xm:f>
              </x14:cfvo>
              <x14:cfvo type="num">
                <xm:f>1</xm:f>
              </x14:cfvo>
              <x14:negativeFillColor rgb="FFFF0000"/>
              <x14:axisColor rgb="FF000000"/>
            </x14:dataBar>
          </x14:cfRule>
          <xm:sqref>AN53</xm:sqref>
        </x14:conditionalFormatting>
        <x14:conditionalFormatting xmlns:xm="http://schemas.microsoft.com/office/excel/2006/main">
          <x14:cfRule type="dataBar" id="{1CC4C154-07F9-4EA0-98D7-0A20724F53A4}">
            <x14:dataBar minLength="0" maxLength="100" gradient="0">
              <x14:cfvo type="num">
                <xm:f>0</xm:f>
              </x14:cfvo>
              <x14:cfvo type="num">
                <xm:f>1</xm:f>
              </x14:cfvo>
              <x14:negativeFillColor rgb="FFFF0000"/>
              <x14:axisColor rgb="FF000000"/>
            </x14:dataBar>
          </x14:cfRule>
          <xm:sqref>AN55</xm:sqref>
        </x14:conditionalFormatting>
        <x14:conditionalFormatting xmlns:xm="http://schemas.microsoft.com/office/excel/2006/main">
          <x14:cfRule type="dataBar" id="{2AC8FCF8-7C7E-448C-A0FC-C5FCA4EC8295}">
            <x14:dataBar minLength="0" maxLength="100" gradient="0">
              <x14:cfvo type="num">
                <xm:f>0</xm:f>
              </x14:cfvo>
              <x14:cfvo type="num">
                <xm:f>1</xm:f>
              </x14:cfvo>
              <x14:negativeFillColor rgb="FFFF0000"/>
              <x14:axisColor rgb="FF000000"/>
            </x14:dataBar>
          </x14:cfRule>
          <xm:sqref>AN57</xm:sqref>
        </x14:conditionalFormatting>
        <x14:conditionalFormatting xmlns:xm="http://schemas.microsoft.com/office/excel/2006/main">
          <x14:cfRule type="dataBar" id="{A643AB5F-E875-421D-BA9D-B2E2B33C4502}">
            <x14:dataBar minLength="0" maxLength="100" gradient="0">
              <x14:cfvo type="num">
                <xm:f>0</xm:f>
              </x14:cfvo>
              <x14:cfvo type="num">
                <xm:f>1</xm:f>
              </x14:cfvo>
              <x14:negativeFillColor rgb="FFFF0000"/>
              <x14:axisColor rgb="FF000000"/>
            </x14:dataBar>
          </x14:cfRule>
          <xm:sqref>AO33</xm:sqref>
        </x14:conditionalFormatting>
        <x14:conditionalFormatting xmlns:xm="http://schemas.microsoft.com/office/excel/2006/main">
          <x14:cfRule type="dataBar" id="{4119C74F-48D3-4769-BE4A-B317D80B49A7}">
            <x14:dataBar minLength="0" maxLength="100" gradient="0">
              <x14:cfvo type="num">
                <xm:f>0</xm:f>
              </x14:cfvo>
              <x14:cfvo type="num">
                <xm:f>1</xm:f>
              </x14:cfvo>
              <x14:negativeFillColor rgb="FFFF0000"/>
              <x14:axisColor rgb="FF000000"/>
            </x14:dataBar>
          </x14:cfRule>
          <xm:sqref>AO35</xm:sqref>
        </x14:conditionalFormatting>
        <x14:conditionalFormatting xmlns:xm="http://schemas.microsoft.com/office/excel/2006/main">
          <x14:cfRule type="dataBar" id="{78EEB2FC-11E9-446A-800D-D1F2F8665D83}">
            <x14:dataBar minLength="0" maxLength="100" gradient="0">
              <x14:cfvo type="num">
                <xm:f>0</xm:f>
              </x14:cfvo>
              <x14:cfvo type="num">
                <xm:f>1</xm:f>
              </x14:cfvo>
              <x14:negativeFillColor rgb="FFFF0000"/>
              <x14:axisColor rgb="FF000000"/>
            </x14:dataBar>
          </x14:cfRule>
          <xm:sqref>AO37</xm:sqref>
        </x14:conditionalFormatting>
        <x14:conditionalFormatting xmlns:xm="http://schemas.microsoft.com/office/excel/2006/main">
          <x14:cfRule type="dataBar" id="{6B403175-CA29-4F63-AB10-93AAB5D62B4C}">
            <x14:dataBar minLength="0" maxLength="100" gradient="0">
              <x14:cfvo type="num">
                <xm:f>0</xm:f>
              </x14:cfvo>
              <x14:cfvo type="num">
                <xm:f>1</xm:f>
              </x14:cfvo>
              <x14:negativeFillColor rgb="FFFF0000"/>
              <x14:axisColor rgb="FF000000"/>
            </x14:dataBar>
          </x14:cfRule>
          <xm:sqref>AO39</xm:sqref>
        </x14:conditionalFormatting>
        <x14:conditionalFormatting xmlns:xm="http://schemas.microsoft.com/office/excel/2006/main">
          <x14:cfRule type="dataBar" id="{C32FD87D-B486-4BEB-A3E4-1E6534AA08FA}">
            <x14:dataBar minLength="0" maxLength="100" gradient="0">
              <x14:cfvo type="num">
                <xm:f>0</xm:f>
              </x14:cfvo>
              <x14:cfvo type="num">
                <xm:f>1</xm:f>
              </x14:cfvo>
              <x14:negativeFillColor rgb="FFFF0000"/>
              <x14:axisColor rgb="FF000000"/>
            </x14:dataBar>
          </x14:cfRule>
          <xm:sqref>AO41</xm:sqref>
        </x14:conditionalFormatting>
        <x14:conditionalFormatting xmlns:xm="http://schemas.microsoft.com/office/excel/2006/main">
          <x14:cfRule type="dataBar" id="{9F2517DE-65E9-4BFB-8A31-821B2556FA82}">
            <x14:dataBar minLength="0" maxLength="100" gradient="0">
              <x14:cfvo type="num">
                <xm:f>0</xm:f>
              </x14:cfvo>
              <x14:cfvo type="num">
                <xm:f>1</xm:f>
              </x14:cfvo>
              <x14:negativeFillColor rgb="FFFF0000"/>
              <x14:axisColor rgb="FF000000"/>
            </x14:dataBar>
          </x14:cfRule>
          <xm:sqref>AO43</xm:sqref>
        </x14:conditionalFormatting>
        <x14:conditionalFormatting xmlns:xm="http://schemas.microsoft.com/office/excel/2006/main">
          <x14:cfRule type="dataBar" id="{A53CF054-7D03-426A-ABCF-B928A873FF33}">
            <x14:dataBar minLength="0" maxLength="100" gradient="0">
              <x14:cfvo type="num">
                <xm:f>0</xm:f>
              </x14:cfvo>
              <x14:cfvo type="num">
                <xm:f>1</xm:f>
              </x14:cfvo>
              <x14:negativeFillColor rgb="FFFF0000"/>
              <x14:axisColor rgb="FF000000"/>
            </x14:dataBar>
          </x14:cfRule>
          <xm:sqref>AO45</xm:sqref>
        </x14:conditionalFormatting>
        <x14:conditionalFormatting xmlns:xm="http://schemas.microsoft.com/office/excel/2006/main">
          <x14:cfRule type="dataBar" id="{B02FFBF8-BBE8-49A9-81D4-02FFD9792063}">
            <x14:dataBar minLength="0" maxLength="100" gradient="0">
              <x14:cfvo type="num">
                <xm:f>0</xm:f>
              </x14:cfvo>
              <x14:cfvo type="num">
                <xm:f>1</xm:f>
              </x14:cfvo>
              <x14:negativeFillColor rgb="FFFF0000"/>
              <x14:axisColor rgb="FF000000"/>
            </x14:dataBar>
          </x14:cfRule>
          <xm:sqref>AO47</xm:sqref>
        </x14:conditionalFormatting>
        <x14:conditionalFormatting xmlns:xm="http://schemas.microsoft.com/office/excel/2006/main">
          <x14:cfRule type="dataBar" id="{16EC22DC-5870-498E-ACF2-DFBDE8B0AC94}">
            <x14:dataBar minLength="0" maxLength="100" gradient="0">
              <x14:cfvo type="num">
                <xm:f>0</xm:f>
              </x14:cfvo>
              <x14:cfvo type="num">
                <xm:f>1</xm:f>
              </x14:cfvo>
              <x14:negativeFillColor rgb="FFFF0000"/>
              <x14:axisColor rgb="FF000000"/>
            </x14:dataBar>
          </x14:cfRule>
          <xm:sqref>AO49</xm:sqref>
        </x14:conditionalFormatting>
        <x14:conditionalFormatting xmlns:xm="http://schemas.microsoft.com/office/excel/2006/main">
          <x14:cfRule type="dataBar" id="{7D0DAE5D-73C3-4DC4-B0AC-4382E8D1A8D5}">
            <x14:dataBar minLength="0" maxLength="100" gradient="0">
              <x14:cfvo type="num">
                <xm:f>0</xm:f>
              </x14:cfvo>
              <x14:cfvo type="num">
                <xm:f>1</xm:f>
              </x14:cfvo>
              <x14:negativeFillColor rgb="FFFF0000"/>
              <x14:axisColor rgb="FF000000"/>
            </x14:dataBar>
          </x14:cfRule>
          <xm:sqref>AO51</xm:sqref>
        </x14:conditionalFormatting>
        <x14:conditionalFormatting xmlns:xm="http://schemas.microsoft.com/office/excel/2006/main">
          <x14:cfRule type="dataBar" id="{B71641F4-646B-407A-848A-35C349FA2475}">
            <x14:dataBar minLength="0" maxLength="100" gradient="0">
              <x14:cfvo type="num">
                <xm:f>0</xm:f>
              </x14:cfvo>
              <x14:cfvo type="num">
                <xm:f>1</xm:f>
              </x14:cfvo>
              <x14:negativeFillColor rgb="FFFF0000"/>
              <x14:axisColor rgb="FF000000"/>
            </x14:dataBar>
          </x14:cfRule>
          <xm:sqref>AO53</xm:sqref>
        </x14:conditionalFormatting>
        <x14:conditionalFormatting xmlns:xm="http://schemas.microsoft.com/office/excel/2006/main">
          <x14:cfRule type="dataBar" id="{AACBC042-1987-4B4A-840E-B2C5702C629A}">
            <x14:dataBar minLength="0" maxLength="100" gradient="0">
              <x14:cfvo type="num">
                <xm:f>0</xm:f>
              </x14:cfvo>
              <x14:cfvo type="num">
                <xm:f>1</xm:f>
              </x14:cfvo>
              <x14:negativeFillColor rgb="FFFF0000"/>
              <x14:axisColor rgb="FF000000"/>
            </x14:dataBar>
          </x14:cfRule>
          <xm:sqref>AO55</xm:sqref>
        </x14:conditionalFormatting>
        <x14:conditionalFormatting xmlns:xm="http://schemas.microsoft.com/office/excel/2006/main">
          <x14:cfRule type="dataBar" id="{ACA5755B-B8A7-4088-BDA3-BC878463C01F}">
            <x14:dataBar minLength="0" maxLength="100" gradient="0">
              <x14:cfvo type="num">
                <xm:f>0</xm:f>
              </x14:cfvo>
              <x14:cfvo type="num">
                <xm:f>1</xm:f>
              </x14:cfvo>
              <x14:negativeFillColor rgb="FFFF0000"/>
              <x14:axisColor rgb="FF000000"/>
            </x14:dataBar>
          </x14:cfRule>
          <xm:sqref>AO57</xm:sqref>
        </x14:conditionalFormatting>
        <x14:conditionalFormatting xmlns:xm="http://schemas.microsoft.com/office/excel/2006/main">
          <x14:cfRule type="dataBar" id="{6AA8F073-31D4-42C2-897B-3AA39F3F3936}">
            <x14:dataBar minLength="0" maxLength="100" gradient="0">
              <x14:cfvo type="num">
                <xm:f>0</xm:f>
              </x14:cfvo>
              <x14:cfvo type="num">
                <xm:f>1</xm:f>
              </x14:cfvo>
              <x14:negativeFillColor rgb="FFFF0000"/>
              <x14:axisColor rgb="FF000000"/>
            </x14:dataBar>
          </x14:cfRule>
          <xm:sqref>AP33</xm:sqref>
        </x14:conditionalFormatting>
        <x14:conditionalFormatting xmlns:xm="http://schemas.microsoft.com/office/excel/2006/main">
          <x14:cfRule type="dataBar" id="{BD0C37EE-5D3C-4184-A090-4E22F3D205FE}">
            <x14:dataBar minLength="0" maxLength="100" gradient="0">
              <x14:cfvo type="num">
                <xm:f>0</xm:f>
              </x14:cfvo>
              <x14:cfvo type="num">
                <xm:f>1</xm:f>
              </x14:cfvo>
              <x14:negativeFillColor rgb="FFFF0000"/>
              <x14:axisColor rgb="FF000000"/>
            </x14:dataBar>
          </x14:cfRule>
          <xm:sqref>AP35</xm:sqref>
        </x14:conditionalFormatting>
        <x14:conditionalFormatting xmlns:xm="http://schemas.microsoft.com/office/excel/2006/main">
          <x14:cfRule type="dataBar" id="{17DD941C-848B-4F9D-B4A9-B383E2FE3BB0}">
            <x14:dataBar minLength="0" maxLength="100" gradient="0">
              <x14:cfvo type="num">
                <xm:f>0</xm:f>
              </x14:cfvo>
              <x14:cfvo type="num">
                <xm:f>1</xm:f>
              </x14:cfvo>
              <x14:negativeFillColor rgb="FFFF0000"/>
              <x14:axisColor rgb="FF000000"/>
            </x14:dataBar>
          </x14:cfRule>
          <xm:sqref>AP37</xm:sqref>
        </x14:conditionalFormatting>
        <x14:conditionalFormatting xmlns:xm="http://schemas.microsoft.com/office/excel/2006/main">
          <x14:cfRule type="dataBar" id="{E49F526A-FA04-4936-BAC3-D3CA73789FB3}">
            <x14:dataBar minLength="0" maxLength="100" gradient="0">
              <x14:cfvo type="num">
                <xm:f>0</xm:f>
              </x14:cfvo>
              <x14:cfvo type="num">
                <xm:f>1</xm:f>
              </x14:cfvo>
              <x14:negativeFillColor rgb="FFFF0000"/>
              <x14:axisColor rgb="FF000000"/>
            </x14:dataBar>
          </x14:cfRule>
          <xm:sqref>AP39</xm:sqref>
        </x14:conditionalFormatting>
        <x14:conditionalFormatting xmlns:xm="http://schemas.microsoft.com/office/excel/2006/main">
          <x14:cfRule type="dataBar" id="{31716DBE-8A8E-4883-B489-F48617406A62}">
            <x14:dataBar minLength="0" maxLength="100" gradient="0">
              <x14:cfvo type="num">
                <xm:f>0</xm:f>
              </x14:cfvo>
              <x14:cfvo type="num">
                <xm:f>1</xm:f>
              </x14:cfvo>
              <x14:negativeFillColor rgb="FFFF0000"/>
              <x14:axisColor rgb="FF000000"/>
            </x14:dataBar>
          </x14:cfRule>
          <xm:sqref>AP41</xm:sqref>
        </x14:conditionalFormatting>
        <x14:conditionalFormatting xmlns:xm="http://schemas.microsoft.com/office/excel/2006/main">
          <x14:cfRule type="dataBar" id="{F8EF5979-C49B-4D96-97FE-EF198FA35946}">
            <x14:dataBar minLength="0" maxLength="100" gradient="0">
              <x14:cfvo type="num">
                <xm:f>0</xm:f>
              </x14:cfvo>
              <x14:cfvo type="num">
                <xm:f>1</xm:f>
              </x14:cfvo>
              <x14:negativeFillColor rgb="FFFF0000"/>
              <x14:axisColor rgb="FF000000"/>
            </x14:dataBar>
          </x14:cfRule>
          <xm:sqref>AP43</xm:sqref>
        </x14:conditionalFormatting>
        <x14:conditionalFormatting xmlns:xm="http://schemas.microsoft.com/office/excel/2006/main">
          <x14:cfRule type="dataBar" id="{DFC61C6C-F48E-4C10-91C6-5506C264D9B0}">
            <x14:dataBar minLength="0" maxLength="100" gradient="0">
              <x14:cfvo type="num">
                <xm:f>0</xm:f>
              </x14:cfvo>
              <x14:cfvo type="num">
                <xm:f>1</xm:f>
              </x14:cfvo>
              <x14:negativeFillColor rgb="FFFF0000"/>
              <x14:axisColor rgb="FF000000"/>
            </x14:dataBar>
          </x14:cfRule>
          <xm:sqref>AP45</xm:sqref>
        </x14:conditionalFormatting>
        <x14:conditionalFormatting xmlns:xm="http://schemas.microsoft.com/office/excel/2006/main">
          <x14:cfRule type="dataBar" id="{51E38A84-7B9D-4AB3-9AC2-A0AB5FBB9470}">
            <x14:dataBar minLength="0" maxLength="100" gradient="0">
              <x14:cfvo type="num">
                <xm:f>0</xm:f>
              </x14:cfvo>
              <x14:cfvo type="num">
                <xm:f>1</xm:f>
              </x14:cfvo>
              <x14:negativeFillColor rgb="FFFF0000"/>
              <x14:axisColor rgb="FF000000"/>
            </x14:dataBar>
          </x14:cfRule>
          <xm:sqref>AP47</xm:sqref>
        </x14:conditionalFormatting>
        <x14:conditionalFormatting xmlns:xm="http://schemas.microsoft.com/office/excel/2006/main">
          <x14:cfRule type="dataBar" id="{28D102EE-BB45-4ABC-8F48-45BEE3ED6DF4}">
            <x14:dataBar minLength="0" maxLength="100" gradient="0">
              <x14:cfvo type="num">
                <xm:f>0</xm:f>
              </x14:cfvo>
              <x14:cfvo type="num">
                <xm:f>1</xm:f>
              </x14:cfvo>
              <x14:negativeFillColor rgb="FFFF0000"/>
              <x14:axisColor rgb="FF000000"/>
            </x14:dataBar>
          </x14:cfRule>
          <xm:sqref>AP49</xm:sqref>
        </x14:conditionalFormatting>
        <x14:conditionalFormatting xmlns:xm="http://schemas.microsoft.com/office/excel/2006/main">
          <x14:cfRule type="dataBar" id="{2FA3DFF1-A70F-4694-895F-0BF9AB6F9619}">
            <x14:dataBar minLength="0" maxLength="100" gradient="0">
              <x14:cfvo type="num">
                <xm:f>0</xm:f>
              </x14:cfvo>
              <x14:cfvo type="num">
                <xm:f>1</xm:f>
              </x14:cfvo>
              <x14:negativeFillColor rgb="FFFF0000"/>
              <x14:axisColor rgb="FF000000"/>
            </x14:dataBar>
          </x14:cfRule>
          <xm:sqref>AP51</xm:sqref>
        </x14:conditionalFormatting>
        <x14:conditionalFormatting xmlns:xm="http://schemas.microsoft.com/office/excel/2006/main">
          <x14:cfRule type="dataBar" id="{58BBC142-63FA-4735-AFF9-72D020344BA6}">
            <x14:dataBar minLength="0" maxLength="100" gradient="0">
              <x14:cfvo type="num">
                <xm:f>0</xm:f>
              </x14:cfvo>
              <x14:cfvo type="num">
                <xm:f>1</xm:f>
              </x14:cfvo>
              <x14:negativeFillColor rgb="FFFF0000"/>
              <x14:axisColor rgb="FF000000"/>
            </x14:dataBar>
          </x14:cfRule>
          <xm:sqref>AP53</xm:sqref>
        </x14:conditionalFormatting>
        <x14:conditionalFormatting xmlns:xm="http://schemas.microsoft.com/office/excel/2006/main">
          <x14:cfRule type="dataBar" id="{7B836A9E-E75A-402A-8C61-7637228F2D47}">
            <x14:dataBar minLength="0" maxLength="100" gradient="0">
              <x14:cfvo type="num">
                <xm:f>0</xm:f>
              </x14:cfvo>
              <x14:cfvo type="num">
                <xm:f>1</xm:f>
              </x14:cfvo>
              <x14:negativeFillColor rgb="FFFF0000"/>
              <x14:axisColor rgb="FF000000"/>
            </x14:dataBar>
          </x14:cfRule>
          <xm:sqref>AP55</xm:sqref>
        </x14:conditionalFormatting>
        <x14:conditionalFormatting xmlns:xm="http://schemas.microsoft.com/office/excel/2006/main">
          <x14:cfRule type="dataBar" id="{0B182968-634A-4446-90F4-AB19451D6EA0}">
            <x14:dataBar minLength="0" maxLength="100" gradient="0">
              <x14:cfvo type="num">
                <xm:f>0</xm:f>
              </x14:cfvo>
              <x14:cfvo type="num">
                <xm:f>1</xm:f>
              </x14:cfvo>
              <x14:negativeFillColor rgb="FFFF0000"/>
              <x14:axisColor rgb="FF000000"/>
            </x14:dataBar>
          </x14:cfRule>
          <xm:sqref>AP57</xm:sqref>
        </x14:conditionalFormatting>
        <x14:conditionalFormatting xmlns:xm="http://schemas.microsoft.com/office/excel/2006/main">
          <x14:cfRule type="dataBar" id="{8D0D4C91-C402-47ED-9362-86DAAAD6F1E7}">
            <x14:dataBar minLength="0" maxLength="100" gradient="0">
              <x14:cfvo type="num">
                <xm:f>0</xm:f>
              </x14:cfvo>
              <x14:cfvo type="num">
                <xm:f>1</xm:f>
              </x14:cfvo>
              <x14:negativeFillColor rgb="FFFF0000"/>
              <x14:axisColor rgb="FF000000"/>
            </x14:dataBar>
          </x14:cfRule>
          <xm:sqref>AQ33</xm:sqref>
        </x14:conditionalFormatting>
        <x14:conditionalFormatting xmlns:xm="http://schemas.microsoft.com/office/excel/2006/main">
          <x14:cfRule type="dataBar" id="{F2D54249-945E-4989-9499-3E68D9CCCEA1}">
            <x14:dataBar minLength="0" maxLength="100" gradient="0">
              <x14:cfvo type="num">
                <xm:f>0</xm:f>
              </x14:cfvo>
              <x14:cfvo type="num">
                <xm:f>1</xm:f>
              </x14:cfvo>
              <x14:negativeFillColor rgb="FFFF0000"/>
              <x14:axisColor rgb="FF000000"/>
            </x14:dataBar>
          </x14:cfRule>
          <xm:sqref>AQ35</xm:sqref>
        </x14:conditionalFormatting>
        <x14:conditionalFormatting xmlns:xm="http://schemas.microsoft.com/office/excel/2006/main">
          <x14:cfRule type="dataBar" id="{D731FDCF-9543-4C09-B7B4-23658AB737FE}">
            <x14:dataBar minLength="0" maxLength="100" gradient="0">
              <x14:cfvo type="num">
                <xm:f>0</xm:f>
              </x14:cfvo>
              <x14:cfvo type="num">
                <xm:f>1</xm:f>
              </x14:cfvo>
              <x14:negativeFillColor rgb="FFFF0000"/>
              <x14:axisColor rgb="FF000000"/>
            </x14:dataBar>
          </x14:cfRule>
          <xm:sqref>AQ37</xm:sqref>
        </x14:conditionalFormatting>
        <x14:conditionalFormatting xmlns:xm="http://schemas.microsoft.com/office/excel/2006/main">
          <x14:cfRule type="dataBar" id="{A652AEB6-7CEB-45A9-A8F0-D5FE65DA58F1}">
            <x14:dataBar minLength="0" maxLength="100" gradient="0">
              <x14:cfvo type="num">
                <xm:f>0</xm:f>
              </x14:cfvo>
              <x14:cfvo type="num">
                <xm:f>1</xm:f>
              </x14:cfvo>
              <x14:negativeFillColor rgb="FFFF0000"/>
              <x14:axisColor rgb="FF000000"/>
            </x14:dataBar>
          </x14:cfRule>
          <xm:sqref>AQ39</xm:sqref>
        </x14:conditionalFormatting>
        <x14:conditionalFormatting xmlns:xm="http://schemas.microsoft.com/office/excel/2006/main">
          <x14:cfRule type="dataBar" id="{7BFDD37F-2F6F-4FF5-B9D8-17D98CA7ABAC}">
            <x14:dataBar minLength="0" maxLength="100" gradient="0">
              <x14:cfvo type="num">
                <xm:f>0</xm:f>
              </x14:cfvo>
              <x14:cfvo type="num">
                <xm:f>1</xm:f>
              </x14:cfvo>
              <x14:negativeFillColor rgb="FFFF0000"/>
              <x14:axisColor rgb="FF000000"/>
            </x14:dataBar>
          </x14:cfRule>
          <xm:sqref>AQ41</xm:sqref>
        </x14:conditionalFormatting>
        <x14:conditionalFormatting xmlns:xm="http://schemas.microsoft.com/office/excel/2006/main">
          <x14:cfRule type="dataBar" id="{AD3AA21B-6FEC-450B-9F82-99B090FEB691}">
            <x14:dataBar minLength="0" maxLength="100" gradient="0">
              <x14:cfvo type="num">
                <xm:f>0</xm:f>
              </x14:cfvo>
              <x14:cfvo type="num">
                <xm:f>1</xm:f>
              </x14:cfvo>
              <x14:negativeFillColor rgb="FFFF0000"/>
              <x14:axisColor rgb="FF000000"/>
            </x14:dataBar>
          </x14:cfRule>
          <xm:sqref>AQ43</xm:sqref>
        </x14:conditionalFormatting>
        <x14:conditionalFormatting xmlns:xm="http://schemas.microsoft.com/office/excel/2006/main">
          <x14:cfRule type="dataBar" id="{721D134E-C8B6-4706-9C2E-AC3C8EE04C15}">
            <x14:dataBar minLength="0" maxLength="100" gradient="0">
              <x14:cfvo type="num">
                <xm:f>0</xm:f>
              </x14:cfvo>
              <x14:cfvo type="num">
                <xm:f>1</xm:f>
              </x14:cfvo>
              <x14:negativeFillColor rgb="FFFF0000"/>
              <x14:axisColor rgb="FF000000"/>
            </x14:dataBar>
          </x14:cfRule>
          <xm:sqref>AQ45</xm:sqref>
        </x14:conditionalFormatting>
        <x14:conditionalFormatting xmlns:xm="http://schemas.microsoft.com/office/excel/2006/main">
          <x14:cfRule type="dataBar" id="{06FFD326-E9D5-4CE3-AC60-2C08815C8CBD}">
            <x14:dataBar minLength="0" maxLength="100" gradient="0">
              <x14:cfvo type="num">
                <xm:f>0</xm:f>
              </x14:cfvo>
              <x14:cfvo type="num">
                <xm:f>1</xm:f>
              </x14:cfvo>
              <x14:negativeFillColor rgb="FFFF0000"/>
              <x14:axisColor rgb="FF000000"/>
            </x14:dataBar>
          </x14:cfRule>
          <xm:sqref>AQ47</xm:sqref>
        </x14:conditionalFormatting>
        <x14:conditionalFormatting xmlns:xm="http://schemas.microsoft.com/office/excel/2006/main">
          <x14:cfRule type="dataBar" id="{4AF723F2-B1A5-472C-AB04-4084E52DF7B0}">
            <x14:dataBar minLength="0" maxLength="100" gradient="0">
              <x14:cfvo type="num">
                <xm:f>0</xm:f>
              </x14:cfvo>
              <x14:cfvo type="num">
                <xm:f>1</xm:f>
              </x14:cfvo>
              <x14:negativeFillColor rgb="FFFF0000"/>
              <x14:axisColor rgb="FF000000"/>
            </x14:dataBar>
          </x14:cfRule>
          <xm:sqref>AQ49</xm:sqref>
        </x14:conditionalFormatting>
        <x14:conditionalFormatting xmlns:xm="http://schemas.microsoft.com/office/excel/2006/main">
          <x14:cfRule type="dataBar" id="{C9ED88F0-AC4D-46A6-B4BE-951A866B1724}">
            <x14:dataBar minLength="0" maxLength="100" gradient="0">
              <x14:cfvo type="num">
                <xm:f>0</xm:f>
              </x14:cfvo>
              <x14:cfvo type="num">
                <xm:f>1</xm:f>
              </x14:cfvo>
              <x14:negativeFillColor rgb="FFFF0000"/>
              <x14:axisColor rgb="FF000000"/>
            </x14:dataBar>
          </x14:cfRule>
          <xm:sqref>AQ51</xm:sqref>
        </x14:conditionalFormatting>
        <x14:conditionalFormatting xmlns:xm="http://schemas.microsoft.com/office/excel/2006/main">
          <x14:cfRule type="dataBar" id="{BBF38311-80E2-4397-9C5B-5EE36F06DFA8}">
            <x14:dataBar minLength="0" maxLength="100" gradient="0">
              <x14:cfvo type="num">
                <xm:f>0</xm:f>
              </x14:cfvo>
              <x14:cfvo type="num">
                <xm:f>1</xm:f>
              </x14:cfvo>
              <x14:negativeFillColor rgb="FFFF0000"/>
              <x14:axisColor rgb="FF000000"/>
            </x14:dataBar>
          </x14:cfRule>
          <xm:sqref>AQ53</xm:sqref>
        </x14:conditionalFormatting>
        <x14:conditionalFormatting xmlns:xm="http://schemas.microsoft.com/office/excel/2006/main">
          <x14:cfRule type="dataBar" id="{5213F289-1392-40C1-B0D6-838E60393B10}">
            <x14:dataBar minLength="0" maxLength="100" gradient="0">
              <x14:cfvo type="num">
                <xm:f>0</xm:f>
              </x14:cfvo>
              <x14:cfvo type="num">
                <xm:f>1</xm:f>
              </x14:cfvo>
              <x14:negativeFillColor rgb="FFFF0000"/>
              <x14:axisColor rgb="FF000000"/>
            </x14:dataBar>
          </x14:cfRule>
          <xm:sqref>AQ55</xm:sqref>
        </x14:conditionalFormatting>
        <x14:conditionalFormatting xmlns:xm="http://schemas.microsoft.com/office/excel/2006/main">
          <x14:cfRule type="dataBar" id="{F328423C-064D-41C1-A889-F47FD133C6BC}">
            <x14:dataBar minLength="0" maxLength="100" gradient="0">
              <x14:cfvo type="num">
                <xm:f>0</xm:f>
              </x14:cfvo>
              <x14:cfvo type="num">
                <xm:f>1</xm:f>
              </x14:cfvo>
              <x14:negativeFillColor rgb="FFFF0000"/>
              <x14:axisColor rgb="FF000000"/>
            </x14:dataBar>
          </x14:cfRule>
          <xm:sqref>AQ57</xm:sqref>
        </x14:conditionalFormatting>
        <x14:conditionalFormatting xmlns:xm="http://schemas.microsoft.com/office/excel/2006/main">
          <x14:cfRule type="dataBar" id="{5D32B9B8-38D8-40D6-AA35-5EFFD24D3904}">
            <x14:dataBar minLength="0" maxLength="100" gradient="0">
              <x14:cfvo type="num">
                <xm:f>0</xm:f>
              </x14:cfvo>
              <x14:cfvo type="num">
                <xm:f>1</xm:f>
              </x14:cfvo>
              <x14:negativeFillColor rgb="FFFF0000"/>
              <x14:axisColor rgb="FF000000"/>
            </x14:dataBar>
          </x14:cfRule>
          <xm:sqref>AR33</xm:sqref>
        </x14:conditionalFormatting>
        <x14:conditionalFormatting xmlns:xm="http://schemas.microsoft.com/office/excel/2006/main">
          <x14:cfRule type="dataBar" id="{225B4292-D1BB-403B-959A-879948CBBDC6}">
            <x14:dataBar minLength="0" maxLength="100" gradient="0">
              <x14:cfvo type="num">
                <xm:f>0</xm:f>
              </x14:cfvo>
              <x14:cfvo type="num">
                <xm:f>1</xm:f>
              </x14:cfvo>
              <x14:negativeFillColor rgb="FFFF0000"/>
              <x14:axisColor rgb="FF000000"/>
            </x14:dataBar>
          </x14:cfRule>
          <xm:sqref>AR35</xm:sqref>
        </x14:conditionalFormatting>
        <x14:conditionalFormatting xmlns:xm="http://schemas.microsoft.com/office/excel/2006/main">
          <x14:cfRule type="dataBar" id="{8EAC8022-2693-4A8B-829A-84BFDF418500}">
            <x14:dataBar minLength="0" maxLength="100" gradient="0">
              <x14:cfvo type="num">
                <xm:f>0</xm:f>
              </x14:cfvo>
              <x14:cfvo type="num">
                <xm:f>1</xm:f>
              </x14:cfvo>
              <x14:negativeFillColor rgb="FFFF0000"/>
              <x14:axisColor rgb="FF000000"/>
            </x14:dataBar>
          </x14:cfRule>
          <xm:sqref>AR37</xm:sqref>
        </x14:conditionalFormatting>
        <x14:conditionalFormatting xmlns:xm="http://schemas.microsoft.com/office/excel/2006/main">
          <x14:cfRule type="dataBar" id="{8D5341CD-02C0-488A-92E1-056AF17D83B5}">
            <x14:dataBar minLength="0" maxLength="100" gradient="0">
              <x14:cfvo type="num">
                <xm:f>0</xm:f>
              </x14:cfvo>
              <x14:cfvo type="num">
                <xm:f>1</xm:f>
              </x14:cfvo>
              <x14:negativeFillColor rgb="FFFF0000"/>
              <x14:axisColor rgb="FF000000"/>
            </x14:dataBar>
          </x14:cfRule>
          <xm:sqref>AR39</xm:sqref>
        </x14:conditionalFormatting>
        <x14:conditionalFormatting xmlns:xm="http://schemas.microsoft.com/office/excel/2006/main">
          <x14:cfRule type="dataBar" id="{B4B0E30A-438C-4190-B49D-215DD7FC69AB}">
            <x14:dataBar minLength="0" maxLength="100" gradient="0">
              <x14:cfvo type="num">
                <xm:f>0</xm:f>
              </x14:cfvo>
              <x14:cfvo type="num">
                <xm:f>1</xm:f>
              </x14:cfvo>
              <x14:negativeFillColor rgb="FFFF0000"/>
              <x14:axisColor rgb="FF000000"/>
            </x14:dataBar>
          </x14:cfRule>
          <xm:sqref>AR41</xm:sqref>
        </x14:conditionalFormatting>
        <x14:conditionalFormatting xmlns:xm="http://schemas.microsoft.com/office/excel/2006/main">
          <x14:cfRule type="dataBar" id="{0C245372-6DE3-47EF-B1E2-E25D65130C94}">
            <x14:dataBar minLength="0" maxLength="100" gradient="0">
              <x14:cfvo type="num">
                <xm:f>0</xm:f>
              </x14:cfvo>
              <x14:cfvo type="num">
                <xm:f>1</xm:f>
              </x14:cfvo>
              <x14:negativeFillColor rgb="FFFF0000"/>
              <x14:axisColor rgb="FF000000"/>
            </x14:dataBar>
          </x14:cfRule>
          <xm:sqref>AR43</xm:sqref>
        </x14:conditionalFormatting>
        <x14:conditionalFormatting xmlns:xm="http://schemas.microsoft.com/office/excel/2006/main">
          <x14:cfRule type="dataBar" id="{4E7C3D7D-5896-4125-8617-D66471CB08CC}">
            <x14:dataBar minLength="0" maxLength="100" gradient="0">
              <x14:cfvo type="num">
                <xm:f>0</xm:f>
              </x14:cfvo>
              <x14:cfvo type="num">
                <xm:f>1</xm:f>
              </x14:cfvo>
              <x14:negativeFillColor rgb="FFFF0000"/>
              <x14:axisColor rgb="FF000000"/>
            </x14:dataBar>
          </x14:cfRule>
          <xm:sqref>AR45</xm:sqref>
        </x14:conditionalFormatting>
        <x14:conditionalFormatting xmlns:xm="http://schemas.microsoft.com/office/excel/2006/main">
          <x14:cfRule type="dataBar" id="{75F55806-1833-4E98-82B5-A9662467669E}">
            <x14:dataBar minLength="0" maxLength="100" gradient="0">
              <x14:cfvo type="num">
                <xm:f>0</xm:f>
              </x14:cfvo>
              <x14:cfvo type="num">
                <xm:f>1</xm:f>
              </x14:cfvo>
              <x14:negativeFillColor rgb="FFFF0000"/>
              <x14:axisColor rgb="FF000000"/>
            </x14:dataBar>
          </x14:cfRule>
          <xm:sqref>AR47</xm:sqref>
        </x14:conditionalFormatting>
        <x14:conditionalFormatting xmlns:xm="http://schemas.microsoft.com/office/excel/2006/main">
          <x14:cfRule type="dataBar" id="{2DA9D53F-7719-43C4-B19F-338D346D5DA5}">
            <x14:dataBar minLength="0" maxLength="100" gradient="0">
              <x14:cfvo type="num">
                <xm:f>0</xm:f>
              </x14:cfvo>
              <x14:cfvo type="num">
                <xm:f>1</xm:f>
              </x14:cfvo>
              <x14:negativeFillColor rgb="FFFF0000"/>
              <x14:axisColor rgb="FF000000"/>
            </x14:dataBar>
          </x14:cfRule>
          <xm:sqref>AR49</xm:sqref>
        </x14:conditionalFormatting>
        <x14:conditionalFormatting xmlns:xm="http://schemas.microsoft.com/office/excel/2006/main">
          <x14:cfRule type="dataBar" id="{F75F1CE9-E652-4494-AA75-1A5DDB8C66B7}">
            <x14:dataBar minLength="0" maxLength="100" gradient="0">
              <x14:cfvo type="num">
                <xm:f>0</xm:f>
              </x14:cfvo>
              <x14:cfvo type="num">
                <xm:f>1</xm:f>
              </x14:cfvo>
              <x14:negativeFillColor rgb="FFFF0000"/>
              <x14:axisColor rgb="FF000000"/>
            </x14:dataBar>
          </x14:cfRule>
          <xm:sqref>AR51</xm:sqref>
        </x14:conditionalFormatting>
        <x14:conditionalFormatting xmlns:xm="http://schemas.microsoft.com/office/excel/2006/main">
          <x14:cfRule type="dataBar" id="{F337C5C7-F844-4F46-8178-4D58FC065996}">
            <x14:dataBar minLength="0" maxLength="100" gradient="0">
              <x14:cfvo type="num">
                <xm:f>0</xm:f>
              </x14:cfvo>
              <x14:cfvo type="num">
                <xm:f>1</xm:f>
              </x14:cfvo>
              <x14:negativeFillColor rgb="FFFF0000"/>
              <x14:axisColor rgb="FF000000"/>
            </x14:dataBar>
          </x14:cfRule>
          <xm:sqref>AR53</xm:sqref>
        </x14:conditionalFormatting>
        <x14:conditionalFormatting xmlns:xm="http://schemas.microsoft.com/office/excel/2006/main">
          <x14:cfRule type="dataBar" id="{93B20AF7-874A-48BD-8069-6E8C25D24309}">
            <x14:dataBar minLength="0" maxLength="100" gradient="0">
              <x14:cfvo type="num">
                <xm:f>0</xm:f>
              </x14:cfvo>
              <x14:cfvo type="num">
                <xm:f>1</xm:f>
              </x14:cfvo>
              <x14:negativeFillColor rgb="FFFF0000"/>
              <x14:axisColor rgb="FF000000"/>
            </x14:dataBar>
          </x14:cfRule>
          <xm:sqref>AR55</xm:sqref>
        </x14:conditionalFormatting>
        <x14:conditionalFormatting xmlns:xm="http://schemas.microsoft.com/office/excel/2006/main">
          <x14:cfRule type="dataBar" id="{B6B9819F-9AF3-4D13-B381-5F7091555023}">
            <x14:dataBar minLength="0" maxLength="100" gradient="0">
              <x14:cfvo type="num">
                <xm:f>0</xm:f>
              </x14:cfvo>
              <x14:cfvo type="num">
                <xm:f>1</xm:f>
              </x14:cfvo>
              <x14:negativeFillColor rgb="FFFF0000"/>
              <x14:axisColor rgb="FF000000"/>
            </x14:dataBar>
          </x14:cfRule>
          <xm:sqref>AR57</xm:sqref>
        </x14:conditionalFormatting>
        <x14:conditionalFormatting xmlns:xm="http://schemas.microsoft.com/office/excel/2006/main">
          <x14:cfRule type="dataBar" id="{5E99D467-E268-4E41-8D97-9931E7862B89}">
            <x14:dataBar minLength="0" maxLength="100" gradient="0">
              <x14:cfvo type="num">
                <xm:f>0</xm:f>
              </x14:cfvo>
              <x14:cfvo type="num">
                <xm:f>1</xm:f>
              </x14:cfvo>
              <x14:negativeFillColor rgb="FFFF0000"/>
              <x14:axisColor rgb="FF000000"/>
            </x14:dataBar>
          </x14:cfRule>
          <xm:sqref>AS33</xm:sqref>
        </x14:conditionalFormatting>
        <x14:conditionalFormatting xmlns:xm="http://schemas.microsoft.com/office/excel/2006/main">
          <x14:cfRule type="dataBar" id="{5AF26720-5C2D-4793-B0D4-DFD96BE3F9BA}">
            <x14:dataBar minLength="0" maxLength="100" gradient="0">
              <x14:cfvo type="num">
                <xm:f>0</xm:f>
              </x14:cfvo>
              <x14:cfvo type="num">
                <xm:f>1</xm:f>
              </x14:cfvo>
              <x14:negativeFillColor rgb="FFFF0000"/>
              <x14:axisColor rgb="FF000000"/>
            </x14:dataBar>
          </x14:cfRule>
          <xm:sqref>AS35</xm:sqref>
        </x14:conditionalFormatting>
        <x14:conditionalFormatting xmlns:xm="http://schemas.microsoft.com/office/excel/2006/main">
          <x14:cfRule type="dataBar" id="{FEC04B4C-7E13-47D7-B7C1-E2487013C9DC}">
            <x14:dataBar minLength="0" maxLength="100" gradient="0">
              <x14:cfvo type="num">
                <xm:f>0</xm:f>
              </x14:cfvo>
              <x14:cfvo type="num">
                <xm:f>1</xm:f>
              </x14:cfvo>
              <x14:negativeFillColor rgb="FFFF0000"/>
              <x14:axisColor rgb="FF000000"/>
            </x14:dataBar>
          </x14:cfRule>
          <xm:sqref>AS37</xm:sqref>
        </x14:conditionalFormatting>
        <x14:conditionalFormatting xmlns:xm="http://schemas.microsoft.com/office/excel/2006/main">
          <x14:cfRule type="dataBar" id="{CDFB7317-A72B-4306-91C5-E62336783D96}">
            <x14:dataBar minLength="0" maxLength="100" gradient="0">
              <x14:cfvo type="num">
                <xm:f>0</xm:f>
              </x14:cfvo>
              <x14:cfvo type="num">
                <xm:f>1</xm:f>
              </x14:cfvo>
              <x14:negativeFillColor rgb="FFFF0000"/>
              <x14:axisColor rgb="FF000000"/>
            </x14:dataBar>
          </x14:cfRule>
          <xm:sqref>AS39</xm:sqref>
        </x14:conditionalFormatting>
        <x14:conditionalFormatting xmlns:xm="http://schemas.microsoft.com/office/excel/2006/main">
          <x14:cfRule type="dataBar" id="{E0252B96-6C79-4ABF-9BAB-9AA927B2F5E7}">
            <x14:dataBar minLength="0" maxLength="100" gradient="0">
              <x14:cfvo type="num">
                <xm:f>0</xm:f>
              </x14:cfvo>
              <x14:cfvo type="num">
                <xm:f>1</xm:f>
              </x14:cfvo>
              <x14:negativeFillColor rgb="FFFF0000"/>
              <x14:axisColor rgb="FF000000"/>
            </x14:dataBar>
          </x14:cfRule>
          <xm:sqref>AS41</xm:sqref>
        </x14:conditionalFormatting>
        <x14:conditionalFormatting xmlns:xm="http://schemas.microsoft.com/office/excel/2006/main">
          <x14:cfRule type="dataBar" id="{B611EF6F-185D-4308-B65A-A8D8C6B18F1A}">
            <x14:dataBar minLength="0" maxLength="100" gradient="0">
              <x14:cfvo type="num">
                <xm:f>0</xm:f>
              </x14:cfvo>
              <x14:cfvo type="num">
                <xm:f>1</xm:f>
              </x14:cfvo>
              <x14:negativeFillColor rgb="FFFF0000"/>
              <x14:axisColor rgb="FF000000"/>
            </x14:dataBar>
          </x14:cfRule>
          <xm:sqref>AS43</xm:sqref>
        </x14:conditionalFormatting>
        <x14:conditionalFormatting xmlns:xm="http://schemas.microsoft.com/office/excel/2006/main">
          <x14:cfRule type="dataBar" id="{B9B5D6B1-832F-4293-B589-D3BFB6D2BB0F}">
            <x14:dataBar minLength="0" maxLength="100" gradient="0">
              <x14:cfvo type="num">
                <xm:f>0</xm:f>
              </x14:cfvo>
              <x14:cfvo type="num">
                <xm:f>1</xm:f>
              </x14:cfvo>
              <x14:negativeFillColor rgb="FFFF0000"/>
              <x14:axisColor rgb="FF000000"/>
            </x14:dataBar>
          </x14:cfRule>
          <xm:sqref>AS45</xm:sqref>
        </x14:conditionalFormatting>
        <x14:conditionalFormatting xmlns:xm="http://schemas.microsoft.com/office/excel/2006/main">
          <x14:cfRule type="dataBar" id="{624AB035-E4A4-4C8A-B417-1503AD33879F}">
            <x14:dataBar minLength="0" maxLength="100" gradient="0">
              <x14:cfvo type="num">
                <xm:f>0</xm:f>
              </x14:cfvo>
              <x14:cfvo type="num">
                <xm:f>1</xm:f>
              </x14:cfvo>
              <x14:negativeFillColor rgb="FFFF0000"/>
              <x14:axisColor rgb="FF000000"/>
            </x14:dataBar>
          </x14:cfRule>
          <xm:sqref>AS47</xm:sqref>
        </x14:conditionalFormatting>
        <x14:conditionalFormatting xmlns:xm="http://schemas.microsoft.com/office/excel/2006/main">
          <x14:cfRule type="dataBar" id="{6D477C1A-8F4D-46B0-BD7C-AF56BFD31920}">
            <x14:dataBar minLength="0" maxLength="100" gradient="0">
              <x14:cfvo type="num">
                <xm:f>0</xm:f>
              </x14:cfvo>
              <x14:cfvo type="num">
                <xm:f>1</xm:f>
              </x14:cfvo>
              <x14:negativeFillColor rgb="FFFF0000"/>
              <x14:axisColor rgb="FF000000"/>
            </x14:dataBar>
          </x14:cfRule>
          <xm:sqref>AS49</xm:sqref>
        </x14:conditionalFormatting>
        <x14:conditionalFormatting xmlns:xm="http://schemas.microsoft.com/office/excel/2006/main">
          <x14:cfRule type="dataBar" id="{34C50888-7245-4B0F-AE64-51FB54CF81B0}">
            <x14:dataBar minLength="0" maxLength="100" gradient="0">
              <x14:cfvo type="num">
                <xm:f>0</xm:f>
              </x14:cfvo>
              <x14:cfvo type="num">
                <xm:f>1</xm:f>
              </x14:cfvo>
              <x14:negativeFillColor rgb="FFFF0000"/>
              <x14:axisColor rgb="FF000000"/>
            </x14:dataBar>
          </x14:cfRule>
          <xm:sqref>AS51</xm:sqref>
        </x14:conditionalFormatting>
        <x14:conditionalFormatting xmlns:xm="http://schemas.microsoft.com/office/excel/2006/main">
          <x14:cfRule type="dataBar" id="{5FFC351D-7355-42FC-8E49-6DD5C954526A}">
            <x14:dataBar minLength="0" maxLength="100" gradient="0">
              <x14:cfvo type="num">
                <xm:f>0</xm:f>
              </x14:cfvo>
              <x14:cfvo type="num">
                <xm:f>1</xm:f>
              </x14:cfvo>
              <x14:negativeFillColor rgb="FFFF0000"/>
              <x14:axisColor rgb="FF000000"/>
            </x14:dataBar>
          </x14:cfRule>
          <xm:sqref>AS53</xm:sqref>
        </x14:conditionalFormatting>
        <x14:conditionalFormatting xmlns:xm="http://schemas.microsoft.com/office/excel/2006/main">
          <x14:cfRule type="dataBar" id="{70105922-52B1-451B-9E9A-3462AD44D484}">
            <x14:dataBar minLength="0" maxLength="100" gradient="0">
              <x14:cfvo type="num">
                <xm:f>0</xm:f>
              </x14:cfvo>
              <x14:cfvo type="num">
                <xm:f>1</xm:f>
              </x14:cfvo>
              <x14:negativeFillColor rgb="FFFF0000"/>
              <x14:axisColor rgb="FF000000"/>
            </x14:dataBar>
          </x14:cfRule>
          <xm:sqref>AS55</xm:sqref>
        </x14:conditionalFormatting>
        <x14:conditionalFormatting xmlns:xm="http://schemas.microsoft.com/office/excel/2006/main">
          <x14:cfRule type="dataBar" id="{7DEAEBCB-5328-44B3-B2D9-BD26CF5FBB00}">
            <x14:dataBar minLength="0" maxLength="100" gradient="0">
              <x14:cfvo type="num">
                <xm:f>0</xm:f>
              </x14:cfvo>
              <x14:cfvo type="num">
                <xm:f>1</xm:f>
              </x14:cfvo>
              <x14:negativeFillColor rgb="FFFF0000"/>
              <x14:axisColor rgb="FF000000"/>
            </x14:dataBar>
          </x14:cfRule>
          <xm:sqref>AS57</xm:sqref>
        </x14:conditionalFormatting>
        <x14:conditionalFormatting xmlns:xm="http://schemas.microsoft.com/office/excel/2006/main">
          <x14:cfRule type="dataBar" id="{1DDA5695-0AEC-44F6-8ED8-FC5CD67DC465}">
            <x14:dataBar minLength="0" maxLength="100" gradient="0">
              <x14:cfvo type="num">
                <xm:f>0</xm:f>
              </x14:cfvo>
              <x14:cfvo type="num">
                <xm:f>1</xm:f>
              </x14:cfvo>
              <x14:negativeFillColor rgb="FFFF0000"/>
              <x14:axisColor rgb="FF000000"/>
            </x14:dataBar>
          </x14:cfRule>
          <xm:sqref>AT33</xm:sqref>
        </x14:conditionalFormatting>
        <x14:conditionalFormatting xmlns:xm="http://schemas.microsoft.com/office/excel/2006/main">
          <x14:cfRule type="dataBar" id="{36A9D9A5-FF9D-48D8-BEB7-31212548C67A}">
            <x14:dataBar minLength="0" maxLength="100" gradient="0">
              <x14:cfvo type="num">
                <xm:f>0</xm:f>
              </x14:cfvo>
              <x14:cfvo type="num">
                <xm:f>1</xm:f>
              </x14:cfvo>
              <x14:negativeFillColor rgb="FFFF0000"/>
              <x14:axisColor rgb="FF000000"/>
            </x14:dataBar>
          </x14:cfRule>
          <xm:sqref>AT35</xm:sqref>
        </x14:conditionalFormatting>
        <x14:conditionalFormatting xmlns:xm="http://schemas.microsoft.com/office/excel/2006/main">
          <x14:cfRule type="dataBar" id="{85FB245E-5F4A-4ADE-A33F-40DF11A08DF6}">
            <x14:dataBar minLength="0" maxLength="100" gradient="0">
              <x14:cfvo type="num">
                <xm:f>0</xm:f>
              </x14:cfvo>
              <x14:cfvo type="num">
                <xm:f>1</xm:f>
              </x14:cfvo>
              <x14:negativeFillColor rgb="FFFF0000"/>
              <x14:axisColor rgb="FF000000"/>
            </x14:dataBar>
          </x14:cfRule>
          <xm:sqref>AT37</xm:sqref>
        </x14:conditionalFormatting>
        <x14:conditionalFormatting xmlns:xm="http://schemas.microsoft.com/office/excel/2006/main">
          <x14:cfRule type="dataBar" id="{87AFB553-12C5-41B4-BBEF-D47C7BAFBCA4}">
            <x14:dataBar minLength="0" maxLength="100" gradient="0">
              <x14:cfvo type="num">
                <xm:f>0</xm:f>
              </x14:cfvo>
              <x14:cfvo type="num">
                <xm:f>1</xm:f>
              </x14:cfvo>
              <x14:negativeFillColor rgb="FFFF0000"/>
              <x14:axisColor rgb="FF000000"/>
            </x14:dataBar>
          </x14:cfRule>
          <xm:sqref>AT39</xm:sqref>
        </x14:conditionalFormatting>
        <x14:conditionalFormatting xmlns:xm="http://schemas.microsoft.com/office/excel/2006/main">
          <x14:cfRule type="dataBar" id="{9290C28B-D33F-4A16-A495-4891AEA90024}">
            <x14:dataBar minLength="0" maxLength="100" gradient="0">
              <x14:cfvo type="num">
                <xm:f>0</xm:f>
              </x14:cfvo>
              <x14:cfvo type="num">
                <xm:f>1</xm:f>
              </x14:cfvo>
              <x14:negativeFillColor rgb="FFFF0000"/>
              <x14:axisColor rgb="FF000000"/>
            </x14:dataBar>
          </x14:cfRule>
          <xm:sqref>AT41</xm:sqref>
        </x14:conditionalFormatting>
        <x14:conditionalFormatting xmlns:xm="http://schemas.microsoft.com/office/excel/2006/main">
          <x14:cfRule type="dataBar" id="{7A013018-ED82-4F36-91A0-D25265241AC2}">
            <x14:dataBar minLength="0" maxLength="100" gradient="0">
              <x14:cfvo type="num">
                <xm:f>0</xm:f>
              </x14:cfvo>
              <x14:cfvo type="num">
                <xm:f>1</xm:f>
              </x14:cfvo>
              <x14:negativeFillColor rgb="FFFF0000"/>
              <x14:axisColor rgb="FF000000"/>
            </x14:dataBar>
          </x14:cfRule>
          <xm:sqref>AT43</xm:sqref>
        </x14:conditionalFormatting>
        <x14:conditionalFormatting xmlns:xm="http://schemas.microsoft.com/office/excel/2006/main">
          <x14:cfRule type="dataBar" id="{4C42FA35-2955-4A27-B9E3-0A2EF25A39A7}">
            <x14:dataBar minLength="0" maxLength="100" gradient="0">
              <x14:cfvo type="num">
                <xm:f>0</xm:f>
              </x14:cfvo>
              <x14:cfvo type="num">
                <xm:f>1</xm:f>
              </x14:cfvo>
              <x14:negativeFillColor rgb="FFFF0000"/>
              <x14:axisColor rgb="FF000000"/>
            </x14:dataBar>
          </x14:cfRule>
          <xm:sqref>AT45</xm:sqref>
        </x14:conditionalFormatting>
        <x14:conditionalFormatting xmlns:xm="http://schemas.microsoft.com/office/excel/2006/main">
          <x14:cfRule type="dataBar" id="{6BD64FAC-CBC0-4A22-9C5E-BB64CB92B131}">
            <x14:dataBar minLength="0" maxLength="100" gradient="0">
              <x14:cfvo type="num">
                <xm:f>0</xm:f>
              </x14:cfvo>
              <x14:cfvo type="num">
                <xm:f>1</xm:f>
              </x14:cfvo>
              <x14:negativeFillColor rgb="FFFF0000"/>
              <x14:axisColor rgb="FF000000"/>
            </x14:dataBar>
          </x14:cfRule>
          <xm:sqref>AT47</xm:sqref>
        </x14:conditionalFormatting>
        <x14:conditionalFormatting xmlns:xm="http://schemas.microsoft.com/office/excel/2006/main">
          <x14:cfRule type="dataBar" id="{03630DE6-6623-488C-816C-046C918AFBD2}">
            <x14:dataBar minLength="0" maxLength="100" gradient="0">
              <x14:cfvo type="num">
                <xm:f>0</xm:f>
              </x14:cfvo>
              <x14:cfvo type="num">
                <xm:f>1</xm:f>
              </x14:cfvo>
              <x14:negativeFillColor rgb="FFFF0000"/>
              <x14:axisColor rgb="FF000000"/>
            </x14:dataBar>
          </x14:cfRule>
          <xm:sqref>AT49</xm:sqref>
        </x14:conditionalFormatting>
        <x14:conditionalFormatting xmlns:xm="http://schemas.microsoft.com/office/excel/2006/main">
          <x14:cfRule type="dataBar" id="{3DE5ECAE-4B69-4E62-B214-24212D4CA014}">
            <x14:dataBar minLength="0" maxLength="100" gradient="0">
              <x14:cfvo type="num">
                <xm:f>0</xm:f>
              </x14:cfvo>
              <x14:cfvo type="num">
                <xm:f>1</xm:f>
              </x14:cfvo>
              <x14:negativeFillColor rgb="FFFF0000"/>
              <x14:axisColor rgb="FF000000"/>
            </x14:dataBar>
          </x14:cfRule>
          <xm:sqref>AT51</xm:sqref>
        </x14:conditionalFormatting>
        <x14:conditionalFormatting xmlns:xm="http://schemas.microsoft.com/office/excel/2006/main">
          <x14:cfRule type="dataBar" id="{91E3E7FB-CD92-4A7E-88BC-C671B4706842}">
            <x14:dataBar minLength="0" maxLength="100" gradient="0">
              <x14:cfvo type="num">
                <xm:f>0</xm:f>
              </x14:cfvo>
              <x14:cfvo type="num">
                <xm:f>1</xm:f>
              </x14:cfvo>
              <x14:negativeFillColor rgb="FFFF0000"/>
              <x14:axisColor rgb="FF000000"/>
            </x14:dataBar>
          </x14:cfRule>
          <xm:sqref>AT53</xm:sqref>
        </x14:conditionalFormatting>
        <x14:conditionalFormatting xmlns:xm="http://schemas.microsoft.com/office/excel/2006/main">
          <x14:cfRule type="dataBar" id="{A48A3328-C14D-4825-8298-8A7F8CDA649F}">
            <x14:dataBar minLength="0" maxLength="100" gradient="0">
              <x14:cfvo type="num">
                <xm:f>0</xm:f>
              </x14:cfvo>
              <x14:cfvo type="num">
                <xm:f>1</xm:f>
              </x14:cfvo>
              <x14:negativeFillColor rgb="FFFF0000"/>
              <x14:axisColor rgb="FF000000"/>
            </x14:dataBar>
          </x14:cfRule>
          <xm:sqref>AT55</xm:sqref>
        </x14:conditionalFormatting>
        <x14:conditionalFormatting xmlns:xm="http://schemas.microsoft.com/office/excel/2006/main">
          <x14:cfRule type="dataBar" id="{D1BF2EAC-6382-4640-8D5D-1C20083C0B9D}">
            <x14:dataBar minLength="0" maxLength="100" gradient="0">
              <x14:cfvo type="num">
                <xm:f>0</xm:f>
              </x14:cfvo>
              <x14:cfvo type="num">
                <xm:f>1</xm:f>
              </x14:cfvo>
              <x14:negativeFillColor rgb="FFFF0000"/>
              <x14:axisColor rgb="FF000000"/>
            </x14:dataBar>
          </x14:cfRule>
          <xm:sqref>AT57</xm:sqref>
        </x14:conditionalFormatting>
        <x14:conditionalFormatting xmlns:xm="http://schemas.microsoft.com/office/excel/2006/main">
          <x14:cfRule type="dataBar" id="{BCF0C17E-3EC6-49FB-A594-CEFAE6371BD1}">
            <x14:dataBar minLength="0" maxLength="100" gradient="0">
              <x14:cfvo type="num">
                <xm:f>0</xm:f>
              </x14:cfvo>
              <x14:cfvo type="num">
                <xm:f>1</xm:f>
              </x14:cfvo>
              <x14:negativeFillColor rgb="FFFF0000"/>
              <x14:axisColor rgb="FF000000"/>
            </x14:dataBar>
          </x14:cfRule>
          <xm:sqref>AU33</xm:sqref>
        </x14:conditionalFormatting>
        <x14:conditionalFormatting xmlns:xm="http://schemas.microsoft.com/office/excel/2006/main">
          <x14:cfRule type="dataBar" id="{CDDA2F12-1297-475A-A1D4-06C54D9BBA1F}">
            <x14:dataBar minLength="0" maxLength="100" gradient="0">
              <x14:cfvo type="num">
                <xm:f>0</xm:f>
              </x14:cfvo>
              <x14:cfvo type="num">
                <xm:f>1</xm:f>
              </x14:cfvo>
              <x14:negativeFillColor rgb="FFFF0000"/>
              <x14:axisColor rgb="FF000000"/>
            </x14:dataBar>
          </x14:cfRule>
          <xm:sqref>AU35</xm:sqref>
        </x14:conditionalFormatting>
        <x14:conditionalFormatting xmlns:xm="http://schemas.microsoft.com/office/excel/2006/main">
          <x14:cfRule type="dataBar" id="{C3BFE3FC-63F6-4263-ADC9-B24FD1A38253}">
            <x14:dataBar minLength="0" maxLength="100" gradient="0">
              <x14:cfvo type="num">
                <xm:f>0</xm:f>
              </x14:cfvo>
              <x14:cfvo type="num">
                <xm:f>1</xm:f>
              </x14:cfvo>
              <x14:negativeFillColor rgb="FFFF0000"/>
              <x14:axisColor rgb="FF000000"/>
            </x14:dataBar>
          </x14:cfRule>
          <xm:sqref>AU37</xm:sqref>
        </x14:conditionalFormatting>
        <x14:conditionalFormatting xmlns:xm="http://schemas.microsoft.com/office/excel/2006/main">
          <x14:cfRule type="dataBar" id="{B891471E-6132-4DC8-BFAE-8B0AD8FD472F}">
            <x14:dataBar minLength="0" maxLength="100" gradient="0">
              <x14:cfvo type="num">
                <xm:f>0</xm:f>
              </x14:cfvo>
              <x14:cfvo type="num">
                <xm:f>1</xm:f>
              </x14:cfvo>
              <x14:negativeFillColor rgb="FFFF0000"/>
              <x14:axisColor rgb="FF000000"/>
            </x14:dataBar>
          </x14:cfRule>
          <xm:sqref>AU39</xm:sqref>
        </x14:conditionalFormatting>
        <x14:conditionalFormatting xmlns:xm="http://schemas.microsoft.com/office/excel/2006/main">
          <x14:cfRule type="dataBar" id="{6D9141F3-358E-48B9-B94F-8EB61185C947}">
            <x14:dataBar minLength="0" maxLength="100" gradient="0">
              <x14:cfvo type="num">
                <xm:f>0</xm:f>
              </x14:cfvo>
              <x14:cfvo type="num">
                <xm:f>1</xm:f>
              </x14:cfvo>
              <x14:negativeFillColor rgb="FFFF0000"/>
              <x14:axisColor rgb="FF000000"/>
            </x14:dataBar>
          </x14:cfRule>
          <xm:sqref>AU41</xm:sqref>
        </x14:conditionalFormatting>
        <x14:conditionalFormatting xmlns:xm="http://schemas.microsoft.com/office/excel/2006/main">
          <x14:cfRule type="dataBar" id="{ED133403-3D9C-420F-B420-8A655745AB8A}">
            <x14:dataBar minLength="0" maxLength="100" gradient="0">
              <x14:cfvo type="num">
                <xm:f>0</xm:f>
              </x14:cfvo>
              <x14:cfvo type="num">
                <xm:f>1</xm:f>
              </x14:cfvo>
              <x14:negativeFillColor rgb="FFFF0000"/>
              <x14:axisColor rgb="FF000000"/>
            </x14:dataBar>
          </x14:cfRule>
          <xm:sqref>AU43</xm:sqref>
        </x14:conditionalFormatting>
        <x14:conditionalFormatting xmlns:xm="http://schemas.microsoft.com/office/excel/2006/main">
          <x14:cfRule type="dataBar" id="{A069F2C9-4CD8-4A16-9675-1817AD03B4F9}">
            <x14:dataBar minLength="0" maxLength="100" gradient="0">
              <x14:cfvo type="num">
                <xm:f>0</xm:f>
              </x14:cfvo>
              <x14:cfvo type="num">
                <xm:f>1</xm:f>
              </x14:cfvo>
              <x14:negativeFillColor rgb="FFFF0000"/>
              <x14:axisColor rgb="FF000000"/>
            </x14:dataBar>
          </x14:cfRule>
          <xm:sqref>AU45</xm:sqref>
        </x14:conditionalFormatting>
        <x14:conditionalFormatting xmlns:xm="http://schemas.microsoft.com/office/excel/2006/main">
          <x14:cfRule type="dataBar" id="{38838B0A-4CD4-4FE3-A72F-A7821F01889C}">
            <x14:dataBar minLength="0" maxLength="100" gradient="0">
              <x14:cfvo type="num">
                <xm:f>0</xm:f>
              </x14:cfvo>
              <x14:cfvo type="num">
                <xm:f>1</xm:f>
              </x14:cfvo>
              <x14:negativeFillColor rgb="FFFF0000"/>
              <x14:axisColor rgb="FF000000"/>
            </x14:dataBar>
          </x14:cfRule>
          <xm:sqref>AU47</xm:sqref>
        </x14:conditionalFormatting>
        <x14:conditionalFormatting xmlns:xm="http://schemas.microsoft.com/office/excel/2006/main">
          <x14:cfRule type="dataBar" id="{FBEA5C9F-F9FE-4A9D-8968-64DE0FA7988F}">
            <x14:dataBar minLength="0" maxLength="100" gradient="0">
              <x14:cfvo type="num">
                <xm:f>0</xm:f>
              </x14:cfvo>
              <x14:cfvo type="num">
                <xm:f>1</xm:f>
              </x14:cfvo>
              <x14:negativeFillColor rgb="FFFF0000"/>
              <x14:axisColor rgb="FF000000"/>
            </x14:dataBar>
          </x14:cfRule>
          <xm:sqref>AU49</xm:sqref>
        </x14:conditionalFormatting>
        <x14:conditionalFormatting xmlns:xm="http://schemas.microsoft.com/office/excel/2006/main">
          <x14:cfRule type="dataBar" id="{44ABFEEE-BF12-46F3-91E2-323F7A335120}">
            <x14:dataBar minLength="0" maxLength="100" gradient="0">
              <x14:cfvo type="num">
                <xm:f>0</xm:f>
              </x14:cfvo>
              <x14:cfvo type="num">
                <xm:f>1</xm:f>
              </x14:cfvo>
              <x14:negativeFillColor rgb="FFFF0000"/>
              <x14:axisColor rgb="FF000000"/>
            </x14:dataBar>
          </x14:cfRule>
          <xm:sqref>AU51</xm:sqref>
        </x14:conditionalFormatting>
        <x14:conditionalFormatting xmlns:xm="http://schemas.microsoft.com/office/excel/2006/main">
          <x14:cfRule type="dataBar" id="{099D7A90-99F1-42D7-99EF-9FD74D72D66D}">
            <x14:dataBar minLength="0" maxLength="100" gradient="0">
              <x14:cfvo type="num">
                <xm:f>0</xm:f>
              </x14:cfvo>
              <x14:cfvo type="num">
                <xm:f>1</xm:f>
              </x14:cfvo>
              <x14:negativeFillColor rgb="FFFF0000"/>
              <x14:axisColor rgb="FF000000"/>
            </x14:dataBar>
          </x14:cfRule>
          <xm:sqref>AU53</xm:sqref>
        </x14:conditionalFormatting>
        <x14:conditionalFormatting xmlns:xm="http://schemas.microsoft.com/office/excel/2006/main">
          <x14:cfRule type="dataBar" id="{78D340DA-1C55-4AA5-9DD7-C4201C094B57}">
            <x14:dataBar minLength="0" maxLength="100" gradient="0">
              <x14:cfvo type="num">
                <xm:f>0</xm:f>
              </x14:cfvo>
              <x14:cfvo type="num">
                <xm:f>1</xm:f>
              </x14:cfvo>
              <x14:negativeFillColor rgb="FFFF0000"/>
              <x14:axisColor rgb="FF000000"/>
            </x14:dataBar>
          </x14:cfRule>
          <xm:sqref>AU55</xm:sqref>
        </x14:conditionalFormatting>
        <x14:conditionalFormatting xmlns:xm="http://schemas.microsoft.com/office/excel/2006/main">
          <x14:cfRule type="dataBar" id="{05BA7355-31EC-4B05-84C6-3747D0EF3C79}">
            <x14:dataBar minLength="0" maxLength="100" gradient="0">
              <x14:cfvo type="num">
                <xm:f>0</xm:f>
              </x14:cfvo>
              <x14:cfvo type="num">
                <xm:f>1</xm:f>
              </x14:cfvo>
              <x14:negativeFillColor rgb="FFFF0000"/>
              <x14:axisColor rgb="FF000000"/>
            </x14:dataBar>
          </x14:cfRule>
          <xm:sqref>AU57</xm:sqref>
        </x14:conditionalFormatting>
        <x14:conditionalFormatting xmlns:xm="http://schemas.microsoft.com/office/excel/2006/main">
          <x14:cfRule type="dataBar" id="{A5BF803C-2A2C-4FCB-9693-6AF16F6DBF79}">
            <x14:dataBar minLength="0" maxLength="100" gradient="0">
              <x14:cfvo type="num">
                <xm:f>0</xm:f>
              </x14:cfvo>
              <x14:cfvo type="num">
                <xm:f>1</xm:f>
              </x14:cfvo>
              <x14:negativeFillColor rgb="FFFF0000"/>
              <x14:axisColor rgb="FF000000"/>
            </x14:dataBar>
          </x14:cfRule>
          <xm:sqref>AV33</xm:sqref>
        </x14:conditionalFormatting>
        <x14:conditionalFormatting xmlns:xm="http://schemas.microsoft.com/office/excel/2006/main">
          <x14:cfRule type="dataBar" id="{2B99E9AD-2CA3-4E31-97FE-629B6B7439C2}">
            <x14:dataBar minLength="0" maxLength="100" gradient="0">
              <x14:cfvo type="num">
                <xm:f>0</xm:f>
              </x14:cfvo>
              <x14:cfvo type="num">
                <xm:f>1</xm:f>
              </x14:cfvo>
              <x14:negativeFillColor rgb="FFFF0000"/>
              <x14:axisColor rgb="FF000000"/>
            </x14:dataBar>
          </x14:cfRule>
          <xm:sqref>AV35</xm:sqref>
        </x14:conditionalFormatting>
        <x14:conditionalFormatting xmlns:xm="http://schemas.microsoft.com/office/excel/2006/main">
          <x14:cfRule type="dataBar" id="{A2BA83C0-A7C8-4907-92E7-9861593944C7}">
            <x14:dataBar minLength="0" maxLength="100" gradient="0">
              <x14:cfvo type="num">
                <xm:f>0</xm:f>
              </x14:cfvo>
              <x14:cfvo type="num">
                <xm:f>1</xm:f>
              </x14:cfvo>
              <x14:negativeFillColor rgb="FFFF0000"/>
              <x14:axisColor rgb="FF000000"/>
            </x14:dataBar>
          </x14:cfRule>
          <xm:sqref>AV37</xm:sqref>
        </x14:conditionalFormatting>
        <x14:conditionalFormatting xmlns:xm="http://schemas.microsoft.com/office/excel/2006/main">
          <x14:cfRule type="dataBar" id="{EB550F3A-5485-4D3D-924A-5C1E0EB3D846}">
            <x14:dataBar minLength="0" maxLength="100" gradient="0">
              <x14:cfvo type="num">
                <xm:f>0</xm:f>
              </x14:cfvo>
              <x14:cfvo type="num">
                <xm:f>1</xm:f>
              </x14:cfvo>
              <x14:negativeFillColor rgb="FFFF0000"/>
              <x14:axisColor rgb="FF000000"/>
            </x14:dataBar>
          </x14:cfRule>
          <xm:sqref>AV39</xm:sqref>
        </x14:conditionalFormatting>
        <x14:conditionalFormatting xmlns:xm="http://schemas.microsoft.com/office/excel/2006/main">
          <x14:cfRule type="dataBar" id="{C8C5477C-9D98-4E07-8FF4-2B55AA855FA7}">
            <x14:dataBar minLength="0" maxLength="100" gradient="0">
              <x14:cfvo type="num">
                <xm:f>0</xm:f>
              </x14:cfvo>
              <x14:cfvo type="num">
                <xm:f>1</xm:f>
              </x14:cfvo>
              <x14:negativeFillColor rgb="FFFF0000"/>
              <x14:axisColor rgb="FF000000"/>
            </x14:dataBar>
          </x14:cfRule>
          <xm:sqref>AV41</xm:sqref>
        </x14:conditionalFormatting>
        <x14:conditionalFormatting xmlns:xm="http://schemas.microsoft.com/office/excel/2006/main">
          <x14:cfRule type="dataBar" id="{9C9FEF2E-BA2F-4D38-AB4A-038399A640A6}">
            <x14:dataBar minLength="0" maxLength="100" gradient="0">
              <x14:cfvo type="num">
                <xm:f>0</xm:f>
              </x14:cfvo>
              <x14:cfvo type="num">
                <xm:f>1</xm:f>
              </x14:cfvo>
              <x14:negativeFillColor rgb="FFFF0000"/>
              <x14:axisColor rgb="FF000000"/>
            </x14:dataBar>
          </x14:cfRule>
          <xm:sqref>AV43</xm:sqref>
        </x14:conditionalFormatting>
        <x14:conditionalFormatting xmlns:xm="http://schemas.microsoft.com/office/excel/2006/main">
          <x14:cfRule type="dataBar" id="{F8BDED88-C312-4F64-9D7A-7ED5C8F64D5C}">
            <x14:dataBar minLength="0" maxLength="100" gradient="0">
              <x14:cfvo type="num">
                <xm:f>0</xm:f>
              </x14:cfvo>
              <x14:cfvo type="num">
                <xm:f>1</xm:f>
              </x14:cfvo>
              <x14:negativeFillColor rgb="FFFF0000"/>
              <x14:axisColor rgb="FF000000"/>
            </x14:dataBar>
          </x14:cfRule>
          <xm:sqref>AV45</xm:sqref>
        </x14:conditionalFormatting>
        <x14:conditionalFormatting xmlns:xm="http://schemas.microsoft.com/office/excel/2006/main">
          <x14:cfRule type="dataBar" id="{A0442C71-D1E2-4A10-9F2F-1C0C39ED8B49}">
            <x14:dataBar minLength="0" maxLength="100" gradient="0">
              <x14:cfvo type="num">
                <xm:f>0</xm:f>
              </x14:cfvo>
              <x14:cfvo type="num">
                <xm:f>1</xm:f>
              </x14:cfvo>
              <x14:negativeFillColor rgb="FFFF0000"/>
              <x14:axisColor rgb="FF000000"/>
            </x14:dataBar>
          </x14:cfRule>
          <xm:sqref>AV47</xm:sqref>
        </x14:conditionalFormatting>
        <x14:conditionalFormatting xmlns:xm="http://schemas.microsoft.com/office/excel/2006/main">
          <x14:cfRule type="dataBar" id="{53CC1551-29C1-467C-B8DA-8D00292E960C}">
            <x14:dataBar minLength="0" maxLength="100" gradient="0">
              <x14:cfvo type="num">
                <xm:f>0</xm:f>
              </x14:cfvo>
              <x14:cfvo type="num">
                <xm:f>1</xm:f>
              </x14:cfvo>
              <x14:negativeFillColor rgb="FFFF0000"/>
              <x14:axisColor rgb="FF000000"/>
            </x14:dataBar>
          </x14:cfRule>
          <xm:sqref>AV49</xm:sqref>
        </x14:conditionalFormatting>
        <x14:conditionalFormatting xmlns:xm="http://schemas.microsoft.com/office/excel/2006/main">
          <x14:cfRule type="dataBar" id="{2180F217-27C7-4E98-9F73-F392F683B06E}">
            <x14:dataBar minLength="0" maxLength="100" gradient="0">
              <x14:cfvo type="num">
                <xm:f>0</xm:f>
              </x14:cfvo>
              <x14:cfvo type="num">
                <xm:f>1</xm:f>
              </x14:cfvo>
              <x14:negativeFillColor rgb="FFFF0000"/>
              <x14:axisColor rgb="FF000000"/>
            </x14:dataBar>
          </x14:cfRule>
          <xm:sqref>AV51</xm:sqref>
        </x14:conditionalFormatting>
        <x14:conditionalFormatting xmlns:xm="http://schemas.microsoft.com/office/excel/2006/main">
          <x14:cfRule type="dataBar" id="{22652CDD-C368-487B-99FA-90C260507A23}">
            <x14:dataBar minLength="0" maxLength="100" gradient="0">
              <x14:cfvo type="num">
                <xm:f>0</xm:f>
              </x14:cfvo>
              <x14:cfvo type="num">
                <xm:f>1</xm:f>
              </x14:cfvo>
              <x14:negativeFillColor rgb="FFFF0000"/>
              <x14:axisColor rgb="FF000000"/>
            </x14:dataBar>
          </x14:cfRule>
          <xm:sqref>AV53</xm:sqref>
        </x14:conditionalFormatting>
        <x14:conditionalFormatting xmlns:xm="http://schemas.microsoft.com/office/excel/2006/main">
          <x14:cfRule type="dataBar" id="{684F5B4F-25E2-4A2F-9425-37E57FFE1188}">
            <x14:dataBar minLength="0" maxLength="100" gradient="0">
              <x14:cfvo type="num">
                <xm:f>0</xm:f>
              </x14:cfvo>
              <x14:cfvo type="num">
                <xm:f>1</xm:f>
              </x14:cfvo>
              <x14:negativeFillColor rgb="FFFF0000"/>
              <x14:axisColor rgb="FF000000"/>
            </x14:dataBar>
          </x14:cfRule>
          <xm:sqref>AV55</xm:sqref>
        </x14:conditionalFormatting>
        <x14:conditionalFormatting xmlns:xm="http://schemas.microsoft.com/office/excel/2006/main">
          <x14:cfRule type="dataBar" id="{BB937478-3BD4-4B99-80F0-86E8B2BF605D}">
            <x14:dataBar minLength="0" maxLength="100" gradient="0">
              <x14:cfvo type="num">
                <xm:f>0</xm:f>
              </x14:cfvo>
              <x14:cfvo type="num">
                <xm:f>1</xm:f>
              </x14:cfvo>
              <x14:negativeFillColor rgb="FFFF0000"/>
              <x14:axisColor rgb="FF000000"/>
            </x14:dataBar>
          </x14:cfRule>
          <xm:sqref>AV57</xm:sqref>
        </x14:conditionalFormatting>
        <x14:conditionalFormatting xmlns:xm="http://schemas.microsoft.com/office/excel/2006/main">
          <x14:cfRule type="dataBar" id="{72ADD630-06E3-496F-87C2-3E3F2AE2B6BF}">
            <x14:dataBar minLength="0" maxLength="100" gradient="0">
              <x14:cfvo type="num">
                <xm:f>0</xm:f>
              </x14:cfvo>
              <x14:cfvo type="num">
                <xm:f>1</xm:f>
              </x14:cfvo>
              <x14:negativeFillColor rgb="FFFF0000"/>
              <x14:axisColor rgb="FF000000"/>
            </x14:dataBar>
          </x14:cfRule>
          <xm:sqref>AW33</xm:sqref>
        </x14:conditionalFormatting>
        <x14:conditionalFormatting xmlns:xm="http://schemas.microsoft.com/office/excel/2006/main">
          <x14:cfRule type="dataBar" id="{6901A24D-EF53-4A75-A79F-FD437967909B}">
            <x14:dataBar minLength="0" maxLength="100" gradient="0">
              <x14:cfvo type="num">
                <xm:f>0</xm:f>
              </x14:cfvo>
              <x14:cfvo type="num">
                <xm:f>1</xm:f>
              </x14:cfvo>
              <x14:negativeFillColor rgb="FFFF0000"/>
              <x14:axisColor rgb="FF000000"/>
            </x14:dataBar>
          </x14:cfRule>
          <xm:sqref>AW35</xm:sqref>
        </x14:conditionalFormatting>
        <x14:conditionalFormatting xmlns:xm="http://schemas.microsoft.com/office/excel/2006/main">
          <x14:cfRule type="dataBar" id="{5ADD158E-28CF-49DA-9BF0-3E3931E1C6E0}">
            <x14:dataBar minLength="0" maxLength="100" gradient="0">
              <x14:cfvo type="num">
                <xm:f>0</xm:f>
              </x14:cfvo>
              <x14:cfvo type="num">
                <xm:f>1</xm:f>
              </x14:cfvo>
              <x14:negativeFillColor rgb="FFFF0000"/>
              <x14:axisColor rgb="FF000000"/>
            </x14:dataBar>
          </x14:cfRule>
          <xm:sqref>AW37</xm:sqref>
        </x14:conditionalFormatting>
        <x14:conditionalFormatting xmlns:xm="http://schemas.microsoft.com/office/excel/2006/main">
          <x14:cfRule type="dataBar" id="{1594DC5F-A209-4AA5-91B2-0BFE55D019CF}">
            <x14:dataBar minLength="0" maxLength="100" gradient="0">
              <x14:cfvo type="num">
                <xm:f>0</xm:f>
              </x14:cfvo>
              <x14:cfvo type="num">
                <xm:f>1</xm:f>
              </x14:cfvo>
              <x14:negativeFillColor rgb="FFFF0000"/>
              <x14:axisColor rgb="FF000000"/>
            </x14:dataBar>
          </x14:cfRule>
          <xm:sqref>AW39</xm:sqref>
        </x14:conditionalFormatting>
        <x14:conditionalFormatting xmlns:xm="http://schemas.microsoft.com/office/excel/2006/main">
          <x14:cfRule type="dataBar" id="{7166986C-05FF-4714-A8FE-F7B7EC594622}">
            <x14:dataBar minLength="0" maxLength="100" gradient="0">
              <x14:cfvo type="num">
                <xm:f>0</xm:f>
              </x14:cfvo>
              <x14:cfvo type="num">
                <xm:f>1</xm:f>
              </x14:cfvo>
              <x14:negativeFillColor rgb="FFFF0000"/>
              <x14:axisColor rgb="FF000000"/>
            </x14:dataBar>
          </x14:cfRule>
          <xm:sqref>AW41</xm:sqref>
        </x14:conditionalFormatting>
        <x14:conditionalFormatting xmlns:xm="http://schemas.microsoft.com/office/excel/2006/main">
          <x14:cfRule type="dataBar" id="{D8087BCE-0E2C-4B2D-BB1F-3BED4C3E60DD}">
            <x14:dataBar minLength="0" maxLength="100" gradient="0">
              <x14:cfvo type="num">
                <xm:f>0</xm:f>
              </x14:cfvo>
              <x14:cfvo type="num">
                <xm:f>1</xm:f>
              </x14:cfvo>
              <x14:negativeFillColor rgb="FFFF0000"/>
              <x14:axisColor rgb="FF000000"/>
            </x14:dataBar>
          </x14:cfRule>
          <xm:sqref>AW43</xm:sqref>
        </x14:conditionalFormatting>
        <x14:conditionalFormatting xmlns:xm="http://schemas.microsoft.com/office/excel/2006/main">
          <x14:cfRule type="dataBar" id="{8B94ECC5-8482-4136-B165-0401F84236EB}">
            <x14:dataBar minLength="0" maxLength="100" gradient="0">
              <x14:cfvo type="num">
                <xm:f>0</xm:f>
              </x14:cfvo>
              <x14:cfvo type="num">
                <xm:f>1</xm:f>
              </x14:cfvo>
              <x14:negativeFillColor rgb="FFFF0000"/>
              <x14:axisColor rgb="FF000000"/>
            </x14:dataBar>
          </x14:cfRule>
          <xm:sqref>AW45</xm:sqref>
        </x14:conditionalFormatting>
        <x14:conditionalFormatting xmlns:xm="http://schemas.microsoft.com/office/excel/2006/main">
          <x14:cfRule type="dataBar" id="{F9729CC1-D1DF-4ED4-9370-03BA2E3D2892}">
            <x14:dataBar minLength="0" maxLength="100" gradient="0">
              <x14:cfvo type="num">
                <xm:f>0</xm:f>
              </x14:cfvo>
              <x14:cfvo type="num">
                <xm:f>1</xm:f>
              </x14:cfvo>
              <x14:negativeFillColor rgb="FFFF0000"/>
              <x14:axisColor rgb="FF000000"/>
            </x14:dataBar>
          </x14:cfRule>
          <xm:sqref>AW47</xm:sqref>
        </x14:conditionalFormatting>
        <x14:conditionalFormatting xmlns:xm="http://schemas.microsoft.com/office/excel/2006/main">
          <x14:cfRule type="dataBar" id="{97C4DDE1-8E4C-4044-B482-7348C86BE027}">
            <x14:dataBar minLength="0" maxLength="100" gradient="0">
              <x14:cfvo type="num">
                <xm:f>0</xm:f>
              </x14:cfvo>
              <x14:cfvo type="num">
                <xm:f>1</xm:f>
              </x14:cfvo>
              <x14:negativeFillColor rgb="FFFF0000"/>
              <x14:axisColor rgb="FF000000"/>
            </x14:dataBar>
          </x14:cfRule>
          <xm:sqref>AW49</xm:sqref>
        </x14:conditionalFormatting>
        <x14:conditionalFormatting xmlns:xm="http://schemas.microsoft.com/office/excel/2006/main">
          <x14:cfRule type="dataBar" id="{251A7A72-71DC-4879-B984-57DEBCA8FDED}">
            <x14:dataBar minLength="0" maxLength="100" gradient="0">
              <x14:cfvo type="num">
                <xm:f>0</xm:f>
              </x14:cfvo>
              <x14:cfvo type="num">
                <xm:f>1</xm:f>
              </x14:cfvo>
              <x14:negativeFillColor rgb="FFFF0000"/>
              <x14:axisColor rgb="FF000000"/>
            </x14:dataBar>
          </x14:cfRule>
          <xm:sqref>AW51</xm:sqref>
        </x14:conditionalFormatting>
        <x14:conditionalFormatting xmlns:xm="http://schemas.microsoft.com/office/excel/2006/main">
          <x14:cfRule type="dataBar" id="{69F7CF0B-2657-4B64-93B5-CDE0F76AFD9F}">
            <x14:dataBar minLength="0" maxLength="100" gradient="0">
              <x14:cfvo type="num">
                <xm:f>0</xm:f>
              </x14:cfvo>
              <x14:cfvo type="num">
                <xm:f>1</xm:f>
              </x14:cfvo>
              <x14:negativeFillColor rgb="FFFF0000"/>
              <x14:axisColor rgb="FF000000"/>
            </x14:dataBar>
          </x14:cfRule>
          <xm:sqref>AW53</xm:sqref>
        </x14:conditionalFormatting>
        <x14:conditionalFormatting xmlns:xm="http://schemas.microsoft.com/office/excel/2006/main">
          <x14:cfRule type="dataBar" id="{7C153FD8-0BEF-47B0-9590-B7D70F55CFA1}">
            <x14:dataBar minLength="0" maxLength="100" gradient="0">
              <x14:cfvo type="num">
                <xm:f>0</xm:f>
              </x14:cfvo>
              <x14:cfvo type="num">
                <xm:f>1</xm:f>
              </x14:cfvo>
              <x14:negativeFillColor rgb="FFFF0000"/>
              <x14:axisColor rgb="FF000000"/>
            </x14:dataBar>
          </x14:cfRule>
          <xm:sqref>AW55</xm:sqref>
        </x14:conditionalFormatting>
        <x14:conditionalFormatting xmlns:xm="http://schemas.microsoft.com/office/excel/2006/main">
          <x14:cfRule type="dataBar" id="{2CFEA868-A222-4CE7-BA80-0220AED5877D}">
            <x14:dataBar minLength="0" maxLength="100" gradient="0">
              <x14:cfvo type="num">
                <xm:f>0</xm:f>
              </x14:cfvo>
              <x14:cfvo type="num">
                <xm:f>1</xm:f>
              </x14:cfvo>
              <x14:negativeFillColor rgb="FFFF0000"/>
              <x14:axisColor rgb="FF000000"/>
            </x14:dataBar>
          </x14:cfRule>
          <xm:sqref>AW57</xm:sqref>
        </x14:conditionalFormatting>
        <x14:conditionalFormatting xmlns:xm="http://schemas.microsoft.com/office/excel/2006/main">
          <x14:cfRule type="dataBar" id="{6E2A4CDA-E258-4254-99AA-021D18DA97A6}">
            <x14:dataBar minLength="0" maxLength="100" gradient="0">
              <x14:cfvo type="num">
                <xm:f>0</xm:f>
              </x14:cfvo>
              <x14:cfvo type="num">
                <xm:f>1</xm:f>
              </x14:cfvo>
              <x14:negativeFillColor rgb="FFFF0000"/>
              <x14:axisColor rgb="FF000000"/>
            </x14:dataBar>
          </x14:cfRule>
          <xm:sqref>AX33</xm:sqref>
        </x14:conditionalFormatting>
        <x14:conditionalFormatting xmlns:xm="http://schemas.microsoft.com/office/excel/2006/main">
          <x14:cfRule type="dataBar" id="{81DE121C-414E-4DC9-9589-8BD32A8C2FA2}">
            <x14:dataBar minLength="0" maxLength="100" gradient="0">
              <x14:cfvo type="num">
                <xm:f>0</xm:f>
              </x14:cfvo>
              <x14:cfvo type="num">
                <xm:f>1</xm:f>
              </x14:cfvo>
              <x14:negativeFillColor rgb="FFFF0000"/>
              <x14:axisColor rgb="FF000000"/>
            </x14:dataBar>
          </x14:cfRule>
          <xm:sqref>AX35</xm:sqref>
        </x14:conditionalFormatting>
        <x14:conditionalFormatting xmlns:xm="http://schemas.microsoft.com/office/excel/2006/main">
          <x14:cfRule type="dataBar" id="{4343E89C-099C-4910-BB8D-530F4459A261}">
            <x14:dataBar minLength="0" maxLength="100" gradient="0">
              <x14:cfvo type="num">
                <xm:f>0</xm:f>
              </x14:cfvo>
              <x14:cfvo type="num">
                <xm:f>1</xm:f>
              </x14:cfvo>
              <x14:negativeFillColor rgb="FFFF0000"/>
              <x14:axisColor rgb="FF000000"/>
            </x14:dataBar>
          </x14:cfRule>
          <xm:sqref>AX37</xm:sqref>
        </x14:conditionalFormatting>
        <x14:conditionalFormatting xmlns:xm="http://schemas.microsoft.com/office/excel/2006/main">
          <x14:cfRule type="dataBar" id="{96CAEE62-32C7-4CC9-BF39-41F2A88B0F09}">
            <x14:dataBar minLength="0" maxLength="100" gradient="0">
              <x14:cfvo type="num">
                <xm:f>0</xm:f>
              </x14:cfvo>
              <x14:cfvo type="num">
                <xm:f>1</xm:f>
              </x14:cfvo>
              <x14:negativeFillColor rgb="FFFF0000"/>
              <x14:axisColor rgb="FF000000"/>
            </x14:dataBar>
          </x14:cfRule>
          <xm:sqref>AX39</xm:sqref>
        </x14:conditionalFormatting>
        <x14:conditionalFormatting xmlns:xm="http://schemas.microsoft.com/office/excel/2006/main">
          <x14:cfRule type="dataBar" id="{276CB974-9B4A-46F8-AFF4-DE30739C2407}">
            <x14:dataBar minLength="0" maxLength="100" gradient="0">
              <x14:cfvo type="num">
                <xm:f>0</xm:f>
              </x14:cfvo>
              <x14:cfvo type="num">
                <xm:f>1</xm:f>
              </x14:cfvo>
              <x14:negativeFillColor rgb="FFFF0000"/>
              <x14:axisColor rgb="FF000000"/>
            </x14:dataBar>
          </x14:cfRule>
          <xm:sqref>AX41</xm:sqref>
        </x14:conditionalFormatting>
        <x14:conditionalFormatting xmlns:xm="http://schemas.microsoft.com/office/excel/2006/main">
          <x14:cfRule type="dataBar" id="{A75F8D84-F8C5-4B50-9BEF-50126270198A}">
            <x14:dataBar minLength="0" maxLength="100" gradient="0">
              <x14:cfvo type="num">
                <xm:f>0</xm:f>
              </x14:cfvo>
              <x14:cfvo type="num">
                <xm:f>1</xm:f>
              </x14:cfvo>
              <x14:negativeFillColor rgb="FFFF0000"/>
              <x14:axisColor rgb="FF000000"/>
            </x14:dataBar>
          </x14:cfRule>
          <xm:sqref>AX43</xm:sqref>
        </x14:conditionalFormatting>
        <x14:conditionalFormatting xmlns:xm="http://schemas.microsoft.com/office/excel/2006/main">
          <x14:cfRule type="dataBar" id="{9DAC84B5-6653-4B79-BA72-B5B97188236C}">
            <x14:dataBar minLength="0" maxLength="100" gradient="0">
              <x14:cfvo type="num">
                <xm:f>0</xm:f>
              </x14:cfvo>
              <x14:cfvo type="num">
                <xm:f>1</xm:f>
              </x14:cfvo>
              <x14:negativeFillColor rgb="FFFF0000"/>
              <x14:axisColor rgb="FF000000"/>
            </x14:dataBar>
          </x14:cfRule>
          <xm:sqref>AX45</xm:sqref>
        </x14:conditionalFormatting>
        <x14:conditionalFormatting xmlns:xm="http://schemas.microsoft.com/office/excel/2006/main">
          <x14:cfRule type="dataBar" id="{B3754D1A-6138-4993-9AF5-6E3B7B3B4F0D}">
            <x14:dataBar minLength="0" maxLength="100" gradient="0">
              <x14:cfvo type="num">
                <xm:f>0</xm:f>
              </x14:cfvo>
              <x14:cfvo type="num">
                <xm:f>1</xm:f>
              </x14:cfvo>
              <x14:negativeFillColor rgb="FFFF0000"/>
              <x14:axisColor rgb="FF000000"/>
            </x14:dataBar>
          </x14:cfRule>
          <xm:sqref>AX47</xm:sqref>
        </x14:conditionalFormatting>
        <x14:conditionalFormatting xmlns:xm="http://schemas.microsoft.com/office/excel/2006/main">
          <x14:cfRule type="dataBar" id="{43FB4AE1-5ED4-4E5A-8B34-53BF45652E2B}">
            <x14:dataBar minLength="0" maxLength="100" gradient="0">
              <x14:cfvo type="num">
                <xm:f>0</xm:f>
              </x14:cfvo>
              <x14:cfvo type="num">
                <xm:f>1</xm:f>
              </x14:cfvo>
              <x14:negativeFillColor rgb="FFFF0000"/>
              <x14:axisColor rgb="FF000000"/>
            </x14:dataBar>
          </x14:cfRule>
          <xm:sqref>AX49</xm:sqref>
        </x14:conditionalFormatting>
        <x14:conditionalFormatting xmlns:xm="http://schemas.microsoft.com/office/excel/2006/main">
          <x14:cfRule type="dataBar" id="{73F7FA8C-D533-4CB8-BDBA-5696350D3768}">
            <x14:dataBar minLength="0" maxLength="100" gradient="0">
              <x14:cfvo type="num">
                <xm:f>0</xm:f>
              </x14:cfvo>
              <x14:cfvo type="num">
                <xm:f>1</xm:f>
              </x14:cfvo>
              <x14:negativeFillColor rgb="FFFF0000"/>
              <x14:axisColor rgb="FF000000"/>
            </x14:dataBar>
          </x14:cfRule>
          <xm:sqref>AX51</xm:sqref>
        </x14:conditionalFormatting>
        <x14:conditionalFormatting xmlns:xm="http://schemas.microsoft.com/office/excel/2006/main">
          <x14:cfRule type="dataBar" id="{1C1C2EBA-917C-4276-BB82-9C8FFB82C5BE}">
            <x14:dataBar minLength="0" maxLength="100" gradient="0">
              <x14:cfvo type="num">
                <xm:f>0</xm:f>
              </x14:cfvo>
              <x14:cfvo type="num">
                <xm:f>1</xm:f>
              </x14:cfvo>
              <x14:negativeFillColor rgb="FFFF0000"/>
              <x14:axisColor rgb="FF000000"/>
            </x14:dataBar>
          </x14:cfRule>
          <xm:sqref>AX53</xm:sqref>
        </x14:conditionalFormatting>
        <x14:conditionalFormatting xmlns:xm="http://schemas.microsoft.com/office/excel/2006/main">
          <x14:cfRule type="dataBar" id="{C94B35A9-2CEE-4D4D-9EBB-8AD8DE3E07D3}">
            <x14:dataBar minLength="0" maxLength="100" gradient="0">
              <x14:cfvo type="num">
                <xm:f>0</xm:f>
              </x14:cfvo>
              <x14:cfvo type="num">
                <xm:f>1</xm:f>
              </x14:cfvo>
              <x14:negativeFillColor rgb="FFFF0000"/>
              <x14:axisColor rgb="FF000000"/>
            </x14:dataBar>
          </x14:cfRule>
          <xm:sqref>AX55</xm:sqref>
        </x14:conditionalFormatting>
        <x14:conditionalFormatting xmlns:xm="http://schemas.microsoft.com/office/excel/2006/main">
          <x14:cfRule type="dataBar" id="{6ABB1B16-6E9E-4A6E-BCE0-4F780D79B143}">
            <x14:dataBar minLength="0" maxLength="100" gradient="0">
              <x14:cfvo type="num">
                <xm:f>0</xm:f>
              </x14:cfvo>
              <x14:cfvo type="num">
                <xm:f>1</xm:f>
              </x14:cfvo>
              <x14:negativeFillColor rgb="FFFF0000"/>
              <x14:axisColor rgb="FF000000"/>
            </x14:dataBar>
          </x14:cfRule>
          <xm:sqref>AX57</xm:sqref>
        </x14:conditionalFormatting>
        <x14:conditionalFormatting xmlns:xm="http://schemas.microsoft.com/office/excel/2006/main">
          <x14:cfRule type="dataBar" id="{1E17F690-46A4-4CB7-8870-C86C2FC8F9A7}">
            <x14:dataBar minLength="0" maxLength="100" gradient="0">
              <x14:cfvo type="num">
                <xm:f>0</xm:f>
              </x14:cfvo>
              <x14:cfvo type="num">
                <xm:f>1</xm:f>
              </x14:cfvo>
              <x14:negativeFillColor rgb="FFFF0000"/>
              <x14:axisColor rgb="FF000000"/>
            </x14:dataBar>
          </x14:cfRule>
          <xm:sqref>C47</xm:sqref>
        </x14:conditionalFormatting>
        <x14:conditionalFormatting xmlns:xm="http://schemas.microsoft.com/office/excel/2006/main">
          <x14:cfRule type="dataBar" id="{67D4855E-60F2-4A57-93AE-DBFD6C8F7E67}">
            <x14:dataBar minLength="0" maxLength="100" gradient="0">
              <x14:cfvo type="num">
                <xm:f>0</xm:f>
              </x14:cfvo>
              <x14:cfvo type="num">
                <xm:f>1</xm:f>
              </x14:cfvo>
              <x14:negativeFillColor rgb="FFFF0000"/>
              <x14:axisColor rgb="FF000000"/>
            </x14:dataBar>
          </x14:cfRule>
          <xm:sqref>D47</xm:sqref>
        </x14:conditionalFormatting>
        <x14:conditionalFormatting xmlns:xm="http://schemas.microsoft.com/office/excel/2006/main">
          <x14:cfRule type="dataBar" id="{15AA2B9A-31BD-41C0-BDB9-ED3B9CEB9841}">
            <x14:dataBar minLength="0" maxLength="100" gradient="0">
              <x14:cfvo type="num">
                <xm:f>0</xm:f>
              </x14:cfvo>
              <x14:cfvo type="num">
                <xm:f>1</xm:f>
              </x14:cfvo>
              <x14:negativeFillColor rgb="FFFF0000"/>
              <x14:axisColor rgb="FF000000"/>
            </x14:dataBar>
          </x14:cfRule>
          <xm:sqref>E47</xm:sqref>
        </x14:conditionalFormatting>
        <x14:conditionalFormatting xmlns:xm="http://schemas.microsoft.com/office/excel/2006/main">
          <x14:cfRule type="expression" priority="1666" id="{B7D5542A-AAA7-49E0-88E5-B46A98F560DF}">
            <xm:f>PFVar!IJ33&gt;0.5</xm:f>
            <x14:dxf>
              <fill>
                <patternFill>
                  <bgColor rgb="FFD8BEEC"/>
                </patternFill>
              </fill>
            </x14:dxf>
          </x14:cfRule>
          <xm:sqref>BD32 BD34 BD36 BD38</xm:sqref>
        </x14:conditionalFormatting>
        <x14:conditionalFormatting xmlns:xm="http://schemas.microsoft.com/office/excel/2006/main">
          <x14:cfRule type="expression" priority="1785" id="{B7D5542A-AAA7-49E0-88E5-B46A98F560DF}">
            <xm:f>PFVar!IM33&gt;0.5</xm:f>
            <x14:dxf>
              <fill>
                <patternFill>
                  <bgColor rgb="FFD8BEEC"/>
                </patternFill>
              </fill>
            </x14:dxf>
          </x14:cfRule>
          <xm:sqref>BE32 BE34 BE36 BE38</xm:sqref>
        </x14:conditionalFormatting>
        <x14:conditionalFormatting xmlns:xm="http://schemas.microsoft.com/office/excel/2006/main">
          <x14:cfRule type="expression" priority="1917" id="{B7D5542A-AAA7-49E0-88E5-B46A98F560DF}">
            <xm:f>PFVar!IP33&gt;0.5</xm:f>
            <x14:dxf>
              <fill>
                <patternFill>
                  <bgColor rgb="FFD8BEEC"/>
                </patternFill>
              </fill>
            </x14:dxf>
          </x14:cfRule>
          <xm:sqref>BF32 BF34 BF36 BF38</xm:sqref>
        </x14:conditionalFormatting>
        <x14:conditionalFormatting xmlns:xm="http://schemas.microsoft.com/office/excel/2006/main">
          <x14:cfRule type="expression" priority="2062" id="{B7D5542A-AAA7-49E0-88E5-B46A98F560DF}">
            <xm:f>PFVar!IS33&gt;0.5</xm:f>
            <x14:dxf>
              <fill>
                <patternFill>
                  <bgColor rgb="FFD8BEEC"/>
                </patternFill>
              </fill>
            </x14:dxf>
          </x14:cfRule>
          <xm:sqref>BG32 BG34 BG36 BG38</xm:sqref>
        </x14:conditionalFormatting>
        <x14:conditionalFormatting xmlns:xm="http://schemas.microsoft.com/office/excel/2006/main">
          <x14:cfRule type="expression" priority="2220" id="{B7D5542A-AAA7-49E0-88E5-B46A98F560DF}">
            <xm:f>PFVar!IV33&gt;0.5</xm:f>
            <x14:dxf>
              <fill>
                <patternFill>
                  <bgColor rgb="FFD8BEEC"/>
                </patternFill>
              </fill>
            </x14:dxf>
          </x14:cfRule>
          <xm:sqref>BH32 BH34 BH36 BH38</xm:sqref>
        </x14:conditionalFormatting>
        <x14:conditionalFormatting xmlns:xm="http://schemas.microsoft.com/office/excel/2006/main">
          <x14:cfRule type="expression" priority="2391" id="{B7D5542A-AAA7-49E0-88E5-B46A98F560DF}">
            <xm:f>PFVar!IY33&gt;0.5</xm:f>
            <x14:dxf>
              <fill>
                <patternFill>
                  <bgColor rgb="FFD8BEEC"/>
                </patternFill>
              </fill>
            </x14:dxf>
          </x14:cfRule>
          <xm:sqref>BI32 BI34 BI36 BI38</xm:sqref>
        </x14:conditionalFormatting>
        <x14:conditionalFormatting xmlns:xm="http://schemas.microsoft.com/office/excel/2006/main">
          <x14:cfRule type="expression" priority="2575" id="{B7D5542A-AAA7-49E0-88E5-B46A98F560DF}">
            <xm:f>PFVar!JB33&gt;0.5</xm:f>
            <x14:dxf>
              <fill>
                <patternFill>
                  <bgColor rgb="FFD8BEEC"/>
                </patternFill>
              </fill>
            </x14:dxf>
          </x14:cfRule>
          <xm:sqref>BJ32 BJ34 BJ36 BJ38</xm:sqref>
        </x14:conditionalFormatting>
        <x14:conditionalFormatting xmlns:xm="http://schemas.microsoft.com/office/excel/2006/main">
          <x14:cfRule type="expression" priority="2772" id="{B7D5542A-AAA7-49E0-88E5-B46A98F560DF}">
            <xm:f>PFVar!JE33&gt;0.5</xm:f>
            <x14:dxf>
              <fill>
                <patternFill>
                  <bgColor rgb="FFD8BEEC"/>
                </patternFill>
              </fill>
            </x14:dxf>
          </x14:cfRule>
          <xm:sqref>BK32 BK34 BK36 BK38</xm:sqref>
        </x14:conditionalFormatting>
        <x14:conditionalFormatting xmlns:xm="http://schemas.microsoft.com/office/excel/2006/main">
          <x14:cfRule type="expression" priority="2982" id="{B7D5542A-AAA7-49E0-88E5-B46A98F560DF}">
            <xm:f>PFVar!JH33&gt;0.5</xm:f>
            <x14:dxf>
              <fill>
                <patternFill>
                  <bgColor rgb="FFD8BEEC"/>
                </patternFill>
              </fill>
            </x14:dxf>
          </x14:cfRule>
          <xm:sqref>BL32 BL34 BL36 BL38</xm:sqref>
        </x14:conditionalFormatting>
        <x14:conditionalFormatting xmlns:xm="http://schemas.microsoft.com/office/excel/2006/main">
          <x14:cfRule type="expression" priority="3205" id="{B7D5542A-AAA7-49E0-88E5-B46A98F560DF}">
            <xm:f>PFVar!JK33&gt;0.5</xm:f>
            <x14:dxf>
              <fill>
                <patternFill>
                  <bgColor rgb="FFD8BEEC"/>
                </patternFill>
              </fill>
            </x14:dxf>
          </x14:cfRule>
          <xm:sqref>BM32 BM34 BM36 BM38 BM56</xm:sqref>
        </x14:conditionalFormatting>
        <x14:conditionalFormatting xmlns:xm="http://schemas.microsoft.com/office/excel/2006/main">
          <x14:cfRule type="expression" priority="3441" id="{B7D5542A-AAA7-49E0-88E5-B46A98F560DF}">
            <xm:f>PFVar!JN33&gt;0.5</xm:f>
            <x14:dxf>
              <fill>
                <patternFill>
                  <bgColor rgb="FFD8BEEC"/>
                </patternFill>
              </fill>
            </x14:dxf>
          </x14:cfRule>
          <xm:sqref>BN32 BN34 BN36 BN38 BN56</xm:sqref>
        </x14:conditionalFormatting>
        <x14:conditionalFormatting xmlns:xm="http://schemas.microsoft.com/office/excel/2006/main">
          <x14:cfRule type="expression" priority="3690" id="{B7D5542A-AAA7-49E0-88E5-B46A98F560DF}">
            <xm:f>PFVar!JQ33&gt;0.5</xm:f>
            <x14:dxf>
              <fill>
                <patternFill>
                  <bgColor rgb="FFD8BEEC"/>
                </patternFill>
              </fill>
            </x14:dxf>
          </x14:cfRule>
          <xm:sqref>BO32 BO34 BO36 BO38 BO40 BO42 BO44 BO46 BO48 BO50 BO52 BO54 BO56</xm:sqref>
        </x14:conditionalFormatting>
        <x14:conditionalFormatting xmlns:xm="http://schemas.microsoft.com/office/excel/2006/main">
          <x14:cfRule type="expression" priority="3691" id="{DEACBC4A-9612-4439-8966-26B3891F534C}">
            <xm:f>PFVar!GP3&gt;0.5</xm:f>
            <x14:dxf>
              <fill>
                <patternFill>
                  <bgColor rgb="FFD8BEEC"/>
                </patternFill>
              </fill>
            </x14:dxf>
          </x14:cfRule>
          <xm:sqref>L3:AX3 L5:AX5 L7:AX7 L9:AX9 L11:AX11 L13:AX13 L15:AX15 L17:AX17 L19:AX19 L21:AX21 L23:AX23 L25:AX25 L27:AX27 L32:AX32 L34:AX34 L36:AX36 L38:AX38 L40:AX40 L42:AX42 L44:AX44 L46:AX46 L48:AX48 L50:AX50 L52:AX52 L54:AX54 L56:AX56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DBFB519-5BBA-43D1-9CE2-A214902D772F}">
          <x14:formula1>
            <xm:f>PFVar!$J$24:$R$24</xm:f>
          </x14:formula1>
          <xm:sqref>B13 B53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FV636"/>
  <sheetViews>
    <sheetView workbookViewId="0">
      <pane xSplit="8" ySplit="2" topLeftCell="I3" activePane="bottomRight" state="frozen"/>
      <selection pane="topRight" activeCell="I1" sqref="I1"/>
      <selection pane="bottomLeft" activeCell="A3" sqref="A3"/>
      <selection pane="bottomRight" activeCell="A3" sqref="A3:A618"/>
    </sheetView>
  </sheetViews>
  <sheetFormatPr defaultColWidth="14.42578125" defaultRowHeight="15" customHeight="1" x14ac:dyDescent="0.25"/>
  <cols>
    <col min="1" max="3" width="14.42578125" customWidth="1"/>
    <col min="4" max="4" width="17.140625" customWidth="1"/>
    <col min="5" max="7" width="16.140625" customWidth="1"/>
    <col min="9" max="9" width="7" customWidth="1"/>
    <col min="10" max="10" width="7.7109375" customWidth="1"/>
    <col min="11" max="34" width="5.42578125" customWidth="1"/>
    <col min="35" max="35" width="6.85546875" customWidth="1"/>
    <col min="36" max="38" width="5.42578125" customWidth="1"/>
    <col min="39" max="39" width="6.140625" customWidth="1"/>
    <col min="40" max="127" width="5.42578125" customWidth="1"/>
    <col min="128" max="128" width="6.28515625" customWidth="1"/>
    <col min="129" max="159" width="5.42578125" customWidth="1"/>
    <col min="160" max="160" width="5.7109375" customWidth="1"/>
    <col min="161" max="177" width="5.42578125" customWidth="1"/>
    <col min="178" max="178" width="14" customWidth="1"/>
    <col min="179" max="500" width="5.42578125" customWidth="1"/>
  </cols>
  <sheetData>
    <row r="1" spans="1:178" ht="15" customHeight="1" x14ac:dyDescent="0.25">
      <c r="I1" s="10">
        <v>6</v>
      </c>
      <c r="J1" s="10">
        <v>4</v>
      </c>
      <c r="K1" s="10">
        <v>4</v>
      </c>
      <c r="L1" s="10">
        <v>4</v>
      </c>
      <c r="M1" s="10">
        <v>4</v>
      </c>
      <c r="N1" s="10">
        <v>4</v>
      </c>
      <c r="O1" s="10">
        <v>4</v>
      </c>
      <c r="P1" s="10">
        <v>4</v>
      </c>
      <c r="Q1" s="10">
        <v>4</v>
      </c>
      <c r="R1" s="10">
        <v>4</v>
      </c>
      <c r="S1" s="10">
        <v>4</v>
      </c>
      <c r="T1" s="10">
        <v>4</v>
      </c>
      <c r="U1" s="10">
        <v>4</v>
      </c>
      <c r="V1" s="10">
        <v>12</v>
      </c>
      <c r="W1" s="10">
        <v>6</v>
      </c>
      <c r="X1" s="10">
        <v>4</v>
      </c>
      <c r="Y1" s="10">
        <v>4</v>
      </c>
      <c r="Z1" s="10">
        <v>4</v>
      </c>
      <c r="AA1" s="10">
        <v>4</v>
      </c>
      <c r="AB1" s="10">
        <v>4</v>
      </c>
      <c r="AC1" s="10">
        <v>4</v>
      </c>
      <c r="AD1" s="10">
        <v>4</v>
      </c>
      <c r="AE1" s="10">
        <v>4</v>
      </c>
      <c r="AF1" s="10">
        <v>4</v>
      </c>
      <c r="AG1" s="10">
        <v>4</v>
      </c>
      <c r="AH1" s="10">
        <v>4</v>
      </c>
      <c r="AI1" s="10">
        <v>12</v>
      </c>
      <c r="AJ1" s="10">
        <v>12</v>
      </c>
      <c r="AK1" s="10">
        <v>6</v>
      </c>
      <c r="AL1" s="10">
        <v>4</v>
      </c>
      <c r="AM1" s="10">
        <v>4</v>
      </c>
      <c r="AN1" s="10">
        <v>4</v>
      </c>
      <c r="AO1" s="10">
        <v>4</v>
      </c>
      <c r="AP1" s="10">
        <v>4</v>
      </c>
      <c r="AQ1" s="10">
        <v>4</v>
      </c>
      <c r="AR1" s="10">
        <v>4</v>
      </c>
      <c r="AS1" s="10">
        <v>4</v>
      </c>
      <c r="AT1" s="10">
        <v>4</v>
      </c>
      <c r="AU1" s="10">
        <v>4</v>
      </c>
      <c r="AV1" s="10">
        <v>12</v>
      </c>
      <c r="AW1" s="10">
        <v>12</v>
      </c>
      <c r="AX1" s="10">
        <v>12</v>
      </c>
      <c r="AY1" s="10">
        <v>6</v>
      </c>
      <c r="AZ1" s="10">
        <v>4</v>
      </c>
      <c r="BA1" s="10">
        <v>4</v>
      </c>
      <c r="BB1" s="10">
        <v>4</v>
      </c>
      <c r="BC1" s="10">
        <v>4</v>
      </c>
      <c r="BD1" s="10">
        <v>4</v>
      </c>
      <c r="BE1" s="10">
        <v>4</v>
      </c>
      <c r="BF1" s="10">
        <v>4</v>
      </c>
      <c r="BG1" s="10">
        <v>4</v>
      </c>
      <c r="BH1" s="10">
        <v>4</v>
      </c>
      <c r="BI1" s="10">
        <v>12</v>
      </c>
      <c r="BJ1" s="10">
        <v>12</v>
      </c>
      <c r="BK1" s="10">
        <v>12</v>
      </c>
      <c r="BL1" s="10">
        <v>12</v>
      </c>
      <c r="BM1" s="10">
        <v>6</v>
      </c>
      <c r="BN1" s="10">
        <v>4</v>
      </c>
      <c r="BO1" s="10">
        <v>4</v>
      </c>
      <c r="BP1" s="10">
        <v>4</v>
      </c>
      <c r="BQ1" s="10">
        <v>4</v>
      </c>
      <c r="BR1" s="10">
        <v>4</v>
      </c>
      <c r="BS1" s="10">
        <v>4</v>
      </c>
      <c r="BT1" s="10">
        <v>4</v>
      </c>
      <c r="BU1" s="10">
        <v>4</v>
      </c>
      <c r="BV1" s="10">
        <v>12</v>
      </c>
      <c r="BW1" s="10">
        <v>12</v>
      </c>
      <c r="BX1" s="10">
        <v>12</v>
      </c>
      <c r="BY1" s="10">
        <v>12</v>
      </c>
      <c r="BZ1" s="10">
        <v>12</v>
      </c>
      <c r="CA1" s="10">
        <v>6</v>
      </c>
      <c r="CB1" s="10">
        <v>4</v>
      </c>
      <c r="CC1" s="10">
        <v>4</v>
      </c>
      <c r="CD1" s="10">
        <v>4</v>
      </c>
      <c r="CE1" s="10">
        <v>4</v>
      </c>
      <c r="CF1" s="10">
        <v>4</v>
      </c>
      <c r="CG1" s="10">
        <v>4</v>
      </c>
      <c r="CH1" s="10">
        <v>4</v>
      </c>
      <c r="CI1" s="10">
        <v>12</v>
      </c>
      <c r="CJ1" s="10">
        <v>12</v>
      </c>
      <c r="CK1" s="10">
        <v>12</v>
      </c>
      <c r="CL1" s="10">
        <v>12</v>
      </c>
      <c r="CM1" s="10">
        <v>12</v>
      </c>
      <c r="CN1" s="10">
        <v>12</v>
      </c>
      <c r="CO1" s="10">
        <v>6</v>
      </c>
      <c r="CP1" s="10">
        <v>4</v>
      </c>
      <c r="CQ1" s="10">
        <v>4</v>
      </c>
      <c r="CR1" s="10">
        <v>4</v>
      </c>
      <c r="CS1" s="10">
        <v>4</v>
      </c>
      <c r="CT1" s="10">
        <v>4</v>
      </c>
      <c r="CU1" s="10">
        <v>4</v>
      </c>
      <c r="CV1" s="10">
        <v>12</v>
      </c>
      <c r="CW1" s="10">
        <v>12</v>
      </c>
      <c r="CX1" s="10">
        <v>12</v>
      </c>
      <c r="CY1" s="10">
        <v>12</v>
      </c>
      <c r="CZ1" s="10">
        <v>12</v>
      </c>
      <c r="DA1" s="10">
        <v>12</v>
      </c>
      <c r="DB1" s="10">
        <v>12</v>
      </c>
      <c r="DC1" s="10">
        <v>6</v>
      </c>
      <c r="DD1" s="10">
        <v>4</v>
      </c>
      <c r="DE1" s="10">
        <v>4</v>
      </c>
      <c r="DF1" s="10">
        <v>4</v>
      </c>
      <c r="DG1" s="10">
        <v>4</v>
      </c>
      <c r="DH1" s="10">
        <v>4</v>
      </c>
      <c r="DI1" s="10">
        <v>12</v>
      </c>
      <c r="DJ1" s="10">
        <v>12</v>
      </c>
      <c r="DK1" s="10">
        <v>12</v>
      </c>
      <c r="DL1" s="10">
        <v>12</v>
      </c>
      <c r="DM1" s="10">
        <v>12</v>
      </c>
      <c r="DN1" s="10">
        <v>12</v>
      </c>
      <c r="DO1" s="10">
        <v>12</v>
      </c>
      <c r="DP1" s="10">
        <v>12</v>
      </c>
      <c r="DQ1" s="10">
        <v>6</v>
      </c>
      <c r="DR1" s="10">
        <v>4</v>
      </c>
      <c r="DS1" s="10">
        <v>4</v>
      </c>
      <c r="DT1" s="10">
        <v>4</v>
      </c>
      <c r="DU1" s="10">
        <v>4</v>
      </c>
      <c r="DV1" s="10">
        <v>12</v>
      </c>
      <c r="DW1" s="10">
        <v>12</v>
      </c>
      <c r="DX1" s="10">
        <v>12</v>
      </c>
      <c r="DY1" s="10">
        <v>12</v>
      </c>
      <c r="DZ1" s="10">
        <v>12</v>
      </c>
      <c r="EA1" s="10">
        <v>12</v>
      </c>
      <c r="EB1" s="10">
        <v>12</v>
      </c>
      <c r="EC1" s="10">
        <v>12</v>
      </c>
      <c r="ED1" s="10">
        <v>12</v>
      </c>
      <c r="EE1" s="10">
        <v>6</v>
      </c>
      <c r="EF1" s="10">
        <v>4</v>
      </c>
      <c r="EG1" s="10">
        <v>4</v>
      </c>
      <c r="EH1" s="10">
        <v>4</v>
      </c>
      <c r="EI1" s="10">
        <v>12</v>
      </c>
      <c r="EJ1" s="10">
        <v>12</v>
      </c>
      <c r="EK1" s="10">
        <v>12</v>
      </c>
      <c r="EL1" s="10">
        <v>12</v>
      </c>
      <c r="EM1" s="10">
        <v>12</v>
      </c>
      <c r="EN1" s="10">
        <v>12</v>
      </c>
      <c r="EO1" s="10">
        <v>12</v>
      </c>
      <c r="EP1" s="10">
        <v>12</v>
      </c>
      <c r="EQ1" s="10">
        <v>12</v>
      </c>
      <c r="ER1" s="10">
        <v>12</v>
      </c>
      <c r="ES1" s="10">
        <v>6</v>
      </c>
      <c r="ET1" s="10">
        <v>4</v>
      </c>
      <c r="EU1" s="10">
        <v>4</v>
      </c>
      <c r="EV1" s="10">
        <v>12</v>
      </c>
      <c r="EW1" s="10">
        <v>12</v>
      </c>
      <c r="EX1" s="10">
        <v>12</v>
      </c>
      <c r="EY1" s="10">
        <v>12</v>
      </c>
      <c r="EZ1" s="10">
        <v>12</v>
      </c>
      <c r="FA1" s="10">
        <v>12</v>
      </c>
      <c r="FB1" s="10">
        <v>12</v>
      </c>
      <c r="FC1" s="10">
        <v>12</v>
      </c>
      <c r="FD1" s="10">
        <v>12</v>
      </c>
      <c r="FE1" s="10">
        <v>12</v>
      </c>
      <c r="FF1" s="10">
        <v>12</v>
      </c>
      <c r="FG1" s="10">
        <v>6</v>
      </c>
      <c r="FH1" s="10">
        <v>4</v>
      </c>
      <c r="FI1" s="10">
        <v>12</v>
      </c>
      <c r="FJ1" s="10">
        <v>12</v>
      </c>
      <c r="FK1" s="10">
        <v>12</v>
      </c>
      <c r="FL1" s="10">
        <v>12</v>
      </c>
      <c r="FM1" s="10">
        <v>12</v>
      </c>
      <c r="FN1" s="10">
        <v>12</v>
      </c>
      <c r="FO1" s="10">
        <v>12</v>
      </c>
      <c r="FP1" s="10">
        <v>12</v>
      </c>
      <c r="FQ1" s="10">
        <v>12</v>
      </c>
      <c r="FR1" s="10">
        <v>12</v>
      </c>
      <c r="FS1" s="10">
        <v>12</v>
      </c>
      <c r="FT1" s="10">
        <v>12</v>
      </c>
      <c r="FU1" s="10">
        <v>6</v>
      </c>
    </row>
    <row r="2" spans="1:178" s="6" customFormat="1" ht="14.25" customHeight="1" x14ac:dyDescent="0.25">
      <c r="A2" s="7" t="s">
        <v>187</v>
      </c>
      <c r="B2" s="7" t="s">
        <v>193</v>
      </c>
      <c r="C2" s="7" t="s">
        <v>191</v>
      </c>
      <c r="D2" s="7" t="s">
        <v>189</v>
      </c>
      <c r="E2" s="7" t="s">
        <v>202</v>
      </c>
      <c r="F2" s="7" t="s">
        <v>203</v>
      </c>
      <c r="G2" s="7" t="s">
        <v>199</v>
      </c>
      <c r="H2" s="7" t="s">
        <v>192</v>
      </c>
      <c r="I2" s="6" t="s">
        <v>17</v>
      </c>
      <c r="J2" s="6" t="s">
        <v>18</v>
      </c>
      <c r="K2" s="6" t="s">
        <v>19</v>
      </c>
      <c r="L2" s="6" t="s">
        <v>20</v>
      </c>
      <c r="M2" s="6" t="s">
        <v>21</v>
      </c>
      <c r="N2" s="6" t="s">
        <v>22</v>
      </c>
      <c r="O2" s="6" t="s">
        <v>23</v>
      </c>
      <c r="P2" s="6" t="s">
        <v>24</v>
      </c>
      <c r="Q2" s="6" t="s">
        <v>25</v>
      </c>
      <c r="R2" s="6" t="s">
        <v>26</v>
      </c>
      <c r="S2" s="6" t="s">
        <v>27</v>
      </c>
      <c r="T2" s="6" t="s">
        <v>28</v>
      </c>
      <c r="U2" s="6" t="s">
        <v>29</v>
      </c>
      <c r="V2" s="6" t="s">
        <v>30</v>
      </c>
      <c r="W2" s="6" t="s">
        <v>31</v>
      </c>
      <c r="X2" s="6" t="s">
        <v>32</v>
      </c>
      <c r="Y2" s="6" t="s">
        <v>33</v>
      </c>
      <c r="Z2" s="6" t="s">
        <v>34</v>
      </c>
      <c r="AA2" s="6" t="s">
        <v>35</v>
      </c>
      <c r="AB2" s="6" t="s">
        <v>36</v>
      </c>
      <c r="AC2" s="6" t="s">
        <v>37</v>
      </c>
      <c r="AD2" s="6" t="s">
        <v>38</v>
      </c>
      <c r="AE2" s="6" t="s">
        <v>39</v>
      </c>
      <c r="AF2" s="6" t="s">
        <v>40</v>
      </c>
      <c r="AG2" s="6" t="s">
        <v>41</v>
      </c>
      <c r="AH2" s="6" t="s">
        <v>42</v>
      </c>
      <c r="AI2" s="6" t="s">
        <v>43</v>
      </c>
      <c r="AJ2" s="6" t="s">
        <v>44</v>
      </c>
      <c r="AK2" s="6" t="s">
        <v>45</v>
      </c>
      <c r="AL2" s="6" t="s">
        <v>46</v>
      </c>
      <c r="AM2" s="6" t="s">
        <v>47</v>
      </c>
      <c r="AN2" s="6" t="s">
        <v>48</v>
      </c>
      <c r="AO2" s="6" t="s">
        <v>49</v>
      </c>
      <c r="AP2" s="6" t="s">
        <v>50</v>
      </c>
      <c r="AQ2" s="6" t="s">
        <v>51</v>
      </c>
      <c r="AR2" s="6" t="s">
        <v>52</v>
      </c>
      <c r="AS2" s="6" t="s">
        <v>53</v>
      </c>
      <c r="AT2" s="6" t="s">
        <v>54</v>
      </c>
      <c r="AU2" s="6" t="s">
        <v>55</v>
      </c>
      <c r="AV2" s="6" t="s">
        <v>56</v>
      </c>
      <c r="AW2" s="6" t="s">
        <v>57</v>
      </c>
      <c r="AX2" s="6" t="s">
        <v>58</v>
      </c>
      <c r="AY2" s="6" t="s">
        <v>59</v>
      </c>
      <c r="AZ2" s="6" t="s">
        <v>60</v>
      </c>
      <c r="BA2" s="6" t="s">
        <v>61</v>
      </c>
      <c r="BB2" s="6" t="s">
        <v>62</v>
      </c>
      <c r="BC2" s="6" t="s">
        <v>63</v>
      </c>
      <c r="BD2" s="6" t="s">
        <v>64</v>
      </c>
      <c r="BE2" s="6" t="s">
        <v>65</v>
      </c>
      <c r="BF2" s="6" t="s">
        <v>66</v>
      </c>
      <c r="BG2" s="6" t="s">
        <v>67</v>
      </c>
      <c r="BH2" s="6" t="s">
        <v>68</v>
      </c>
      <c r="BI2" s="6" t="s">
        <v>69</v>
      </c>
      <c r="BJ2" s="6" t="s">
        <v>70</v>
      </c>
      <c r="BK2" s="6" t="s">
        <v>71</v>
      </c>
      <c r="BL2" s="6" t="s">
        <v>72</v>
      </c>
      <c r="BM2" s="6" t="s">
        <v>73</v>
      </c>
      <c r="BN2" s="6" t="s">
        <v>74</v>
      </c>
      <c r="BO2" s="6" t="s">
        <v>75</v>
      </c>
      <c r="BP2" s="6" t="s">
        <v>76</v>
      </c>
      <c r="BQ2" s="6" t="s">
        <v>77</v>
      </c>
      <c r="BR2" s="6" t="s">
        <v>78</v>
      </c>
      <c r="BS2" s="6" t="s">
        <v>79</v>
      </c>
      <c r="BT2" s="6" t="s">
        <v>80</v>
      </c>
      <c r="BU2" s="6" t="s">
        <v>81</v>
      </c>
      <c r="BV2" s="6" t="s">
        <v>82</v>
      </c>
      <c r="BW2" s="6" t="s">
        <v>83</v>
      </c>
      <c r="BX2" s="6" t="s">
        <v>84</v>
      </c>
      <c r="BY2" s="6" t="s">
        <v>85</v>
      </c>
      <c r="BZ2" s="6" t="s">
        <v>86</v>
      </c>
      <c r="CA2" s="6" t="s">
        <v>87</v>
      </c>
      <c r="CB2" s="6" t="s">
        <v>88</v>
      </c>
      <c r="CC2" s="6" t="s">
        <v>89</v>
      </c>
      <c r="CD2" s="6" t="s">
        <v>90</v>
      </c>
      <c r="CE2" s="6" t="s">
        <v>91</v>
      </c>
      <c r="CF2" s="6" t="s">
        <v>92</v>
      </c>
      <c r="CG2" s="6" t="s">
        <v>93</v>
      </c>
      <c r="CH2" s="6" t="s">
        <v>94</v>
      </c>
      <c r="CI2" s="6" t="s">
        <v>95</v>
      </c>
      <c r="CJ2" s="6" t="s">
        <v>96</v>
      </c>
      <c r="CK2" s="6" t="s">
        <v>97</v>
      </c>
      <c r="CL2" s="6" t="s">
        <v>98</v>
      </c>
      <c r="CM2" s="6" t="s">
        <v>99</v>
      </c>
      <c r="CN2" s="6" t="s">
        <v>100</v>
      </c>
      <c r="CO2" s="6" t="s">
        <v>101</v>
      </c>
      <c r="CP2" s="6" t="s">
        <v>102</v>
      </c>
      <c r="CQ2" s="6" t="s">
        <v>103</v>
      </c>
      <c r="CR2" s="6" t="s">
        <v>104</v>
      </c>
      <c r="CS2" s="6" t="s">
        <v>105</v>
      </c>
      <c r="CT2" s="6" t="s">
        <v>106</v>
      </c>
      <c r="CU2" s="6" t="s">
        <v>107</v>
      </c>
      <c r="CV2" s="6" t="s">
        <v>108</v>
      </c>
      <c r="CW2" s="6" t="s">
        <v>109</v>
      </c>
      <c r="CX2" s="6" t="s">
        <v>110</v>
      </c>
      <c r="CY2" s="6" t="s">
        <v>111</v>
      </c>
      <c r="CZ2" s="6" t="s">
        <v>112</v>
      </c>
      <c r="DA2" s="6" t="s">
        <v>113</v>
      </c>
      <c r="DB2" s="6" t="s">
        <v>114</v>
      </c>
      <c r="DC2" s="6" t="s">
        <v>115</v>
      </c>
      <c r="DD2" s="6" t="s">
        <v>116</v>
      </c>
      <c r="DE2" s="6" t="s">
        <v>117</v>
      </c>
      <c r="DF2" s="6" t="s">
        <v>118</v>
      </c>
      <c r="DG2" s="6" t="s">
        <v>119</v>
      </c>
      <c r="DH2" s="6" t="s">
        <v>120</v>
      </c>
      <c r="DI2" s="6" t="s">
        <v>121</v>
      </c>
      <c r="DJ2" s="6" t="s">
        <v>122</v>
      </c>
      <c r="DK2" s="6" t="s">
        <v>123</v>
      </c>
      <c r="DL2" s="6" t="s">
        <v>124</v>
      </c>
      <c r="DM2" s="6" t="s">
        <v>125</v>
      </c>
      <c r="DN2" s="6" t="s">
        <v>126</v>
      </c>
      <c r="DO2" s="6" t="s">
        <v>127</v>
      </c>
      <c r="DP2" s="6" t="s">
        <v>128</v>
      </c>
      <c r="DQ2" s="6" t="s">
        <v>129</v>
      </c>
      <c r="DR2" s="6" t="s">
        <v>130</v>
      </c>
      <c r="DS2" s="6" t="s">
        <v>131</v>
      </c>
      <c r="DT2" s="6" t="s">
        <v>132</v>
      </c>
      <c r="DU2" s="6" t="s">
        <v>133</v>
      </c>
      <c r="DV2" s="6" t="s">
        <v>134</v>
      </c>
      <c r="DW2" s="6" t="s">
        <v>135</v>
      </c>
      <c r="DX2" s="6" t="s">
        <v>136</v>
      </c>
      <c r="DY2" s="6" t="s">
        <v>137</v>
      </c>
      <c r="DZ2" s="6" t="s">
        <v>138</v>
      </c>
      <c r="EA2" s="6" t="s">
        <v>139</v>
      </c>
      <c r="EB2" s="6" t="s">
        <v>140</v>
      </c>
      <c r="EC2" s="6" t="s">
        <v>141</v>
      </c>
      <c r="ED2" s="6" t="s">
        <v>142</v>
      </c>
      <c r="EE2" s="6" t="s">
        <v>143</v>
      </c>
      <c r="EF2" s="6" t="s">
        <v>144</v>
      </c>
      <c r="EG2" s="6" t="s">
        <v>145</v>
      </c>
      <c r="EH2" s="6" t="s">
        <v>146</v>
      </c>
      <c r="EI2" s="6" t="s">
        <v>147</v>
      </c>
      <c r="EJ2" s="6" t="s">
        <v>148</v>
      </c>
      <c r="EK2" s="6" t="s">
        <v>149</v>
      </c>
      <c r="EL2" s="6" t="s">
        <v>150</v>
      </c>
      <c r="EM2" s="6" t="s">
        <v>151</v>
      </c>
      <c r="EN2" s="6" t="s">
        <v>152</v>
      </c>
      <c r="EO2" s="6" t="s">
        <v>153</v>
      </c>
      <c r="EP2" s="6" t="s">
        <v>154</v>
      </c>
      <c r="EQ2" s="6" t="s">
        <v>155</v>
      </c>
      <c r="ER2" s="6" t="s">
        <v>156</v>
      </c>
      <c r="ES2" s="6" t="s">
        <v>157</v>
      </c>
      <c r="ET2" s="6" t="s">
        <v>158</v>
      </c>
      <c r="EU2" s="6" t="s">
        <v>159</v>
      </c>
      <c r="EV2" s="6" t="s">
        <v>160</v>
      </c>
      <c r="EW2" s="6" t="s">
        <v>161</v>
      </c>
      <c r="EX2" s="6" t="s">
        <v>162</v>
      </c>
      <c r="EY2" s="6" t="s">
        <v>163</v>
      </c>
      <c r="EZ2" s="6" t="s">
        <v>164</v>
      </c>
      <c r="FA2" s="6" t="s">
        <v>165</v>
      </c>
      <c r="FB2" s="6" t="s">
        <v>166</v>
      </c>
      <c r="FC2" s="6" t="s">
        <v>167</v>
      </c>
      <c r="FD2" s="6" t="s">
        <v>168</v>
      </c>
      <c r="FE2" s="6" t="s">
        <v>169</v>
      </c>
      <c r="FF2" s="6" t="s">
        <v>170</v>
      </c>
      <c r="FG2" s="6" t="s">
        <v>171</v>
      </c>
      <c r="FH2" s="6" t="s">
        <v>172</v>
      </c>
      <c r="FI2" s="6" t="s">
        <v>173</v>
      </c>
      <c r="FJ2" s="6" t="s">
        <v>174</v>
      </c>
      <c r="FK2" s="6" t="s">
        <v>175</v>
      </c>
      <c r="FL2" s="6" t="s">
        <v>176</v>
      </c>
      <c r="FM2" s="6" t="s">
        <v>177</v>
      </c>
      <c r="FN2" s="6" t="s">
        <v>178</v>
      </c>
      <c r="FO2" s="6" t="s">
        <v>179</v>
      </c>
      <c r="FP2" s="6" t="s">
        <v>180</v>
      </c>
      <c r="FQ2" s="6" t="s">
        <v>181</v>
      </c>
      <c r="FR2" s="6" t="s">
        <v>182</v>
      </c>
      <c r="FS2" s="6" t="s">
        <v>183</v>
      </c>
      <c r="FT2" s="6" t="s">
        <v>184</v>
      </c>
      <c r="FU2" s="6" t="s">
        <v>185</v>
      </c>
      <c r="FV2" s="7" t="s">
        <v>198</v>
      </c>
    </row>
    <row r="3" spans="1:178" ht="14.25" customHeight="1" x14ac:dyDescent="0.25">
      <c r="A3" s="86" t="s">
        <v>273</v>
      </c>
      <c r="B3">
        <v>9</v>
      </c>
      <c r="C3">
        <v>100</v>
      </c>
      <c r="D3" s="8" t="s">
        <v>10</v>
      </c>
      <c r="E3" s="8" t="s">
        <v>197</v>
      </c>
      <c r="F3" s="8" t="s">
        <v>197</v>
      </c>
      <c r="G3" s="8" t="s">
        <v>201</v>
      </c>
      <c r="H3" s="8" t="s">
        <v>194</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c r="AF3">
        <v>1</v>
      </c>
      <c r="AG3">
        <v>1</v>
      </c>
      <c r="AH3">
        <v>1</v>
      </c>
      <c r="AI3">
        <v>1</v>
      </c>
      <c r="AJ3">
        <v>1</v>
      </c>
      <c r="AK3">
        <v>1</v>
      </c>
      <c r="AL3">
        <v>1</v>
      </c>
      <c r="AM3">
        <v>1</v>
      </c>
      <c r="AN3">
        <v>1</v>
      </c>
      <c r="AO3">
        <v>1</v>
      </c>
      <c r="AP3">
        <v>1</v>
      </c>
      <c r="AQ3">
        <v>1</v>
      </c>
      <c r="AR3">
        <v>1</v>
      </c>
      <c r="AS3">
        <v>1</v>
      </c>
      <c r="AT3">
        <v>1</v>
      </c>
      <c r="AU3">
        <v>1</v>
      </c>
      <c r="AV3">
        <v>1</v>
      </c>
      <c r="AW3">
        <v>1</v>
      </c>
      <c r="AX3">
        <v>1</v>
      </c>
      <c r="AY3">
        <v>1</v>
      </c>
      <c r="AZ3">
        <v>1</v>
      </c>
      <c r="BA3">
        <v>1</v>
      </c>
      <c r="BB3">
        <v>1</v>
      </c>
      <c r="BC3">
        <v>1</v>
      </c>
      <c r="BD3">
        <v>1</v>
      </c>
      <c r="BI3">
        <v>1</v>
      </c>
      <c r="BJ3">
        <v>1</v>
      </c>
      <c r="BK3">
        <v>1</v>
      </c>
      <c r="BL3">
        <v>1</v>
      </c>
      <c r="BM3">
        <v>1</v>
      </c>
      <c r="BN3">
        <v>1</v>
      </c>
      <c r="BO3">
        <v>1</v>
      </c>
      <c r="BP3">
        <v>1</v>
      </c>
      <c r="BQ3">
        <v>1</v>
      </c>
      <c r="BV3">
        <v>1</v>
      </c>
      <c r="BW3">
        <v>1</v>
      </c>
      <c r="BX3">
        <v>1</v>
      </c>
      <c r="BY3">
        <v>1</v>
      </c>
      <c r="BZ3">
        <v>1</v>
      </c>
      <c r="CA3">
        <v>1</v>
      </c>
      <c r="CB3">
        <v>1</v>
      </c>
      <c r="CC3">
        <v>1</v>
      </c>
      <c r="CD3">
        <v>1</v>
      </c>
      <c r="CI3">
        <v>1</v>
      </c>
      <c r="CJ3">
        <v>1</v>
      </c>
      <c r="CK3">
        <v>1</v>
      </c>
      <c r="CL3">
        <v>1</v>
      </c>
      <c r="CM3">
        <v>1</v>
      </c>
      <c r="CN3">
        <v>1</v>
      </c>
      <c r="CO3">
        <v>1</v>
      </c>
      <c r="CP3">
        <v>1</v>
      </c>
      <c r="CQ3">
        <v>1</v>
      </c>
      <c r="CR3">
        <v>1</v>
      </c>
      <c r="CV3">
        <v>1</v>
      </c>
      <c r="CW3">
        <v>1</v>
      </c>
      <c r="DA3">
        <v>1</v>
      </c>
      <c r="DB3">
        <v>1</v>
      </c>
      <c r="DC3">
        <v>1</v>
      </c>
      <c r="DD3">
        <v>1</v>
      </c>
      <c r="DE3">
        <v>1</v>
      </c>
      <c r="DF3">
        <v>1</v>
      </c>
      <c r="DI3">
        <v>1</v>
      </c>
      <c r="DP3">
        <v>1</v>
      </c>
      <c r="DQ3">
        <v>1</v>
      </c>
      <c r="DR3">
        <v>1</v>
      </c>
      <c r="DS3">
        <v>1</v>
      </c>
      <c r="DV3">
        <v>1</v>
      </c>
      <c r="EE3">
        <v>1</v>
      </c>
      <c r="EF3">
        <v>1</v>
      </c>
      <c r="EG3">
        <v>1</v>
      </c>
      <c r="EI3">
        <v>1</v>
      </c>
      <c r="ES3">
        <v>1</v>
      </c>
      <c r="ET3">
        <v>1</v>
      </c>
      <c r="EV3">
        <v>1</v>
      </c>
      <c r="FG3">
        <v>1</v>
      </c>
      <c r="FH3">
        <v>1</v>
      </c>
      <c r="FI3">
        <v>1</v>
      </c>
      <c r="FU3">
        <v>1</v>
      </c>
      <c r="FV3" s="11">
        <f>SUMPRODUCT(I3:FU3,$I$1:$FU$1)/(SUM($I$1:$FU$1))</f>
        <v>0.5113122171945701</v>
      </c>
    </row>
    <row r="4" spans="1:178" ht="14.25" customHeight="1" x14ac:dyDescent="0.25">
      <c r="A4" s="86" t="s">
        <v>273</v>
      </c>
      <c r="B4">
        <v>9</v>
      </c>
      <c r="C4">
        <v>100</v>
      </c>
      <c r="D4" s="8" t="s">
        <v>15</v>
      </c>
      <c r="E4" s="8" t="s">
        <v>197</v>
      </c>
      <c r="F4" s="8" t="s">
        <v>197</v>
      </c>
      <c r="G4" s="8" t="s">
        <v>201</v>
      </c>
      <c r="H4" s="8" t="s">
        <v>194</v>
      </c>
      <c r="I4">
        <v>1</v>
      </c>
      <c r="J4">
        <v>1</v>
      </c>
      <c r="K4">
        <v>1</v>
      </c>
      <c r="L4">
        <v>1</v>
      </c>
      <c r="M4">
        <v>1</v>
      </c>
      <c r="N4">
        <v>1</v>
      </c>
      <c r="R4">
        <v>1</v>
      </c>
      <c r="V4">
        <v>1</v>
      </c>
      <c r="W4">
        <v>1</v>
      </c>
      <c r="X4">
        <v>1</v>
      </c>
      <c r="Y4">
        <v>1</v>
      </c>
      <c r="Z4">
        <v>1</v>
      </c>
      <c r="AI4">
        <v>1</v>
      </c>
      <c r="AK4">
        <v>1</v>
      </c>
      <c r="AL4">
        <v>1</v>
      </c>
      <c r="AM4">
        <v>1</v>
      </c>
      <c r="AY4">
        <v>1</v>
      </c>
      <c r="AZ4">
        <v>1</v>
      </c>
      <c r="BM4">
        <v>1</v>
      </c>
      <c r="BN4">
        <v>1</v>
      </c>
      <c r="CA4">
        <v>1</v>
      </c>
      <c r="CB4">
        <v>1</v>
      </c>
      <c r="CO4">
        <v>1</v>
      </c>
      <c r="DC4">
        <v>1</v>
      </c>
      <c r="DQ4">
        <v>1</v>
      </c>
      <c r="FV4" s="11">
        <f t="shared" ref="FV4:FV33" si="0">SUMPRODUCT(I4:FU4,$I$1:$FU$1)/(SUM($I$1:$FU$1))</f>
        <v>0.10105580693815988</v>
      </c>
    </row>
    <row r="5" spans="1:178" ht="14.25" customHeight="1" x14ac:dyDescent="0.25">
      <c r="A5" s="86" t="s">
        <v>273</v>
      </c>
      <c r="B5">
        <v>9</v>
      </c>
      <c r="C5">
        <v>100</v>
      </c>
      <c r="D5" s="8" t="s">
        <v>242</v>
      </c>
      <c r="E5" s="8" t="s">
        <v>197</v>
      </c>
      <c r="F5" s="8" t="s">
        <v>197</v>
      </c>
      <c r="G5" s="8" t="s">
        <v>201</v>
      </c>
      <c r="H5" s="8" t="s">
        <v>194</v>
      </c>
      <c r="I5">
        <v>1</v>
      </c>
      <c r="J5">
        <v>1</v>
      </c>
      <c r="K5">
        <v>1</v>
      </c>
      <c r="L5">
        <v>1</v>
      </c>
      <c r="M5">
        <v>1</v>
      </c>
      <c r="N5">
        <v>1</v>
      </c>
      <c r="O5">
        <v>1</v>
      </c>
      <c r="P5">
        <v>1</v>
      </c>
      <c r="Q5">
        <v>1</v>
      </c>
      <c r="R5">
        <v>1</v>
      </c>
      <c r="S5">
        <v>1</v>
      </c>
      <c r="V5">
        <v>1</v>
      </c>
      <c r="W5">
        <v>1</v>
      </c>
      <c r="X5">
        <v>1</v>
      </c>
      <c r="Y5">
        <v>1</v>
      </c>
      <c r="Z5">
        <v>1</v>
      </c>
      <c r="AA5">
        <v>1</v>
      </c>
      <c r="AI5">
        <v>1</v>
      </c>
      <c r="AJ5">
        <v>1</v>
      </c>
      <c r="AK5">
        <v>1</v>
      </c>
      <c r="AL5">
        <v>1</v>
      </c>
      <c r="AM5">
        <v>1</v>
      </c>
      <c r="AN5">
        <v>1</v>
      </c>
      <c r="AV5">
        <v>1</v>
      </c>
      <c r="AY5">
        <v>1</v>
      </c>
      <c r="AZ5">
        <v>1</v>
      </c>
      <c r="BA5">
        <v>1</v>
      </c>
      <c r="BM5">
        <v>1</v>
      </c>
      <c r="BN5">
        <v>1</v>
      </c>
      <c r="CA5">
        <v>1</v>
      </c>
      <c r="CB5">
        <v>1</v>
      </c>
      <c r="CO5">
        <v>1</v>
      </c>
      <c r="CP5">
        <v>1</v>
      </c>
      <c r="DC5">
        <v>1</v>
      </c>
      <c r="DQ5">
        <v>1</v>
      </c>
      <c r="FV5" s="11">
        <f t="shared" si="0"/>
        <v>0.14328808446455504</v>
      </c>
    </row>
    <row r="6" spans="1:178" ht="14.25" customHeight="1" x14ac:dyDescent="0.25">
      <c r="A6" s="86" t="s">
        <v>273</v>
      </c>
      <c r="B6">
        <v>9</v>
      </c>
      <c r="C6">
        <v>100</v>
      </c>
      <c r="D6" s="8" t="s">
        <v>14</v>
      </c>
      <c r="E6" s="8" t="s">
        <v>197</v>
      </c>
      <c r="F6" s="8" t="s">
        <v>197</v>
      </c>
      <c r="G6" s="8" t="s">
        <v>201</v>
      </c>
      <c r="H6" s="8" t="s">
        <v>194</v>
      </c>
      <c r="I6">
        <v>1</v>
      </c>
      <c r="J6">
        <v>1</v>
      </c>
      <c r="K6">
        <v>1</v>
      </c>
      <c r="L6">
        <v>1</v>
      </c>
      <c r="M6">
        <v>1</v>
      </c>
      <c r="N6">
        <v>1</v>
      </c>
      <c r="O6">
        <v>1</v>
      </c>
      <c r="P6">
        <v>1</v>
      </c>
      <c r="Q6">
        <v>1</v>
      </c>
      <c r="R6">
        <v>1</v>
      </c>
      <c r="S6">
        <v>1</v>
      </c>
      <c r="T6">
        <v>1</v>
      </c>
      <c r="U6">
        <v>1</v>
      </c>
      <c r="V6">
        <v>1</v>
      </c>
      <c r="W6">
        <v>1</v>
      </c>
      <c r="X6">
        <v>1</v>
      </c>
      <c r="Y6">
        <v>1</v>
      </c>
      <c r="Z6">
        <v>1</v>
      </c>
      <c r="AA6">
        <v>1</v>
      </c>
      <c r="AI6">
        <v>1</v>
      </c>
      <c r="AJ6">
        <v>1</v>
      </c>
      <c r="AK6">
        <v>1</v>
      </c>
      <c r="AL6">
        <v>1</v>
      </c>
      <c r="AM6">
        <v>1</v>
      </c>
      <c r="AN6">
        <v>1</v>
      </c>
      <c r="AV6">
        <v>1</v>
      </c>
      <c r="AY6">
        <v>1</v>
      </c>
      <c r="AZ6">
        <v>1</v>
      </c>
      <c r="BA6">
        <v>1</v>
      </c>
      <c r="BM6">
        <v>1</v>
      </c>
      <c r="BN6">
        <v>1</v>
      </c>
      <c r="CA6">
        <v>1</v>
      </c>
      <c r="CB6">
        <v>1</v>
      </c>
      <c r="CO6">
        <v>1</v>
      </c>
      <c r="CP6">
        <v>1</v>
      </c>
      <c r="DC6">
        <v>1</v>
      </c>
      <c r="DD6">
        <v>1</v>
      </c>
      <c r="DQ6">
        <v>1</v>
      </c>
      <c r="EE6">
        <v>1</v>
      </c>
      <c r="FV6" s="11">
        <f t="shared" si="0"/>
        <v>0.15686274509803921</v>
      </c>
    </row>
    <row r="7" spans="1:178" ht="14.25" customHeight="1" x14ac:dyDescent="0.25">
      <c r="A7" s="86" t="s">
        <v>273</v>
      </c>
      <c r="B7">
        <v>9</v>
      </c>
      <c r="C7">
        <v>100</v>
      </c>
      <c r="D7" s="8" t="s">
        <v>13</v>
      </c>
      <c r="E7" s="8" t="s">
        <v>197</v>
      </c>
      <c r="F7" s="8" t="s">
        <v>197</v>
      </c>
      <c r="G7" s="8" t="s">
        <v>201</v>
      </c>
      <c r="H7" s="8" t="s">
        <v>194</v>
      </c>
      <c r="I7">
        <v>1</v>
      </c>
      <c r="J7">
        <v>1</v>
      </c>
      <c r="K7">
        <v>1</v>
      </c>
      <c r="L7">
        <v>1</v>
      </c>
      <c r="M7">
        <v>1</v>
      </c>
      <c r="N7">
        <v>1</v>
      </c>
      <c r="O7">
        <v>1</v>
      </c>
      <c r="P7">
        <v>1</v>
      </c>
      <c r="Q7">
        <v>1</v>
      </c>
      <c r="R7">
        <v>1</v>
      </c>
      <c r="S7">
        <v>1</v>
      </c>
      <c r="T7">
        <v>1</v>
      </c>
      <c r="U7">
        <v>1</v>
      </c>
      <c r="V7">
        <v>1</v>
      </c>
      <c r="W7">
        <v>1</v>
      </c>
      <c r="X7">
        <v>1</v>
      </c>
      <c r="Y7">
        <v>1</v>
      </c>
      <c r="Z7">
        <v>1</v>
      </c>
      <c r="AA7">
        <v>1</v>
      </c>
      <c r="AI7">
        <v>1</v>
      </c>
      <c r="AJ7">
        <v>1</v>
      </c>
      <c r="AK7">
        <v>1</v>
      </c>
      <c r="AL7">
        <v>1</v>
      </c>
      <c r="AM7">
        <v>1</v>
      </c>
      <c r="AN7">
        <v>1</v>
      </c>
      <c r="AV7">
        <v>1</v>
      </c>
      <c r="AW7">
        <v>1</v>
      </c>
      <c r="AY7">
        <v>1</v>
      </c>
      <c r="AZ7">
        <v>1</v>
      </c>
      <c r="BA7">
        <v>1</v>
      </c>
      <c r="BI7">
        <v>1</v>
      </c>
      <c r="BM7">
        <v>1</v>
      </c>
      <c r="BN7">
        <v>1</v>
      </c>
      <c r="CA7">
        <v>1</v>
      </c>
      <c r="CB7">
        <v>1</v>
      </c>
      <c r="CO7">
        <v>1</v>
      </c>
      <c r="CP7">
        <v>1</v>
      </c>
      <c r="DC7">
        <v>1</v>
      </c>
      <c r="DD7">
        <v>1</v>
      </c>
      <c r="DQ7">
        <v>1</v>
      </c>
      <c r="DR7">
        <v>1</v>
      </c>
      <c r="EE7">
        <v>1</v>
      </c>
      <c r="ES7">
        <v>1</v>
      </c>
      <c r="FV7" s="11">
        <f t="shared" si="0"/>
        <v>0.18250377073906485</v>
      </c>
    </row>
    <row r="8" spans="1:178" ht="14.25" customHeight="1" x14ac:dyDescent="0.25">
      <c r="A8" s="86" t="s">
        <v>273</v>
      </c>
      <c r="B8">
        <v>9</v>
      </c>
      <c r="C8">
        <v>100</v>
      </c>
      <c r="D8" s="8" t="s">
        <v>12</v>
      </c>
      <c r="E8" s="8" t="s">
        <v>197</v>
      </c>
      <c r="F8" s="8" t="s">
        <v>197</v>
      </c>
      <c r="G8" s="8" t="s">
        <v>201</v>
      </c>
      <c r="H8" s="8" t="s">
        <v>194</v>
      </c>
      <c r="I8">
        <v>1</v>
      </c>
      <c r="J8">
        <v>1</v>
      </c>
      <c r="K8">
        <v>1</v>
      </c>
      <c r="L8">
        <v>1</v>
      </c>
      <c r="M8">
        <v>1</v>
      </c>
      <c r="N8">
        <v>1</v>
      </c>
      <c r="O8">
        <v>1</v>
      </c>
      <c r="P8">
        <v>1</v>
      </c>
      <c r="Q8">
        <v>1</v>
      </c>
      <c r="R8">
        <v>1</v>
      </c>
      <c r="S8">
        <v>1</v>
      </c>
      <c r="T8">
        <v>1</v>
      </c>
      <c r="U8">
        <v>1</v>
      </c>
      <c r="V8">
        <v>1</v>
      </c>
      <c r="W8">
        <v>1</v>
      </c>
      <c r="X8">
        <v>1</v>
      </c>
      <c r="Y8">
        <v>1</v>
      </c>
      <c r="Z8">
        <v>1</v>
      </c>
      <c r="AA8">
        <v>1</v>
      </c>
      <c r="AB8">
        <v>1</v>
      </c>
      <c r="AI8">
        <v>1</v>
      </c>
      <c r="AJ8">
        <v>1</v>
      </c>
      <c r="AK8">
        <v>1</v>
      </c>
      <c r="AL8">
        <v>1</v>
      </c>
      <c r="AM8">
        <v>1</v>
      </c>
      <c r="AN8">
        <v>1</v>
      </c>
      <c r="AV8">
        <v>1</v>
      </c>
      <c r="AW8">
        <v>1</v>
      </c>
      <c r="AX8">
        <v>1</v>
      </c>
      <c r="AY8">
        <v>1</v>
      </c>
      <c r="AZ8">
        <v>1</v>
      </c>
      <c r="BA8">
        <v>1</v>
      </c>
      <c r="BI8">
        <v>1</v>
      </c>
      <c r="BM8">
        <v>1</v>
      </c>
      <c r="BN8">
        <v>1</v>
      </c>
      <c r="BO8">
        <v>1</v>
      </c>
      <c r="CA8">
        <v>1</v>
      </c>
      <c r="CB8">
        <v>1</v>
      </c>
      <c r="CC8">
        <v>1</v>
      </c>
      <c r="CO8">
        <v>1</v>
      </c>
      <c r="CP8">
        <v>1</v>
      </c>
      <c r="DC8">
        <v>1</v>
      </c>
      <c r="DD8">
        <v>1</v>
      </c>
      <c r="DQ8">
        <v>1</v>
      </c>
      <c r="DR8">
        <v>1</v>
      </c>
      <c r="EE8">
        <v>1</v>
      </c>
      <c r="EF8">
        <v>1</v>
      </c>
      <c r="ES8">
        <v>1</v>
      </c>
      <c r="FG8">
        <v>1</v>
      </c>
      <c r="FU8">
        <v>1</v>
      </c>
      <c r="FV8" s="11">
        <f t="shared" si="0"/>
        <v>0.21266968325791855</v>
      </c>
    </row>
    <row r="9" spans="1:178" ht="14.25" customHeight="1" x14ac:dyDescent="0.25">
      <c r="A9" s="86" t="s">
        <v>273</v>
      </c>
      <c r="B9">
        <v>9</v>
      </c>
      <c r="C9">
        <v>100</v>
      </c>
      <c r="D9" s="8" t="s">
        <v>11</v>
      </c>
      <c r="E9" s="8" t="s">
        <v>197</v>
      </c>
      <c r="F9" s="8" t="s">
        <v>197</v>
      </c>
      <c r="G9" s="8" t="s">
        <v>201</v>
      </c>
      <c r="H9" s="8" t="s">
        <v>194</v>
      </c>
      <c r="I9">
        <v>1</v>
      </c>
      <c r="J9">
        <v>1</v>
      </c>
      <c r="K9">
        <v>1</v>
      </c>
      <c r="L9">
        <v>1</v>
      </c>
      <c r="M9">
        <v>1</v>
      </c>
      <c r="N9">
        <v>1</v>
      </c>
      <c r="O9">
        <v>1</v>
      </c>
      <c r="P9">
        <v>1</v>
      </c>
      <c r="Q9">
        <v>1</v>
      </c>
      <c r="R9">
        <v>1</v>
      </c>
      <c r="S9">
        <v>1</v>
      </c>
      <c r="T9">
        <v>1</v>
      </c>
      <c r="U9">
        <v>1</v>
      </c>
      <c r="V9">
        <v>1</v>
      </c>
      <c r="W9">
        <v>1</v>
      </c>
      <c r="X9">
        <v>1</v>
      </c>
      <c r="Y9">
        <v>1</v>
      </c>
      <c r="Z9">
        <v>1</v>
      </c>
      <c r="AA9">
        <v>1</v>
      </c>
      <c r="AB9">
        <v>1</v>
      </c>
      <c r="AC9">
        <v>1</v>
      </c>
      <c r="AI9">
        <v>1</v>
      </c>
      <c r="AJ9">
        <v>1</v>
      </c>
      <c r="AK9">
        <v>1</v>
      </c>
      <c r="AL9">
        <v>1</v>
      </c>
      <c r="AM9">
        <v>1</v>
      </c>
      <c r="AN9">
        <v>1</v>
      </c>
      <c r="AO9">
        <v>1</v>
      </c>
      <c r="AV9">
        <v>1</v>
      </c>
      <c r="AW9">
        <v>1</v>
      </c>
      <c r="AX9">
        <v>1</v>
      </c>
      <c r="AY9">
        <v>1</v>
      </c>
      <c r="AZ9">
        <v>1</v>
      </c>
      <c r="BA9">
        <v>1</v>
      </c>
      <c r="BB9">
        <v>1</v>
      </c>
      <c r="BI9">
        <v>1</v>
      </c>
      <c r="BJ9">
        <v>1</v>
      </c>
      <c r="BK9">
        <v>1</v>
      </c>
      <c r="BL9">
        <v>1</v>
      </c>
      <c r="BM9">
        <v>1</v>
      </c>
      <c r="BN9">
        <v>1</v>
      </c>
      <c r="BO9">
        <v>1</v>
      </c>
      <c r="BV9">
        <v>1</v>
      </c>
      <c r="CA9">
        <v>1</v>
      </c>
      <c r="CB9">
        <v>1</v>
      </c>
      <c r="CC9">
        <v>1</v>
      </c>
      <c r="CO9">
        <v>1</v>
      </c>
      <c r="CP9">
        <v>1</v>
      </c>
      <c r="CQ9">
        <v>1</v>
      </c>
      <c r="DC9">
        <v>1</v>
      </c>
      <c r="DD9">
        <v>1</v>
      </c>
      <c r="DE9">
        <v>1</v>
      </c>
      <c r="DQ9">
        <v>1</v>
      </c>
      <c r="DR9">
        <v>1</v>
      </c>
      <c r="DS9">
        <v>1</v>
      </c>
      <c r="EE9">
        <v>1</v>
      </c>
      <c r="EF9">
        <v>1</v>
      </c>
      <c r="ES9">
        <v>1</v>
      </c>
      <c r="ET9">
        <v>1</v>
      </c>
      <c r="FG9">
        <v>1</v>
      </c>
      <c r="FU9">
        <v>1</v>
      </c>
      <c r="FV9" s="11">
        <f t="shared" si="0"/>
        <v>0.26998491704374056</v>
      </c>
    </row>
    <row r="10" spans="1:178" ht="14.25" customHeight="1" x14ac:dyDescent="0.25">
      <c r="A10" s="86" t="s">
        <v>273</v>
      </c>
      <c r="B10">
        <v>9</v>
      </c>
      <c r="C10">
        <v>100</v>
      </c>
      <c r="D10" s="8" t="s">
        <v>9</v>
      </c>
      <c r="E10" s="8" t="s">
        <v>197</v>
      </c>
      <c r="F10" s="8" t="s">
        <v>197</v>
      </c>
      <c r="G10" s="8" t="s">
        <v>201</v>
      </c>
      <c r="H10" s="8" t="s">
        <v>194</v>
      </c>
      <c r="J10">
        <v>1</v>
      </c>
      <c r="K10">
        <v>1</v>
      </c>
      <c r="L10">
        <v>1</v>
      </c>
      <c r="M10">
        <v>1</v>
      </c>
      <c r="X10">
        <v>1</v>
      </c>
      <c r="Y10">
        <v>1</v>
      </c>
      <c r="AI10">
        <v>1</v>
      </c>
      <c r="AJ10">
        <v>1</v>
      </c>
      <c r="AK10">
        <v>1</v>
      </c>
      <c r="AL10">
        <v>1</v>
      </c>
      <c r="AV10">
        <v>1</v>
      </c>
      <c r="AW10">
        <v>1</v>
      </c>
      <c r="AY10">
        <v>1</v>
      </c>
      <c r="BI10">
        <v>1</v>
      </c>
      <c r="BM10">
        <v>1</v>
      </c>
      <c r="CA10">
        <v>1</v>
      </c>
      <c r="CO10">
        <v>1</v>
      </c>
      <c r="FV10" s="11">
        <f t="shared" si="0"/>
        <v>8.8989441930618404E-2</v>
      </c>
    </row>
    <row r="11" spans="1:178" ht="14.25" customHeight="1" x14ac:dyDescent="0.25">
      <c r="A11" s="86" t="s">
        <v>273</v>
      </c>
      <c r="B11">
        <v>9</v>
      </c>
      <c r="C11">
        <v>100</v>
      </c>
      <c r="D11" s="8" t="s">
        <v>9</v>
      </c>
      <c r="E11" s="8" t="s">
        <v>197</v>
      </c>
      <c r="F11" s="8" t="s">
        <v>197</v>
      </c>
      <c r="G11" s="8" t="s">
        <v>201</v>
      </c>
      <c r="H11" s="17" t="s">
        <v>220</v>
      </c>
      <c r="BF11">
        <v>1</v>
      </c>
      <c r="BG11">
        <v>1</v>
      </c>
      <c r="BH11">
        <v>1</v>
      </c>
      <c r="BR11">
        <v>1</v>
      </c>
      <c r="BS11">
        <v>1</v>
      </c>
      <c r="CE11">
        <v>1</v>
      </c>
      <c r="CF11">
        <v>1</v>
      </c>
      <c r="CR11">
        <v>1</v>
      </c>
      <c r="CS11">
        <v>1</v>
      </c>
      <c r="DF11">
        <v>1</v>
      </c>
      <c r="DL11">
        <v>1</v>
      </c>
      <c r="DM11">
        <v>1</v>
      </c>
      <c r="DN11">
        <v>1</v>
      </c>
      <c r="DO11">
        <v>1</v>
      </c>
      <c r="DT11">
        <v>1</v>
      </c>
      <c r="DX11">
        <v>1</v>
      </c>
      <c r="EG11">
        <v>1</v>
      </c>
      <c r="EK11">
        <v>1</v>
      </c>
      <c r="ET11">
        <v>1</v>
      </c>
      <c r="EW11">
        <v>1</v>
      </c>
      <c r="EX11">
        <v>1</v>
      </c>
      <c r="FJ11">
        <v>1</v>
      </c>
      <c r="FK11">
        <v>1</v>
      </c>
      <c r="FV11" s="11">
        <f t="shared" si="0"/>
        <v>0.1297134238310709</v>
      </c>
    </row>
    <row r="12" spans="1:178" ht="14.25" customHeight="1" x14ac:dyDescent="0.25">
      <c r="A12" s="86" t="s">
        <v>273</v>
      </c>
      <c r="B12">
        <v>9</v>
      </c>
      <c r="C12">
        <v>100</v>
      </c>
      <c r="D12" s="8" t="s">
        <v>9</v>
      </c>
      <c r="E12" s="8" t="s">
        <v>197</v>
      </c>
      <c r="F12" s="8" t="s">
        <v>197</v>
      </c>
      <c r="G12" s="8" t="s">
        <v>201</v>
      </c>
      <c r="H12" s="8" t="s">
        <v>195</v>
      </c>
      <c r="I12">
        <v>1</v>
      </c>
      <c r="N12">
        <v>1</v>
      </c>
      <c r="O12">
        <v>1</v>
      </c>
      <c r="P12">
        <v>1</v>
      </c>
      <c r="Q12">
        <v>1</v>
      </c>
      <c r="R12">
        <v>1</v>
      </c>
      <c r="S12">
        <v>1</v>
      </c>
      <c r="T12">
        <v>1</v>
      </c>
      <c r="U12">
        <v>1</v>
      </c>
      <c r="V12">
        <v>1</v>
      </c>
      <c r="W12">
        <v>1</v>
      </c>
      <c r="Z12">
        <v>1</v>
      </c>
      <c r="AA12">
        <v>1</v>
      </c>
      <c r="AB12">
        <v>1</v>
      </c>
      <c r="AC12">
        <v>1</v>
      </c>
      <c r="AD12">
        <v>1</v>
      </c>
      <c r="AE12">
        <v>1</v>
      </c>
      <c r="AF12">
        <v>1</v>
      </c>
      <c r="AG12">
        <v>1</v>
      </c>
      <c r="AH12">
        <v>1</v>
      </c>
      <c r="AM12">
        <v>1</v>
      </c>
      <c r="AN12">
        <v>1</v>
      </c>
      <c r="AO12">
        <v>1</v>
      </c>
      <c r="AP12">
        <v>1</v>
      </c>
      <c r="AQ12">
        <v>1</v>
      </c>
      <c r="AR12">
        <v>1</v>
      </c>
      <c r="AS12">
        <v>1</v>
      </c>
      <c r="AT12">
        <v>1</v>
      </c>
      <c r="AU12">
        <v>1</v>
      </c>
      <c r="AX12">
        <v>1</v>
      </c>
      <c r="AZ12">
        <v>1</v>
      </c>
      <c r="BA12">
        <v>1</v>
      </c>
      <c r="BB12">
        <v>1</v>
      </c>
      <c r="BC12">
        <v>1</v>
      </c>
      <c r="BD12">
        <v>1</v>
      </c>
      <c r="BE12">
        <v>1</v>
      </c>
      <c r="BJ12">
        <v>1</v>
      </c>
      <c r="BK12">
        <v>1</v>
      </c>
      <c r="BL12">
        <v>1</v>
      </c>
      <c r="BN12">
        <v>1</v>
      </c>
      <c r="BO12">
        <v>1</v>
      </c>
      <c r="BP12">
        <v>1</v>
      </c>
      <c r="BQ12">
        <v>1</v>
      </c>
      <c r="BV12">
        <v>1</v>
      </c>
      <c r="BW12">
        <v>1</v>
      </c>
      <c r="BX12">
        <v>1</v>
      </c>
      <c r="BY12">
        <v>1</v>
      </c>
      <c r="BZ12">
        <v>1</v>
      </c>
      <c r="CB12">
        <v>1</v>
      </c>
      <c r="CC12">
        <v>1</v>
      </c>
      <c r="CD12">
        <v>1</v>
      </c>
      <c r="CI12">
        <v>1</v>
      </c>
      <c r="CJ12">
        <v>1</v>
      </c>
      <c r="CK12">
        <v>1</v>
      </c>
      <c r="CL12">
        <v>1</v>
      </c>
      <c r="CM12">
        <v>1</v>
      </c>
      <c r="CN12">
        <v>1</v>
      </c>
      <c r="CP12">
        <v>1</v>
      </c>
      <c r="CQ12">
        <v>1</v>
      </c>
      <c r="CV12">
        <v>1</v>
      </c>
      <c r="CW12">
        <v>1</v>
      </c>
      <c r="CX12">
        <v>1</v>
      </c>
      <c r="CY12">
        <v>1</v>
      </c>
      <c r="CZ12">
        <v>1</v>
      </c>
      <c r="DA12">
        <v>1</v>
      </c>
      <c r="DB12">
        <v>1</v>
      </c>
      <c r="DC12">
        <v>1</v>
      </c>
      <c r="DD12">
        <v>1</v>
      </c>
      <c r="DE12">
        <v>1</v>
      </c>
      <c r="DI12">
        <v>1</v>
      </c>
      <c r="DJ12">
        <v>1</v>
      </c>
      <c r="DK12">
        <v>1</v>
      </c>
      <c r="DP12">
        <v>1</v>
      </c>
      <c r="DQ12">
        <v>1</v>
      </c>
      <c r="DR12">
        <v>1</v>
      </c>
      <c r="DS12">
        <v>1</v>
      </c>
      <c r="DV12">
        <v>1</v>
      </c>
      <c r="DW12">
        <v>1</v>
      </c>
      <c r="ED12">
        <v>1</v>
      </c>
      <c r="EE12">
        <v>1</v>
      </c>
      <c r="EF12">
        <v>1</v>
      </c>
      <c r="EI12">
        <v>1</v>
      </c>
      <c r="EJ12">
        <v>1</v>
      </c>
      <c r="ES12">
        <v>1</v>
      </c>
      <c r="EV12">
        <v>1</v>
      </c>
      <c r="FG12">
        <v>1</v>
      </c>
      <c r="FH12">
        <v>1</v>
      </c>
      <c r="FI12">
        <v>1</v>
      </c>
      <c r="FU12">
        <v>1</v>
      </c>
      <c r="FV12" s="11">
        <f t="shared" si="0"/>
        <v>0.48567119155354449</v>
      </c>
    </row>
    <row r="13" spans="1:178" ht="14.25" customHeight="1" x14ac:dyDescent="0.25">
      <c r="A13" s="86" t="s">
        <v>273</v>
      </c>
      <c r="B13">
        <v>9</v>
      </c>
      <c r="C13">
        <v>100</v>
      </c>
      <c r="D13" s="17" t="s">
        <v>242</v>
      </c>
      <c r="E13" s="17" t="s">
        <v>15</v>
      </c>
      <c r="F13" s="8" t="s">
        <v>197</v>
      </c>
      <c r="G13" s="8" t="s">
        <v>201</v>
      </c>
      <c r="H13" s="8" t="s">
        <v>194</v>
      </c>
      <c r="I13">
        <v>1</v>
      </c>
      <c r="J13">
        <v>1</v>
      </c>
      <c r="V13">
        <v>1</v>
      </c>
      <c r="W13">
        <v>1</v>
      </c>
      <c r="AK13">
        <v>1</v>
      </c>
      <c r="FV13" s="11">
        <f t="shared" si="0"/>
        <v>2.564102564102564E-2</v>
      </c>
    </row>
    <row r="14" spans="1:178" ht="14.25" customHeight="1" x14ac:dyDescent="0.25">
      <c r="A14" s="86" t="s">
        <v>273</v>
      </c>
      <c r="B14">
        <v>9</v>
      </c>
      <c r="C14">
        <v>100</v>
      </c>
      <c r="D14" s="17" t="s">
        <v>242</v>
      </c>
      <c r="E14" s="17" t="s">
        <v>15</v>
      </c>
      <c r="F14" s="8" t="s">
        <v>197</v>
      </c>
      <c r="G14" s="8" t="s">
        <v>201</v>
      </c>
      <c r="H14" s="17" t="s">
        <v>220</v>
      </c>
      <c r="M14">
        <v>1</v>
      </c>
      <c r="Y14">
        <v>1</v>
      </c>
      <c r="AI14">
        <v>1</v>
      </c>
      <c r="FV14" s="11">
        <f t="shared" si="0"/>
        <v>1.5082956259426848E-2</v>
      </c>
    </row>
    <row r="15" spans="1:178" ht="14.25" customHeight="1" x14ac:dyDescent="0.25">
      <c r="A15" s="86" t="s">
        <v>273</v>
      </c>
      <c r="B15">
        <v>9</v>
      </c>
      <c r="C15">
        <v>100</v>
      </c>
      <c r="D15" s="17" t="s">
        <v>242</v>
      </c>
      <c r="E15" s="17" t="s">
        <v>15</v>
      </c>
      <c r="F15" s="8" t="s">
        <v>197</v>
      </c>
      <c r="G15" s="8" t="s">
        <v>201</v>
      </c>
      <c r="H15" s="8" t="s">
        <v>195</v>
      </c>
      <c r="K15">
        <v>1</v>
      </c>
      <c r="L15">
        <v>1</v>
      </c>
      <c r="X15">
        <v>1</v>
      </c>
      <c r="AL15">
        <v>1</v>
      </c>
      <c r="AY15">
        <v>1</v>
      </c>
      <c r="AZ15">
        <v>1</v>
      </c>
      <c r="BM15">
        <v>1</v>
      </c>
      <c r="CA15">
        <v>1</v>
      </c>
      <c r="CO15">
        <v>1</v>
      </c>
      <c r="FV15" s="11">
        <f t="shared" si="0"/>
        <v>3.3182503770739065E-2</v>
      </c>
    </row>
    <row r="16" spans="1:178" ht="14.25" customHeight="1" x14ac:dyDescent="0.25">
      <c r="A16" s="86" t="s">
        <v>273</v>
      </c>
      <c r="B16">
        <v>9</v>
      </c>
      <c r="C16">
        <v>100</v>
      </c>
      <c r="D16" s="17" t="s">
        <v>14</v>
      </c>
      <c r="E16" s="17" t="s">
        <v>15</v>
      </c>
      <c r="F16" s="8" t="s">
        <v>197</v>
      </c>
      <c r="G16" s="8" t="s">
        <v>201</v>
      </c>
      <c r="H16" s="8" t="s">
        <v>194</v>
      </c>
      <c r="I16">
        <v>1</v>
      </c>
      <c r="J16">
        <v>1</v>
      </c>
      <c r="V16">
        <v>1</v>
      </c>
      <c r="W16">
        <v>1</v>
      </c>
      <c r="AK16">
        <v>1</v>
      </c>
      <c r="FV16" s="11">
        <f t="shared" si="0"/>
        <v>2.564102564102564E-2</v>
      </c>
    </row>
    <row r="17" spans="1:178" ht="14.25" customHeight="1" x14ac:dyDescent="0.25">
      <c r="A17" s="86" t="s">
        <v>273</v>
      </c>
      <c r="B17">
        <v>9</v>
      </c>
      <c r="C17">
        <v>100</v>
      </c>
      <c r="D17" s="17" t="s">
        <v>14</v>
      </c>
      <c r="E17" s="17" t="s">
        <v>15</v>
      </c>
      <c r="F17" s="8" t="s">
        <v>197</v>
      </c>
      <c r="G17" s="8" t="s">
        <v>201</v>
      </c>
      <c r="H17" s="17" t="s">
        <v>220</v>
      </c>
      <c r="M17">
        <v>1</v>
      </c>
      <c r="Y17">
        <v>1</v>
      </c>
      <c r="AI17">
        <v>1</v>
      </c>
      <c r="FV17" s="11">
        <f t="shared" si="0"/>
        <v>1.5082956259426848E-2</v>
      </c>
    </row>
    <row r="18" spans="1:178" ht="14.25" customHeight="1" x14ac:dyDescent="0.25">
      <c r="A18" s="86" t="s">
        <v>273</v>
      </c>
      <c r="B18">
        <v>9</v>
      </c>
      <c r="C18">
        <v>100</v>
      </c>
      <c r="D18" s="17" t="s">
        <v>14</v>
      </c>
      <c r="E18" s="17" t="s">
        <v>15</v>
      </c>
      <c r="F18" s="8" t="s">
        <v>197</v>
      </c>
      <c r="G18" s="8" t="s">
        <v>201</v>
      </c>
      <c r="H18" s="8" t="s">
        <v>195</v>
      </c>
      <c r="K18">
        <v>1</v>
      </c>
      <c r="L18">
        <v>1</v>
      </c>
      <c r="X18">
        <v>1</v>
      </c>
      <c r="AL18">
        <v>1</v>
      </c>
      <c r="AY18">
        <v>1</v>
      </c>
      <c r="AZ18">
        <v>1</v>
      </c>
      <c r="BM18">
        <v>1</v>
      </c>
      <c r="CA18">
        <v>1</v>
      </c>
      <c r="CO18">
        <v>1</v>
      </c>
      <c r="FV18" s="11">
        <f t="shared" si="0"/>
        <v>3.3182503770739065E-2</v>
      </c>
    </row>
    <row r="19" spans="1:178" ht="14.25" customHeight="1" x14ac:dyDescent="0.25">
      <c r="A19" s="86" t="s">
        <v>273</v>
      </c>
      <c r="B19">
        <v>9</v>
      </c>
      <c r="C19">
        <v>100</v>
      </c>
      <c r="D19" s="17" t="s">
        <v>14</v>
      </c>
      <c r="E19" s="17" t="s">
        <v>242</v>
      </c>
      <c r="F19" s="8" t="s">
        <v>197</v>
      </c>
      <c r="G19" s="8" t="s">
        <v>201</v>
      </c>
      <c r="H19" s="8" t="s">
        <v>194</v>
      </c>
      <c r="I19">
        <v>1</v>
      </c>
      <c r="J19">
        <v>1</v>
      </c>
      <c r="V19">
        <v>1</v>
      </c>
      <c r="W19">
        <v>1</v>
      </c>
      <c r="AK19">
        <v>1</v>
      </c>
      <c r="FV19" s="11">
        <f t="shared" si="0"/>
        <v>2.564102564102564E-2</v>
      </c>
    </row>
    <row r="20" spans="1:178" ht="14.25" customHeight="1" x14ac:dyDescent="0.25">
      <c r="A20" s="86" t="s">
        <v>273</v>
      </c>
      <c r="B20">
        <v>9</v>
      </c>
      <c r="C20">
        <v>100</v>
      </c>
      <c r="D20" s="17" t="s">
        <v>14</v>
      </c>
      <c r="E20" s="17" t="s">
        <v>242</v>
      </c>
      <c r="F20" s="8" t="s">
        <v>197</v>
      </c>
      <c r="G20" s="8" t="s">
        <v>201</v>
      </c>
      <c r="H20" s="17" t="s">
        <v>220</v>
      </c>
      <c r="M20">
        <v>1</v>
      </c>
      <c r="Y20">
        <v>1</v>
      </c>
      <c r="AI20">
        <v>1</v>
      </c>
      <c r="FV20" s="11">
        <f t="shared" si="0"/>
        <v>1.5082956259426848E-2</v>
      </c>
    </row>
    <row r="21" spans="1:178" ht="14.25" customHeight="1" x14ac:dyDescent="0.25">
      <c r="A21" s="86" t="s">
        <v>273</v>
      </c>
      <c r="B21">
        <v>9</v>
      </c>
      <c r="C21">
        <v>100</v>
      </c>
      <c r="D21" s="17" t="s">
        <v>14</v>
      </c>
      <c r="E21" s="17" t="s">
        <v>242</v>
      </c>
      <c r="F21" s="8" t="s">
        <v>197</v>
      </c>
      <c r="G21" s="8" t="s">
        <v>201</v>
      </c>
      <c r="H21" s="8" t="s">
        <v>195</v>
      </c>
      <c r="K21">
        <v>1</v>
      </c>
      <c r="L21">
        <v>1</v>
      </c>
      <c r="X21">
        <v>1</v>
      </c>
      <c r="AL21">
        <v>1</v>
      </c>
      <c r="AY21">
        <v>1</v>
      </c>
      <c r="AZ21">
        <v>1</v>
      </c>
      <c r="BM21">
        <v>1</v>
      </c>
      <c r="CA21">
        <v>1</v>
      </c>
      <c r="CO21">
        <v>1</v>
      </c>
      <c r="FV21" s="11">
        <f t="shared" si="0"/>
        <v>3.3182503770739065E-2</v>
      </c>
    </row>
    <row r="22" spans="1:178" ht="14.25" customHeight="1" x14ac:dyDescent="0.25">
      <c r="A22" s="86" t="s">
        <v>273</v>
      </c>
      <c r="B22">
        <v>9</v>
      </c>
      <c r="C22">
        <v>100</v>
      </c>
      <c r="D22" s="17" t="s">
        <v>13</v>
      </c>
      <c r="E22" s="17" t="s">
        <v>15</v>
      </c>
      <c r="F22" s="8" t="s">
        <v>197</v>
      </c>
      <c r="G22" s="8" t="s">
        <v>201</v>
      </c>
      <c r="H22" s="8" t="s">
        <v>194</v>
      </c>
      <c r="I22">
        <v>1</v>
      </c>
      <c r="J22">
        <v>1</v>
      </c>
      <c r="V22">
        <v>1</v>
      </c>
      <c r="W22">
        <v>1</v>
      </c>
      <c r="AK22">
        <v>1</v>
      </c>
      <c r="FV22" s="18">
        <f t="shared" si="0"/>
        <v>2.564102564102564E-2</v>
      </c>
    </row>
    <row r="23" spans="1:178" ht="14.25" customHeight="1" x14ac:dyDescent="0.25">
      <c r="A23" s="86" t="s">
        <v>273</v>
      </c>
      <c r="B23">
        <v>9</v>
      </c>
      <c r="C23">
        <v>100</v>
      </c>
      <c r="D23" s="17" t="s">
        <v>13</v>
      </c>
      <c r="E23" s="17" t="s">
        <v>15</v>
      </c>
      <c r="F23" s="8" t="s">
        <v>197</v>
      </c>
      <c r="G23" s="8" t="s">
        <v>201</v>
      </c>
      <c r="H23" s="17" t="s">
        <v>220</v>
      </c>
      <c r="M23">
        <v>1</v>
      </c>
      <c r="R23">
        <v>1</v>
      </c>
      <c r="Y23">
        <v>1</v>
      </c>
      <c r="AI23">
        <v>1</v>
      </c>
      <c r="FV23" s="18">
        <f t="shared" si="0"/>
        <v>1.8099547511312219E-2</v>
      </c>
    </row>
    <row r="24" spans="1:178" ht="14.25" customHeight="1" x14ac:dyDescent="0.25">
      <c r="A24" s="86" t="s">
        <v>273</v>
      </c>
      <c r="B24">
        <v>9</v>
      </c>
      <c r="C24">
        <v>100</v>
      </c>
      <c r="D24" s="17" t="s">
        <v>13</v>
      </c>
      <c r="E24" s="17" t="s">
        <v>15</v>
      </c>
      <c r="F24" s="8" t="s">
        <v>197</v>
      </c>
      <c r="G24" s="8" t="s">
        <v>201</v>
      </c>
      <c r="H24" s="8" t="s">
        <v>195</v>
      </c>
      <c r="K24">
        <v>1</v>
      </c>
      <c r="L24">
        <v>1</v>
      </c>
      <c r="X24">
        <v>1</v>
      </c>
      <c r="AL24">
        <v>1</v>
      </c>
      <c r="AY24">
        <v>1</v>
      </c>
      <c r="AZ24">
        <v>1</v>
      </c>
      <c r="BM24">
        <v>1</v>
      </c>
      <c r="BN24">
        <v>1</v>
      </c>
      <c r="CA24">
        <v>1</v>
      </c>
      <c r="CO24">
        <v>1</v>
      </c>
      <c r="DC24">
        <v>1</v>
      </c>
      <c r="FV24" s="18">
        <f t="shared" si="0"/>
        <v>4.072398190045249E-2</v>
      </c>
    </row>
    <row r="25" spans="1:178" ht="14.25" customHeight="1" x14ac:dyDescent="0.25">
      <c r="A25" s="86" t="s">
        <v>273</v>
      </c>
      <c r="B25">
        <v>9</v>
      </c>
      <c r="C25">
        <v>100</v>
      </c>
      <c r="D25" s="17" t="s">
        <v>13</v>
      </c>
      <c r="E25" s="17" t="s">
        <v>15</v>
      </c>
      <c r="F25" s="8" t="s">
        <v>197</v>
      </c>
      <c r="G25" s="8" t="s">
        <v>201</v>
      </c>
      <c r="H25" s="8" t="s">
        <v>196</v>
      </c>
      <c r="I25">
        <f>1-SUM(I22:I24)</f>
        <v>0</v>
      </c>
      <c r="J25">
        <f t="shared" ref="J25" si="1">1-SUM(J22:J24)</f>
        <v>0</v>
      </c>
      <c r="K25">
        <f t="shared" ref="K25" si="2">1-SUM(K22:K24)</f>
        <v>0</v>
      </c>
      <c r="L25">
        <f t="shared" ref="L25" si="3">1-SUM(L22:L24)</f>
        <v>0</v>
      </c>
      <c r="M25">
        <f t="shared" ref="M25" si="4">1-SUM(M22:M24)</f>
        <v>0</v>
      </c>
      <c r="N25">
        <f t="shared" ref="N25" si="5">1-SUM(N22:N24)</f>
        <v>1</v>
      </c>
      <c r="O25">
        <f t="shared" ref="O25" si="6">1-SUM(O22:O24)</f>
        <v>1</v>
      </c>
      <c r="P25">
        <f t="shared" ref="P25" si="7">1-SUM(P22:P24)</f>
        <v>1</v>
      </c>
      <c r="Q25">
        <f t="shared" ref="Q25" si="8">1-SUM(Q22:Q24)</f>
        <v>1</v>
      </c>
      <c r="R25">
        <f t="shared" ref="R25" si="9">1-SUM(R22:R24)</f>
        <v>0</v>
      </c>
      <c r="S25">
        <f t="shared" ref="S25" si="10">1-SUM(S22:S24)</f>
        <v>1</v>
      </c>
      <c r="T25">
        <f t="shared" ref="T25" si="11">1-SUM(T22:T24)</f>
        <v>1</v>
      </c>
      <c r="U25">
        <f t="shared" ref="U25" si="12">1-SUM(U22:U24)</f>
        <v>1</v>
      </c>
      <c r="V25">
        <f t="shared" ref="V25" si="13">1-SUM(V22:V24)</f>
        <v>0</v>
      </c>
      <c r="W25">
        <f t="shared" ref="W25" si="14">1-SUM(W22:W24)</f>
        <v>0</v>
      </c>
      <c r="X25">
        <f t="shared" ref="X25" si="15">1-SUM(X22:X24)</f>
        <v>0</v>
      </c>
      <c r="Y25">
        <f t="shared" ref="Y25" si="16">1-SUM(Y22:Y24)</f>
        <v>0</v>
      </c>
      <c r="Z25">
        <f t="shared" ref="Z25" si="17">1-SUM(Z22:Z24)</f>
        <v>1</v>
      </c>
      <c r="AA25">
        <f t="shared" ref="AA25" si="18">1-SUM(AA22:AA24)</f>
        <v>1</v>
      </c>
      <c r="AB25">
        <f t="shared" ref="AB25" si="19">1-SUM(AB22:AB24)</f>
        <v>1</v>
      </c>
      <c r="AC25">
        <f t="shared" ref="AC25" si="20">1-SUM(AC22:AC24)</f>
        <v>1</v>
      </c>
      <c r="AD25">
        <f t="shared" ref="AD25" si="21">1-SUM(AD22:AD24)</f>
        <v>1</v>
      </c>
      <c r="AE25">
        <f t="shared" ref="AE25" si="22">1-SUM(AE22:AE24)</f>
        <v>1</v>
      </c>
      <c r="AF25">
        <f t="shared" ref="AF25" si="23">1-SUM(AF22:AF24)</f>
        <v>1</v>
      </c>
      <c r="AG25">
        <f t="shared" ref="AG25" si="24">1-SUM(AG22:AG24)</f>
        <v>1</v>
      </c>
      <c r="AH25">
        <f t="shared" ref="AH25" si="25">1-SUM(AH22:AH24)</f>
        <v>1</v>
      </c>
      <c r="AI25">
        <f t="shared" ref="AI25" si="26">1-SUM(AI22:AI24)</f>
        <v>0</v>
      </c>
      <c r="AJ25">
        <f t="shared" ref="AJ25" si="27">1-SUM(AJ22:AJ24)</f>
        <v>1</v>
      </c>
      <c r="AK25">
        <f t="shared" ref="AK25" si="28">1-SUM(AK22:AK24)</f>
        <v>0</v>
      </c>
      <c r="AL25">
        <f t="shared" ref="AL25" si="29">1-SUM(AL22:AL24)</f>
        <v>0</v>
      </c>
      <c r="AM25">
        <f t="shared" ref="AM25" si="30">1-SUM(AM22:AM24)</f>
        <v>1</v>
      </c>
      <c r="AN25">
        <f t="shared" ref="AN25" si="31">1-SUM(AN22:AN24)</f>
        <v>1</v>
      </c>
      <c r="AO25">
        <f t="shared" ref="AO25" si="32">1-SUM(AO22:AO24)</f>
        <v>1</v>
      </c>
      <c r="AP25">
        <f t="shared" ref="AP25" si="33">1-SUM(AP22:AP24)</f>
        <v>1</v>
      </c>
      <c r="AQ25">
        <f t="shared" ref="AQ25" si="34">1-SUM(AQ22:AQ24)</f>
        <v>1</v>
      </c>
      <c r="AR25">
        <f t="shared" ref="AR25" si="35">1-SUM(AR22:AR24)</f>
        <v>1</v>
      </c>
      <c r="AS25">
        <f t="shared" ref="AS25" si="36">1-SUM(AS22:AS24)</f>
        <v>1</v>
      </c>
      <c r="AT25">
        <f t="shared" ref="AT25" si="37">1-SUM(AT22:AT24)</f>
        <v>1</v>
      </c>
      <c r="AU25">
        <f t="shared" ref="AU25" si="38">1-SUM(AU22:AU24)</f>
        <v>1</v>
      </c>
      <c r="AV25">
        <f t="shared" ref="AV25" si="39">1-SUM(AV22:AV24)</f>
        <v>1</v>
      </c>
      <c r="AW25">
        <f t="shared" ref="AW25" si="40">1-SUM(AW22:AW24)</f>
        <v>1</v>
      </c>
      <c r="AX25">
        <f t="shared" ref="AX25" si="41">1-SUM(AX22:AX24)</f>
        <v>1</v>
      </c>
      <c r="AY25">
        <f t="shared" ref="AY25" si="42">1-SUM(AY22:AY24)</f>
        <v>0</v>
      </c>
      <c r="AZ25">
        <f t="shared" ref="AZ25" si="43">1-SUM(AZ22:AZ24)</f>
        <v>0</v>
      </c>
      <c r="BA25">
        <f t="shared" ref="BA25" si="44">1-SUM(BA22:BA24)</f>
        <v>1</v>
      </c>
      <c r="BB25">
        <f t="shared" ref="BB25" si="45">1-SUM(BB22:BB24)</f>
        <v>1</v>
      </c>
      <c r="BC25">
        <f t="shared" ref="BC25" si="46">1-SUM(BC22:BC24)</f>
        <v>1</v>
      </c>
      <c r="BD25">
        <f t="shared" ref="BD25" si="47">1-SUM(BD22:BD24)</f>
        <v>1</v>
      </c>
      <c r="BE25">
        <f t="shared" ref="BE25" si="48">1-SUM(BE22:BE24)</f>
        <v>1</v>
      </c>
      <c r="BF25">
        <f t="shared" ref="BF25" si="49">1-SUM(BF22:BF24)</f>
        <v>1</v>
      </c>
      <c r="BG25">
        <f t="shared" ref="BG25" si="50">1-SUM(BG22:BG24)</f>
        <v>1</v>
      </c>
      <c r="BH25">
        <f t="shared" ref="BH25" si="51">1-SUM(BH22:BH24)</f>
        <v>1</v>
      </c>
      <c r="BI25">
        <f t="shared" ref="BI25" si="52">1-SUM(BI22:BI24)</f>
        <v>1</v>
      </c>
      <c r="BJ25">
        <f t="shared" ref="BJ25" si="53">1-SUM(BJ22:BJ24)</f>
        <v>1</v>
      </c>
      <c r="BK25">
        <f t="shared" ref="BK25" si="54">1-SUM(BK22:BK24)</f>
        <v>1</v>
      </c>
      <c r="BL25">
        <f t="shared" ref="BL25" si="55">1-SUM(BL22:BL24)</f>
        <v>1</v>
      </c>
      <c r="BM25">
        <f t="shared" ref="BM25" si="56">1-SUM(BM22:BM24)</f>
        <v>0</v>
      </c>
      <c r="BN25">
        <f t="shared" ref="BN25" si="57">1-SUM(BN22:BN24)</f>
        <v>0</v>
      </c>
      <c r="BO25">
        <f t="shared" ref="BO25" si="58">1-SUM(BO22:BO24)</f>
        <v>1</v>
      </c>
      <c r="BP25">
        <f t="shared" ref="BP25" si="59">1-SUM(BP22:BP24)</f>
        <v>1</v>
      </c>
      <c r="BQ25">
        <f t="shared" ref="BQ25" si="60">1-SUM(BQ22:BQ24)</f>
        <v>1</v>
      </c>
      <c r="BR25">
        <f t="shared" ref="BR25" si="61">1-SUM(BR22:BR24)</f>
        <v>1</v>
      </c>
      <c r="BS25">
        <f t="shared" ref="BS25" si="62">1-SUM(BS22:BS24)</f>
        <v>1</v>
      </c>
      <c r="BT25">
        <f t="shared" ref="BT25" si="63">1-SUM(BT22:BT24)</f>
        <v>1</v>
      </c>
      <c r="BU25">
        <f t="shared" ref="BU25" si="64">1-SUM(BU22:BU24)</f>
        <v>1</v>
      </c>
      <c r="BV25">
        <f t="shared" ref="BV25" si="65">1-SUM(BV22:BV24)</f>
        <v>1</v>
      </c>
      <c r="BW25">
        <f t="shared" ref="BW25" si="66">1-SUM(BW22:BW24)</f>
        <v>1</v>
      </c>
      <c r="BX25">
        <f t="shared" ref="BX25" si="67">1-SUM(BX22:BX24)</f>
        <v>1</v>
      </c>
      <c r="BY25">
        <f t="shared" ref="BY25" si="68">1-SUM(BY22:BY24)</f>
        <v>1</v>
      </c>
      <c r="BZ25">
        <f t="shared" ref="BZ25" si="69">1-SUM(BZ22:BZ24)</f>
        <v>1</v>
      </c>
      <c r="CA25">
        <f t="shared" ref="CA25" si="70">1-SUM(CA22:CA24)</f>
        <v>0</v>
      </c>
      <c r="CB25">
        <f t="shared" ref="CB25" si="71">1-SUM(CB22:CB24)</f>
        <v>1</v>
      </c>
      <c r="CC25">
        <f t="shared" ref="CC25" si="72">1-SUM(CC22:CC24)</f>
        <v>1</v>
      </c>
      <c r="CD25">
        <f t="shared" ref="CD25" si="73">1-SUM(CD22:CD24)</f>
        <v>1</v>
      </c>
      <c r="CE25">
        <f t="shared" ref="CE25" si="74">1-SUM(CE22:CE24)</f>
        <v>1</v>
      </c>
      <c r="CF25">
        <f t="shared" ref="CF25" si="75">1-SUM(CF22:CF24)</f>
        <v>1</v>
      </c>
      <c r="CG25">
        <f t="shared" ref="CG25" si="76">1-SUM(CG22:CG24)</f>
        <v>1</v>
      </c>
      <c r="CH25">
        <f t="shared" ref="CH25" si="77">1-SUM(CH22:CH24)</f>
        <v>1</v>
      </c>
      <c r="CI25">
        <f t="shared" ref="CI25" si="78">1-SUM(CI22:CI24)</f>
        <v>1</v>
      </c>
      <c r="CJ25">
        <f t="shared" ref="CJ25" si="79">1-SUM(CJ22:CJ24)</f>
        <v>1</v>
      </c>
      <c r="CK25">
        <f t="shared" ref="CK25" si="80">1-SUM(CK22:CK24)</f>
        <v>1</v>
      </c>
      <c r="CL25">
        <f t="shared" ref="CL25" si="81">1-SUM(CL22:CL24)</f>
        <v>1</v>
      </c>
      <c r="CM25">
        <f t="shared" ref="CM25" si="82">1-SUM(CM22:CM24)</f>
        <v>1</v>
      </c>
      <c r="CN25">
        <f t="shared" ref="CN25" si="83">1-SUM(CN22:CN24)</f>
        <v>1</v>
      </c>
      <c r="CO25">
        <f t="shared" ref="CO25" si="84">1-SUM(CO22:CO24)</f>
        <v>0</v>
      </c>
      <c r="CP25">
        <f t="shared" ref="CP25" si="85">1-SUM(CP22:CP24)</f>
        <v>1</v>
      </c>
      <c r="CQ25">
        <f t="shared" ref="CQ25" si="86">1-SUM(CQ22:CQ24)</f>
        <v>1</v>
      </c>
      <c r="CR25">
        <f t="shared" ref="CR25" si="87">1-SUM(CR22:CR24)</f>
        <v>1</v>
      </c>
      <c r="CS25">
        <f t="shared" ref="CS25" si="88">1-SUM(CS22:CS24)</f>
        <v>1</v>
      </c>
      <c r="CT25">
        <f t="shared" ref="CT25" si="89">1-SUM(CT22:CT24)</f>
        <v>1</v>
      </c>
      <c r="CU25">
        <f t="shared" ref="CU25" si="90">1-SUM(CU22:CU24)</f>
        <v>1</v>
      </c>
      <c r="CV25">
        <f t="shared" ref="CV25" si="91">1-SUM(CV22:CV24)</f>
        <v>1</v>
      </c>
      <c r="CW25">
        <f t="shared" ref="CW25" si="92">1-SUM(CW22:CW24)</f>
        <v>1</v>
      </c>
      <c r="CX25">
        <f t="shared" ref="CX25" si="93">1-SUM(CX22:CX24)</f>
        <v>1</v>
      </c>
      <c r="CY25">
        <f t="shared" ref="CY25" si="94">1-SUM(CY22:CY24)</f>
        <v>1</v>
      </c>
      <c r="CZ25">
        <f t="shared" ref="CZ25" si="95">1-SUM(CZ22:CZ24)</f>
        <v>1</v>
      </c>
      <c r="DA25">
        <f t="shared" ref="DA25" si="96">1-SUM(DA22:DA24)</f>
        <v>1</v>
      </c>
      <c r="DB25">
        <f t="shared" ref="DB25" si="97">1-SUM(DB22:DB24)</f>
        <v>1</v>
      </c>
      <c r="DC25">
        <f t="shared" ref="DC25" si="98">1-SUM(DC22:DC24)</f>
        <v>0</v>
      </c>
      <c r="DD25">
        <f t="shared" ref="DD25" si="99">1-SUM(DD22:DD24)</f>
        <v>1</v>
      </c>
      <c r="DE25">
        <f t="shared" ref="DE25" si="100">1-SUM(DE22:DE24)</f>
        <v>1</v>
      </c>
      <c r="DF25">
        <f t="shared" ref="DF25" si="101">1-SUM(DF22:DF24)</f>
        <v>1</v>
      </c>
      <c r="DG25">
        <f t="shared" ref="DG25" si="102">1-SUM(DG22:DG24)</f>
        <v>1</v>
      </c>
      <c r="DH25">
        <f t="shared" ref="DH25" si="103">1-SUM(DH22:DH24)</f>
        <v>1</v>
      </c>
      <c r="DI25">
        <f t="shared" ref="DI25" si="104">1-SUM(DI22:DI24)</f>
        <v>1</v>
      </c>
      <c r="DJ25">
        <f t="shared" ref="DJ25" si="105">1-SUM(DJ22:DJ24)</f>
        <v>1</v>
      </c>
      <c r="DK25">
        <f t="shared" ref="DK25" si="106">1-SUM(DK22:DK24)</f>
        <v>1</v>
      </c>
      <c r="DL25">
        <f t="shared" ref="DL25" si="107">1-SUM(DL22:DL24)</f>
        <v>1</v>
      </c>
      <c r="DM25">
        <f t="shared" ref="DM25" si="108">1-SUM(DM22:DM24)</f>
        <v>1</v>
      </c>
      <c r="DN25">
        <f t="shared" ref="DN25" si="109">1-SUM(DN22:DN24)</f>
        <v>1</v>
      </c>
      <c r="DO25">
        <f t="shared" ref="DO25" si="110">1-SUM(DO22:DO24)</f>
        <v>1</v>
      </c>
      <c r="DP25">
        <f t="shared" ref="DP25" si="111">1-SUM(DP22:DP24)</f>
        <v>1</v>
      </c>
      <c r="DQ25">
        <f t="shared" ref="DQ25" si="112">1-SUM(DQ22:DQ24)</f>
        <v>1</v>
      </c>
      <c r="DR25">
        <f t="shared" ref="DR25" si="113">1-SUM(DR22:DR24)</f>
        <v>1</v>
      </c>
      <c r="DS25">
        <f t="shared" ref="DS25" si="114">1-SUM(DS22:DS24)</f>
        <v>1</v>
      </c>
      <c r="DT25">
        <f t="shared" ref="DT25" si="115">1-SUM(DT22:DT24)</f>
        <v>1</v>
      </c>
      <c r="DU25">
        <f t="shared" ref="DU25" si="116">1-SUM(DU22:DU24)</f>
        <v>1</v>
      </c>
      <c r="DV25">
        <f t="shared" ref="DV25" si="117">1-SUM(DV22:DV24)</f>
        <v>1</v>
      </c>
      <c r="DW25">
        <f t="shared" ref="DW25" si="118">1-SUM(DW22:DW24)</f>
        <v>1</v>
      </c>
      <c r="DX25">
        <f t="shared" ref="DX25" si="119">1-SUM(DX22:DX24)</f>
        <v>1</v>
      </c>
      <c r="DY25">
        <f t="shared" ref="DY25" si="120">1-SUM(DY22:DY24)</f>
        <v>1</v>
      </c>
      <c r="DZ25">
        <f t="shared" ref="DZ25" si="121">1-SUM(DZ22:DZ24)</f>
        <v>1</v>
      </c>
      <c r="EA25">
        <f t="shared" ref="EA25" si="122">1-SUM(EA22:EA24)</f>
        <v>1</v>
      </c>
      <c r="EB25">
        <f t="shared" ref="EB25" si="123">1-SUM(EB22:EB24)</f>
        <v>1</v>
      </c>
      <c r="EC25">
        <f t="shared" ref="EC25" si="124">1-SUM(EC22:EC24)</f>
        <v>1</v>
      </c>
      <c r="ED25">
        <f t="shared" ref="ED25" si="125">1-SUM(ED22:ED24)</f>
        <v>1</v>
      </c>
      <c r="EE25">
        <f t="shared" ref="EE25" si="126">1-SUM(EE22:EE24)</f>
        <v>1</v>
      </c>
      <c r="EF25">
        <f t="shared" ref="EF25" si="127">1-SUM(EF22:EF24)</f>
        <v>1</v>
      </c>
      <c r="EG25">
        <f t="shared" ref="EG25" si="128">1-SUM(EG22:EG24)</f>
        <v>1</v>
      </c>
      <c r="EH25">
        <f t="shared" ref="EH25" si="129">1-SUM(EH22:EH24)</f>
        <v>1</v>
      </c>
      <c r="EI25">
        <f t="shared" ref="EI25" si="130">1-SUM(EI22:EI24)</f>
        <v>1</v>
      </c>
      <c r="EJ25">
        <f t="shared" ref="EJ25" si="131">1-SUM(EJ22:EJ24)</f>
        <v>1</v>
      </c>
      <c r="EK25">
        <f t="shared" ref="EK25" si="132">1-SUM(EK22:EK24)</f>
        <v>1</v>
      </c>
      <c r="EL25">
        <f t="shared" ref="EL25" si="133">1-SUM(EL22:EL24)</f>
        <v>1</v>
      </c>
      <c r="EM25">
        <f t="shared" ref="EM25" si="134">1-SUM(EM22:EM24)</f>
        <v>1</v>
      </c>
      <c r="EN25">
        <f t="shared" ref="EN25" si="135">1-SUM(EN22:EN24)</f>
        <v>1</v>
      </c>
      <c r="EO25">
        <f t="shared" ref="EO25" si="136">1-SUM(EO22:EO24)</f>
        <v>1</v>
      </c>
      <c r="EP25">
        <f t="shared" ref="EP25" si="137">1-SUM(EP22:EP24)</f>
        <v>1</v>
      </c>
      <c r="EQ25">
        <f t="shared" ref="EQ25" si="138">1-SUM(EQ22:EQ24)</f>
        <v>1</v>
      </c>
      <c r="ER25">
        <f t="shared" ref="ER25" si="139">1-SUM(ER22:ER24)</f>
        <v>1</v>
      </c>
      <c r="ES25">
        <f t="shared" ref="ES25" si="140">1-SUM(ES22:ES24)</f>
        <v>1</v>
      </c>
      <c r="ET25">
        <f t="shared" ref="ET25" si="141">1-SUM(ET22:ET24)</f>
        <v>1</v>
      </c>
      <c r="EU25">
        <f t="shared" ref="EU25" si="142">1-SUM(EU22:EU24)</f>
        <v>1</v>
      </c>
      <c r="EV25">
        <f t="shared" ref="EV25" si="143">1-SUM(EV22:EV24)</f>
        <v>1</v>
      </c>
      <c r="EW25">
        <f t="shared" ref="EW25" si="144">1-SUM(EW22:EW24)</f>
        <v>1</v>
      </c>
      <c r="EX25">
        <f t="shared" ref="EX25" si="145">1-SUM(EX22:EX24)</f>
        <v>1</v>
      </c>
      <c r="EY25">
        <f t="shared" ref="EY25" si="146">1-SUM(EY22:EY24)</f>
        <v>1</v>
      </c>
      <c r="EZ25">
        <f t="shared" ref="EZ25" si="147">1-SUM(EZ22:EZ24)</f>
        <v>1</v>
      </c>
      <c r="FA25">
        <f t="shared" ref="FA25" si="148">1-SUM(FA22:FA24)</f>
        <v>1</v>
      </c>
      <c r="FB25">
        <f t="shared" ref="FB25" si="149">1-SUM(FB22:FB24)</f>
        <v>1</v>
      </c>
      <c r="FC25">
        <f t="shared" ref="FC25" si="150">1-SUM(FC22:FC24)</f>
        <v>1</v>
      </c>
      <c r="FD25">
        <f t="shared" ref="FD25" si="151">1-SUM(FD22:FD24)</f>
        <v>1</v>
      </c>
      <c r="FE25">
        <f t="shared" ref="FE25" si="152">1-SUM(FE22:FE24)</f>
        <v>1</v>
      </c>
      <c r="FF25">
        <f t="shared" ref="FF25" si="153">1-SUM(FF22:FF24)</f>
        <v>1</v>
      </c>
      <c r="FG25">
        <f t="shared" ref="FG25" si="154">1-SUM(FG22:FG24)</f>
        <v>1</v>
      </c>
      <c r="FH25">
        <f t="shared" ref="FH25" si="155">1-SUM(FH22:FH24)</f>
        <v>1</v>
      </c>
      <c r="FI25">
        <f t="shared" ref="FI25" si="156">1-SUM(FI22:FI24)</f>
        <v>1</v>
      </c>
      <c r="FJ25">
        <f t="shared" ref="FJ25" si="157">1-SUM(FJ22:FJ24)</f>
        <v>1</v>
      </c>
      <c r="FK25">
        <f t="shared" ref="FK25" si="158">1-SUM(FK22:FK24)</f>
        <v>1</v>
      </c>
      <c r="FL25">
        <f t="shared" ref="FL25" si="159">1-SUM(FL22:FL24)</f>
        <v>1</v>
      </c>
      <c r="FM25">
        <f t="shared" ref="FM25" si="160">1-SUM(FM22:FM24)</f>
        <v>1</v>
      </c>
      <c r="FN25">
        <f t="shared" ref="FN25" si="161">1-SUM(FN22:FN24)</f>
        <v>1</v>
      </c>
      <c r="FO25">
        <f t="shared" ref="FO25" si="162">1-SUM(FO22:FO24)</f>
        <v>1</v>
      </c>
      <c r="FP25">
        <f t="shared" ref="FP25" si="163">1-SUM(FP22:FP24)</f>
        <v>1</v>
      </c>
      <c r="FQ25">
        <f t="shared" ref="FQ25" si="164">1-SUM(FQ22:FQ24)</f>
        <v>1</v>
      </c>
      <c r="FR25">
        <f t="shared" ref="FR25" si="165">1-SUM(FR22:FR24)</f>
        <v>1</v>
      </c>
      <c r="FS25">
        <f t="shared" ref="FS25" si="166">1-SUM(FS22:FS24)</f>
        <v>1</v>
      </c>
      <c r="FT25">
        <f t="shared" ref="FT25" si="167">1-SUM(FT22:FT24)</f>
        <v>1</v>
      </c>
      <c r="FU25">
        <f t="shared" ref="FU25" si="168">1-SUM(FU22:FU24)</f>
        <v>1</v>
      </c>
      <c r="FV25" s="18">
        <f t="shared" si="0"/>
        <v>0.91553544494720962</v>
      </c>
    </row>
    <row r="26" spans="1:178" ht="14.25" customHeight="1" x14ac:dyDescent="0.25">
      <c r="A26" s="86" t="s">
        <v>273</v>
      </c>
      <c r="B26">
        <v>9</v>
      </c>
      <c r="C26">
        <v>100</v>
      </c>
      <c r="D26" s="17" t="s">
        <v>13</v>
      </c>
      <c r="E26" s="17" t="s">
        <v>242</v>
      </c>
      <c r="F26" s="8" t="s">
        <v>197</v>
      </c>
      <c r="G26" s="8" t="s">
        <v>201</v>
      </c>
      <c r="H26" s="8" t="s">
        <v>194</v>
      </c>
      <c r="I26">
        <v>1</v>
      </c>
      <c r="J26">
        <v>1</v>
      </c>
      <c r="V26">
        <v>1</v>
      </c>
      <c r="W26">
        <v>1</v>
      </c>
      <c r="AK26">
        <v>1</v>
      </c>
      <c r="FV26" s="18">
        <f t="shared" si="0"/>
        <v>2.564102564102564E-2</v>
      </c>
    </row>
    <row r="27" spans="1:178" ht="14.25" customHeight="1" x14ac:dyDescent="0.25">
      <c r="A27" s="86" t="s">
        <v>273</v>
      </c>
      <c r="B27">
        <v>9</v>
      </c>
      <c r="C27">
        <v>100</v>
      </c>
      <c r="D27" s="17" t="s">
        <v>13</v>
      </c>
      <c r="E27" s="17" t="s">
        <v>242</v>
      </c>
      <c r="F27" s="8" t="s">
        <v>197</v>
      </c>
      <c r="G27" s="8" t="s">
        <v>201</v>
      </c>
      <c r="H27" s="17" t="s">
        <v>220</v>
      </c>
      <c r="M27">
        <v>1</v>
      </c>
      <c r="R27">
        <v>1</v>
      </c>
      <c r="Y27">
        <v>1</v>
      </c>
      <c r="AI27">
        <v>1</v>
      </c>
      <c r="FV27" s="18">
        <f t="shared" si="0"/>
        <v>1.8099547511312219E-2</v>
      </c>
    </row>
    <row r="28" spans="1:178" ht="14.25" customHeight="1" x14ac:dyDescent="0.25">
      <c r="A28" s="86" t="s">
        <v>273</v>
      </c>
      <c r="B28">
        <v>9</v>
      </c>
      <c r="C28">
        <v>100</v>
      </c>
      <c r="D28" s="17" t="s">
        <v>13</v>
      </c>
      <c r="E28" s="17" t="s">
        <v>242</v>
      </c>
      <c r="F28" s="8" t="s">
        <v>197</v>
      </c>
      <c r="G28" s="8" t="s">
        <v>201</v>
      </c>
      <c r="H28" s="8" t="s">
        <v>195</v>
      </c>
      <c r="K28">
        <v>1</v>
      </c>
      <c r="L28">
        <v>1</v>
      </c>
      <c r="X28">
        <v>1</v>
      </c>
      <c r="AL28">
        <v>1</v>
      </c>
      <c r="AY28">
        <v>1</v>
      </c>
      <c r="AZ28">
        <v>1</v>
      </c>
      <c r="BM28">
        <v>1</v>
      </c>
      <c r="BN28">
        <v>1</v>
      </c>
      <c r="CA28">
        <v>1</v>
      </c>
      <c r="CO28">
        <v>1</v>
      </c>
      <c r="DC28">
        <v>1</v>
      </c>
      <c r="FV28" s="18">
        <f t="shared" si="0"/>
        <v>4.072398190045249E-2</v>
      </c>
    </row>
    <row r="29" spans="1:178" ht="14.25" customHeight="1" x14ac:dyDescent="0.25">
      <c r="A29" s="86" t="s">
        <v>273</v>
      </c>
      <c r="B29">
        <v>9</v>
      </c>
      <c r="C29">
        <v>100</v>
      </c>
      <c r="D29" s="17" t="s">
        <v>13</v>
      </c>
      <c r="E29" s="17" t="s">
        <v>242</v>
      </c>
      <c r="F29" s="8" t="s">
        <v>197</v>
      </c>
      <c r="G29" s="8" t="s">
        <v>201</v>
      </c>
      <c r="H29" s="8" t="s">
        <v>196</v>
      </c>
      <c r="I29">
        <f>1-SUM(I26:I28)</f>
        <v>0</v>
      </c>
      <c r="J29">
        <f t="shared" ref="J29" si="169">1-SUM(J26:J28)</f>
        <v>0</v>
      </c>
      <c r="K29">
        <f t="shared" ref="K29" si="170">1-SUM(K26:K28)</f>
        <v>0</v>
      </c>
      <c r="L29">
        <f t="shared" ref="L29" si="171">1-SUM(L26:L28)</f>
        <v>0</v>
      </c>
      <c r="M29">
        <f t="shared" ref="M29" si="172">1-SUM(M26:M28)</f>
        <v>0</v>
      </c>
      <c r="N29">
        <f t="shared" ref="N29" si="173">1-SUM(N26:N28)</f>
        <v>1</v>
      </c>
      <c r="O29">
        <f t="shared" ref="O29" si="174">1-SUM(O26:O28)</f>
        <v>1</v>
      </c>
      <c r="P29">
        <f t="shared" ref="P29" si="175">1-SUM(P26:P28)</f>
        <v>1</v>
      </c>
      <c r="Q29">
        <f t="shared" ref="Q29" si="176">1-SUM(Q26:Q28)</f>
        <v>1</v>
      </c>
      <c r="R29">
        <f t="shared" ref="R29" si="177">1-SUM(R26:R28)</f>
        <v>0</v>
      </c>
      <c r="S29">
        <f t="shared" ref="S29" si="178">1-SUM(S26:S28)</f>
        <v>1</v>
      </c>
      <c r="T29">
        <f t="shared" ref="T29" si="179">1-SUM(T26:T28)</f>
        <v>1</v>
      </c>
      <c r="U29">
        <f t="shared" ref="U29" si="180">1-SUM(U26:U28)</f>
        <v>1</v>
      </c>
      <c r="V29">
        <f t="shared" ref="V29" si="181">1-SUM(V26:V28)</f>
        <v>0</v>
      </c>
      <c r="W29">
        <f t="shared" ref="W29" si="182">1-SUM(W26:W28)</f>
        <v>0</v>
      </c>
      <c r="X29">
        <f t="shared" ref="X29" si="183">1-SUM(X26:X28)</f>
        <v>0</v>
      </c>
      <c r="Y29">
        <f t="shared" ref="Y29" si="184">1-SUM(Y26:Y28)</f>
        <v>0</v>
      </c>
      <c r="Z29">
        <f t="shared" ref="Z29" si="185">1-SUM(Z26:Z28)</f>
        <v>1</v>
      </c>
      <c r="AA29">
        <f t="shared" ref="AA29" si="186">1-SUM(AA26:AA28)</f>
        <v>1</v>
      </c>
      <c r="AB29">
        <f t="shared" ref="AB29" si="187">1-SUM(AB26:AB28)</f>
        <v>1</v>
      </c>
      <c r="AC29">
        <f t="shared" ref="AC29" si="188">1-SUM(AC26:AC28)</f>
        <v>1</v>
      </c>
      <c r="AD29">
        <f t="shared" ref="AD29" si="189">1-SUM(AD26:AD28)</f>
        <v>1</v>
      </c>
      <c r="AE29">
        <f t="shared" ref="AE29" si="190">1-SUM(AE26:AE28)</f>
        <v>1</v>
      </c>
      <c r="AF29">
        <f t="shared" ref="AF29" si="191">1-SUM(AF26:AF28)</f>
        <v>1</v>
      </c>
      <c r="AG29">
        <f t="shared" ref="AG29" si="192">1-SUM(AG26:AG28)</f>
        <v>1</v>
      </c>
      <c r="AH29">
        <f t="shared" ref="AH29" si="193">1-SUM(AH26:AH28)</f>
        <v>1</v>
      </c>
      <c r="AI29">
        <f t="shared" ref="AI29" si="194">1-SUM(AI26:AI28)</f>
        <v>0</v>
      </c>
      <c r="AJ29">
        <f t="shared" ref="AJ29" si="195">1-SUM(AJ26:AJ28)</f>
        <v>1</v>
      </c>
      <c r="AK29">
        <f t="shared" ref="AK29" si="196">1-SUM(AK26:AK28)</f>
        <v>0</v>
      </c>
      <c r="AL29">
        <f t="shared" ref="AL29" si="197">1-SUM(AL26:AL28)</f>
        <v>0</v>
      </c>
      <c r="AM29">
        <f t="shared" ref="AM29" si="198">1-SUM(AM26:AM28)</f>
        <v>1</v>
      </c>
      <c r="AN29">
        <f t="shared" ref="AN29" si="199">1-SUM(AN26:AN28)</f>
        <v>1</v>
      </c>
      <c r="AO29">
        <f t="shared" ref="AO29" si="200">1-SUM(AO26:AO28)</f>
        <v>1</v>
      </c>
      <c r="AP29">
        <f t="shared" ref="AP29" si="201">1-SUM(AP26:AP28)</f>
        <v>1</v>
      </c>
      <c r="AQ29">
        <f t="shared" ref="AQ29" si="202">1-SUM(AQ26:AQ28)</f>
        <v>1</v>
      </c>
      <c r="AR29">
        <f t="shared" ref="AR29" si="203">1-SUM(AR26:AR28)</f>
        <v>1</v>
      </c>
      <c r="AS29">
        <f t="shared" ref="AS29" si="204">1-SUM(AS26:AS28)</f>
        <v>1</v>
      </c>
      <c r="AT29">
        <f t="shared" ref="AT29" si="205">1-SUM(AT26:AT28)</f>
        <v>1</v>
      </c>
      <c r="AU29">
        <f t="shared" ref="AU29" si="206">1-SUM(AU26:AU28)</f>
        <v>1</v>
      </c>
      <c r="AV29">
        <f t="shared" ref="AV29" si="207">1-SUM(AV26:AV28)</f>
        <v>1</v>
      </c>
      <c r="AW29">
        <f t="shared" ref="AW29" si="208">1-SUM(AW26:AW28)</f>
        <v>1</v>
      </c>
      <c r="AX29">
        <f t="shared" ref="AX29" si="209">1-SUM(AX26:AX28)</f>
        <v>1</v>
      </c>
      <c r="AY29">
        <f t="shared" ref="AY29" si="210">1-SUM(AY26:AY28)</f>
        <v>0</v>
      </c>
      <c r="AZ29">
        <f t="shared" ref="AZ29" si="211">1-SUM(AZ26:AZ28)</f>
        <v>0</v>
      </c>
      <c r="BA29">
        <f t="shared" ref="BA29" si="212">1-SUM(BA26:BA28)</f>
        <v>1</v>
      </c>
      <c r="BB29">
        <f t="shared" ref="BB29" si="213">1-SUM(BB26:BB28)</f>
        <v>1</v>
      </c>
      <c r="BC29">
        <f t="shared" ref="BC29" si="214">1-SUM(BC26:BC28)</f>
        <v>1</v>
      </c>
      <c r="BD29">
        <f t="shared" ref="BD29" si="215">1-SUM(BD26:BD28)</f>
        <v>1</v>
      </c>
      <c r="BE29">
        <f t="shared" ref="BE29" si="216">1-SUM(BE26:BE28)</f>
        <v>1</v>
      </c>
      <c r="BF29">
        <f t="shared" ref="BF29" si="217">1-SUM(BF26:BF28)</f>
        <v>1</v>
      </c>
      <c r="BG29">
        <f t="shared" ref="BG29" si="218">1-SUM(BG26:BG28)</f>
        <v>1</v>
      </c>
      <c r="BH29">
        <f t="shared" ref="BH29" si="219">1-SUM(BH26:BH28)</f>
        <v>1</v>
      </c>
      <c r="BI29">
        <f t="shared" ref="BI29" si="220">1-SUM(BI26:BI28)</f>
        <v>1</v>
      </c>
      <c r="BJ29">
        <f t="shared" ref="BJ29" si="221">1-SUM(BJ26:BJ28)</f>
        <v>1</v>
      </c>
      <c r="BK29">
        <f t="shared" ref="BK29" si="222">1-SUM(BK26:BK28)</f>
        <v>1</v>
      </c>
      <c r="BL29">
        <f t="shared" ref="BL29" si="223">1-SUM(BL26:BL28)</f>
        <v>1</v>
      </c>
      <c r="BM29">
        <f t="shared" ref="BM29" si="224">1-SUM(BM26:BM28)</f>
        <v>0</v>
      </c>
      <c r="BN29">
        <f t="shared" ref="BN29" si="225">1-SUM(BN26:BN28)</f>
        <v>0</v>
      </c>
      <c r="BO29">
        <f t="shared" ref="BO29" si="226">1-SUM(BO26:BO28)</f>
        <v>1</v>
      </c>
      <c r="BP29">
        <f t="shared" ref="BP29" si="227">1-SUM(BP26:BP28)</f>
        <v>1</v>
      </c>
      <c r="BQ29">
        <f t="shared" ref="BQ29" si="228">1-SUM(BQ26:BQ28)</f>
        <v>1</v>
      </c>
      <c r="BR29">
        <f t="shared" ref="BR29" si="229">1-SUM(BR26:BR28)</f>
        <v>1</v>
      </c>
      <c r="BS29">
        <f t="shared" ref="BS29" si="230">1-SUM(BS26:BS28)</f>
        <v>1</v>
      </c>
      <c r="BT29">
        <f t="shared" ref="BT29" si="231">1-SUM(BT26:BT28)</f>
        <v>1</v>
      </c>
      <c r="BU29">
        <f t="shared" ref="BU29" si="232">1-SUM(BU26:BU28)</f>
        <v>1</v>
      </c>
      <c r="BV29">
        <f t="shared" ref="BV29" si="233">1-SUM(BV26:BV28)</f>
        <v>1</v>
      </c>
      <c r="BW29">
        <f t="shared" ref="BW29" si="234">1-SUM(BW26:BW28)</f>
        <v>1</v>
      </c>
      <c r="BX29">
        <f t="shared" ref="BX29" si="235">1-SUM(BX26:BX28)</f>
        <v>1</v>
      </c>
      <c r="BY29">
        <f t="shared" ref="BY29" si="236">1-SUM(BY26:BY28)</f>
        <v>1</v>
      </c>
      <c r="BZ29">
        <f t="shared" ref="BZ29" si="237">1-SUM(BZ26:BZ28)</f>
        <v>1</v>
      </c>
      <c r="CA29">
        <f t="shared" ref="CA29" si="238">1-SUM(CA26:CA28)</f>
        <v>0</v>
      </c>
      <c r="CB29">
        <f t="shared" ref="CB29" si="239">1-SUM(CB26:CB28)</f>
        <v>1</v>
      </c>
      <c r="CC29">
        <f t="shared" ref="CC29" si="240">1-SUM(CC26:CC28)</f>
        <v>1</v>
      </c>
      <c r="CD29">
        <f t="shared" ref="CD29" si="241">1-SUM(CD26:CD28)</f>
        <v>1</v>
      </c>
      <c r="CE29">
        <f t="shared" ref="CE29" si="242">1-SUM(CE26:CE28)</f>
        <v>1</v>
      </c>
      <c r="CF29">
        <f t="shared" ref="CF29" si="243">1-SUM(CF26:CF28)</f>
        <v>1</v>
      </c>
      <c r="CG29">
        <f t="shared" ref="CG29" si="244">1-SUM(CG26:CG28)</f>
        <v>1</v>
      </c>
      <c r="CH29">
        <f t="shared" ref="CH29" si="245">1-SUM(CH26:CH28)</f>
        <v>1</v>
      </c>
      <c r="CI29">
        <f t="shared" ref="CI29" si="246">1-SUM(CI26:CI28)</f>
        <v>1</v>
      </c>
      <c r="CJ29">
        <f t="shared" ref="CJ29" si="247">1-SUM(CJ26:CJ28)</f>
        <v>1</v>
      </c>
      <c r="CK29">
        <f t="shared" ref="CK29" si="248">1-SUM(CK26:CK28)</f>
        <v>1</v>
      </c>
      <c r="CL29">
        <f t="shared" ref="CL29" si="249">1-SUM(CL26:CL28)</f>
        <v>1</v>
      </c>
      <c r="CM29">
        <f t="shared" ref="CM29" si="250">1-SUM(CM26:CM28)</f>
        <v>1</v>
      </c>
      <c r="CN29">
        <f t="shared" ref="CN29" si="251">1-SUM(CN26:CN28)</f>
        <v>1</v>
      </c>
      <c r="CO29">
        <f t="shared" ref="CO29" si="252">1-SUM(CO26:CO28)</f>
        <v>0</v>
      </c>
      <c r="CP29">
        <f t="shared" ref="CP29" si="253">1-SUM(CP26:CP28)</f>
        <v>1</v>
      </c>
      <c r="CQ29">
        <f t="shared" ref="CQ29" si="254">1-SUM(CQ26:CQ28)</f>
        <v>1</v>
      </c>
      <c r="CR29">
        <f t="shared" ref="CR29" si="255">1-SUM(CR26:CR28)</f>
        <v>1</v>
      </c>
      <c r="CS29">
        <f t="shared" ref="CS29" si="256">1-SUM(CS26:CS28)</f>
        <v>1</v>
      </c>
      <c r="CT29">
        <f t="shared" ref="CT29" si="257">1-SUM(CT26:CT28)</f>
        <v>1</v>
      </c>
      <c r="CU29">
        <f t="shared" ref="CU29" si="258">1-SUM(CU26:CU28)</f>
        <v>1</v>
      </c>
      <c r="CV29">
        <f t="shared" ref="CV29" si="259">1-SUM(CV26:CV28)</f>
        <v>1</v>
      </c>
      <c r="CW29">
        <f t="shared" ref="CW29" si="260">1-SUM(CW26:CW28)</f>
        <v>1</v>
      </c>
      <c r="CX29">
        <f t="shared" ref="CX29" si="261">1-SUM(CX26:CX28)</f>
        <v>1</v>
      </c>
      <c r="CY29">
        <f t="shared" ref="CY29" si="262">1-SUM(CY26:CY28)</f>
        <v>1</v>
      </c>
      <c r="CZ29">
        <f t="shared" ref="CZ29" si="263">1-SUM(CZ26:CZ28)</f>
        <v>1</v>
      </c>
      <c r="DA29">
        <f t="shared" ref="DA29" si="264">1-SUM(DA26:DA28)</f>
        <v>1</v>
      </c>
      <c r="DB29">
        <f t="shared" ref="DB29" si="265">1-SUM(DB26:DB28)</f>
        <v>1</v>
      </c>
      <c r="DC29">
        <f t="shared" ref="DC29" si="266">1-SUM(DC26:DC28)</f>
        <v>0</v>
      </c>
      <c r="DD29">
        <f t="shared" ref="DD29" si="267">1-SUM(DD26:DD28)</f>
        <v>1</v>
      </c>
      <c r="DE29">
        <f t="shared" ref="DE29" si="268">1-SUM(DE26:DE28)</f>
        <v>1</v>
      </c>
      <c r="DF29">
        <f t="shared" ref="DF29" si="269">1-SUM(DF26:DF28)</f>
        <v>1</v>
      </c>
      <c r="DG29">
        <f t="shared" ref="DG29" si="270">1-SUM(DG26:DG28)</f>
        <v>1</v>
      </c>
      <c r="DH29">
        <f t="shared" ref="DH29" si="271">1-SUM(DH26:DH28)</f>
        <v>1</v>
      </c>
      <c r="DI29">
        <f t="shared" ref="DI29" si="272">1-SUM(DI26:DI28)</f>
        <v>1</v>
      </c>
      <c r="DJ29">
        <f t="shared" ref="DJ29" si="273">1-SUM(DJ26:DJ28)</f>
        <v>1</v>
      </c>
      <c r="DK29">
        <f t="shared" ref="DK29" si="274">1-SUM(DK26:DK28)</f>
        <v>1</v>
      </c>
      <c r="DL29">
        <f t="shared" ref="DL29" si="275">1-SUM(DL26:DL28)</f>
        <v>1</v>
      </c>
      <c r="DM29">
        <f t="shared" ref="DM29" si="276">1-SUM(DM26:DM28)</f>
        <v>1</v>
      </c>
      <c r="DN29">
        <f t="shared" ref="DN29" si="277">1-SUM(DN26:DN28)</f>
        <v>1</v>
      </c>
      <c r="DO29">
        <f t="shared" ref="DO29" si="278">1-SUM(DO26:DO28)</f>
        <v>1</v>
      </c>
      <c r="DP29">
        <f t="shared" ref="DP29" si="279">1-SUM(DP26:DP28)</f>
        <v>1</v>
      </c>
      <c r="DQ29">
        <f t="shared" ref="DQ29" si="280">1-SUM(DQ26:DQ28)</f>
        <v>1</v>
      </c>
      <c r="DR29">
        <f t="shared" ref="DR29" si="281">1-SUM(DR26:DR28)</f>
        <v>1</v>
      </c>
      <c r="DS29">
        <f t="shared" ref="DS29" si="282">1-SUM(DS26:DS28)</f>
        <v>1</v>
      </c>
      <c r="DT29">
        <f t="shared" ref="DT29" si="283">1-SUM(DT26:DT28)</f>
        <v>1</v>
      </c>
      <c r="DU29">
        <f t="shared" ref="DU29" si="284">1-SUM(DU26:DU28)</f>
        <v>1</v>
      </c>
      <c r="DV29">
        <f t="shared" ref="DV29" si="285">1-SUM(DV26:DV28)</f>
        <v>1</v>
      </c>
      <c r="DW29">
        <f t="shared" ref="DW29" si="286">1-SUM(DW26:DW28)</f>
        <v>1</v>
      </c>
      <c r="DX29">
        <f t="shared" ref="DX29" si="287">1-SUM(DX26:DX28)</f>
        <v>1</v>
      </c>
      <c r="DY29">
        <f t="shared" ref="DY29" si="288">1-SUM(DY26:DY28)</f>
        <v>1</v>
      </c>
      <c r="DZ29">
        <f t="shared" ref="DZ29" si="289">1-SUM(DZ26:DZ28)</f>
        <v>1</v>
      </c>
      <c r="EA29">
        <f t="shared" ref="EA29" si="290">1-SUM(EA26:EA28)</f>
        <v>1</v>
      </c>
      <c r="EB29">
        <f t="shared" ref="EB29" si="291">1-SUM(EB26:EB28)</f>
        <v>1</v>
      </c>
      <c r="EC29">
        <f t="shared" ref="EC29" si="292">1-SUM(EC26:EC28)</f>
        <v>1</v>
      </c>
      <c r="ED29">
        <f t="shared" ref="ED29" si="293">1-SUM(ED26:ED28)</f>
        <v>1</v>
      </c>
      <c r="EE29">
        <f t="shared" ref="EE29" si="294">1-SUM(EE26:EE28)</f>
        <v>1</v>
      </c>
      <c r="EF29">
        <f t="shared" ref="EF29" si="295">1-SUM(EF26:EF28)</f>
        <v>1</v>
      </c>
      <c r="EG29">
        <f t="shared" ref="EG29" si="296">1-SUM(EG26:EG28)</f>
        <v>1</v>
      </c>
      <c r="EH29">
        <f t="shared" ref="EH29" si="297">1-SUM(EH26:EH28)</f>
        <v>1</v>
      </c>
      <c r="EI29">
        <f t="shared" ref="EI29" si="298">1-SUM(EI26:EI28)</f>
        <v>1</v>
      </c>
      <c r="EJ29">
        <f t="shared" ref="EJ29" si="299">1-SUM(EJ26:EJ28)</f>
        <v>1</v>
      </c>
      <c r="EK29">
        <f t="shared" ref="EK29" si="300">1-SUM(EK26:EK28)</f>
        <v>1</v>
      </c>
      <c r="EL29">
        <f t="shared" ref="EL29" si="301">1-SUM(EL26:EL28)</f>
        <v>1</v>
      </c>
      <c r="EM29">
        <f t="shared" ref="EM29" si="302">1-SUM(EM26:EM28)</f>
        <v>1</v>
      </c>
      <c r="EN29">
        <f t="shared" ref="EN29" si="303">1-SUM(EN26:EN28)</f>
        <v>1</v>
      </c>
      <c r="EO29">
        <f t="shared" ref="EO29" si="304">1-SUM(EO26:EO28)</f>
        <v>1</v>
      </c>
      <c r="EP29">
        <f t="shared" ref="EP29" si="305">1-SUM(EP26:EP28)</f>
        <v>1</v>
      </c>
      <c r="EQ29">
        <f t="shared" ref="EQ29" si="306">1-SUM(EQ26:EQ28)</f>
        <v>1</v>
      </c>
      <c r="ER29">
        <f t="shared" ref="ER29" si="307">1-SUM(ER26:ER28)</f>
        <v>1</v>
      </c>
      <c r="ES29">
        <f t="shared" ref="ES29" si="308">1-SUM(ES26:ES28)</f>
        <v>1</v>
      </c>
      <c r="ET29">
        <f t="shared" ref="ET29" si="309">1-SUM(ET26:ET28)</f>
        <v>1</v>
      </c>
      <c r="EU29">
        <f t="shared" ref="EU29" si="310">1-SUM(EU26:EU28)</f>
        <v>1</v>
      </c>
      <c r="EV29">
        <f t="shared" ref="EV29" si="311">1-SUM(EV26:EV28)</f>
        <v>1</v>
      </c>
      <c r="EW29">
        <f t="shared" ref="EW29" si="312">1-SUM(EW26:EW28)</f>
        <v>1</v>
      </c>
      <c r="EX29">
        <f t="shared" ref="EX29" si="313">1-SUM(EX26:EX28)</f>
        <v>1</v>
      </c>
      <c r="EY29">
        <f t="shared" ref="EY29" si="314">1-SUM(EY26:EY28)</f>
        <v>1</v>
      </c>
      <c r="EZ29">
        <f t="shared" ref="EZ29" si="315">1-SUM(EZ26:EZ28)</f>
        <v>1</v>
      </c>
      <c r="FA29">
        <f t="shared" ref="FA29" si="316">1-SUM(FA26:FA28)</f>
        <v>1</v>
      </c>
      <c r="FB29">
        <f t="shared" ref="FB29" si="317">1-SUM(FB26:FB28)</f>
        <v>1</v>
      </c>
      <c r="FC29">
        <f t="shared" ref="FC29" si="318">1-SUM(FC26:FC28)</f>
        <v>1</v>
      </c>
      <c r="FD29">
        <f t="shared" ref="FD29" si="319">1-SUM(FD26:FD28)</f>
        <v>1</v>
      </c>
      <c r="FE29">
        <f t="shared" ref="FE29" si="320">1-SUM(FE26:FE28)</f>
        <v>1</v>
      </c>
      <c r="FF29">
        <f t="shared" ref="FF29" si="321">1-SUM(FF26:FF28)</f>
        <v>1</v>
      </c>
      <c r="FG29">
        <f t="shared" ref="FG29" si="322">1-SUM(FG26:FG28)</f>
        <v>1</v>
      </c>
      <c r="FH29">
        <f t="shared" ref="FH29" si="323">1-SUM(FH26:FH28)</f>
        <v>1</v>
      </c>
      <c r="FI29">
        <f t="shared" ref="FI29" si="324">1-SUM(FI26:FI28)</f>
        <v>1</v>
      </c>
      <c r="FJ29">
        <f t="shared" ref="FJ29" si="325">1-SUM(FJ26:FJ28)</f>
        <v>1</v>
      </c>
      <c r="FK29">
        <f t="shared" ref="FK29" si="326">1-SUM(FK26:FK28)</f>
        <v>1</v>
      </c>
      <c r="FL29">
        <f t="shared" ref="FL29" si="327">1-SUM(FL26:FL28)</f>
        <v>1</v>
      </c>
      <c r="FM29">
        <f t="shared" ref="FM29" si="328">1-SUM(FM26:FM28)</f>
        <v>1</v>
      </c>
      <c r="FN29">
        <f t="shared" ref="FN29" si="329">1-SUM(FN26:FN28)</f>
        <v>1</v>
      </c>
      <c r="FO29">
        <f t="shared" ref="FO29" si="330">1-SUM(FO26:FO28)</f>
        <v>1</v>
      </c>
      <c r="FP29">
        <f t="shared" ref="FP29" si="331">1-SUM(FP26:FP28)</f>
        <v>1</v>
      </c>
      <c r="FQ29">
        <f t="shared" ref="FQ29" si="332">1-SUM(FQ26:FQ28)</f>
        <v>1</v>
      </c>
      <c r="FR29">
        <f t="shared" ref="FR29" si="333">1-SUM(FR26:FR28)</f>
        <v>1</v>
      </c>
      <c r="FS29">
        <f t="shared" ref="FS29" si="334">1-SUM(FS26:FS28)</f>
        <v>1</v>
      </c>
      <c r="FT29">
        <f t="shared" ref="FT29" si="335">1-SUM(FT26:FT28)</f>
        <v>1</v>
      </c>
      <c r="FU29">
        <f t="shared" ref="FU29" si="336">1-SUM(FU26:FU28)</f>
        <v>1</v>
      </c>
      <c r="FV29" s="18">
        <f t="shared" si="0"/>
        <v>0.91553544494720962</v>
      </c>
    </row>
    <row r="30" spans="1:178" ht="14.25" customHeight="1" x14ac:dyDescent="0.25">
      <c r="A30" s="86" t="s">
        <v>273</v>
      </c>
      <c r="B30">
        <v>9</v>
      </c>
      <c r="C30">
        <v>100</v>
      </c>
      <c r="D30" s="17" t="s">
        <v>13</v>
      </c>
      <c r="E30" s="17" t="s">
        <v>14</v>
      </c>
      <c r="F30" s="8" t="s">
        <v>197</v>
      </c>
      <c r="G30" s="8" t="s">
        <v>201</v>
      </c>
      <c r="H30" s="8" t="s">
        <v>194</v>
      </c>
      <c r="I30">
        <v>1</v>
      </c>
      <c r="J30">
        <v>1</v>
      </c>
      <c r="V30">
        <v>1</v>
      </c>
      <c r="W30">
        <v>1</v>
      </c>
      <c r="AK30">
        <v>1</v>
      </c>
      <c r="FV30" s="18">
        <f t="shared" si="0"/>
        <v>2.564102564102564E-2</v>
      </c>
    </row>
    <row r="31" spans="1:178" ht="14.25" customHeight="1" x14ac:dyDescent="0.25">
      <c r="A31" s="86" t="s">
        <v>273</v>
      </c>
      <c r="B31">
        <v>9</v>
      </c>
      <c r="C31">
        <v>100</v>
      </c>
      <c r="D31" s="17" t="s">
        <v>13</v>
      </c>
      <c r="E31" s="17" t="s">
        <v>14</v>
      </c>
      <c r="F31" s="8" t="s">
        <v>197</v>
      </c>
      <c r="G31" s="8" t="s">
        <v>201</v>
      </c>
      <c r="H31" s="17" t="s">
        <v>220</v>
      </c>
      <c r="M31">
        <v>1</v>
      </c>
      <c r="R31">
        <v>1</v>
      </c>
      <c r="Y31">
        <v>1</v>
      </c>
      <c r="AI31">
        <v>1</v>
      </c>
      <c r="CB31">
        <v>1</v>
      </c>
      <c r="CP31">
        <v>1</v>
      </c>
      <c r="FV31" s="18">
        <f t="shared" si="0"/>
        <v>2.4132730015082957E-2</v>
      </c>
    </row>
    <row r="32" spans="1:178" ht="14.25" customHeight="1" x14ac:dyDescent="0.25">
      <c r="A32" s="86" t="s">
        <v>273</v>
      </c>
      <c r="B32">
        <v>9</v>
      </c>
      <c r="C32">
        <v>100</v>
      </c>
      <c r="D32" s="17" t="s">
        <v>13</v>
      </c>
      <c r="E32" s="17" t="s">
        <v>14</v>
      </c>
      <c r="F32" s="8" t="s">
        <v>197</v>
      </c>
      <c r="G32" s="8" t="s">
        <v>201</v>
      </c>
      <c r="H32" s="8" t="s">
        <v>195</v>
      </c>
      <c r="K32">
        <v>1</v>
      </c>
      <c r="L32">
        <v>1</v>
      </c>
      <c r="X32">
        <v>1</v>
      </c>
      <c r="AL32">
        <v>1</v>
      </c>
      <c r="AY32">
        <v>1</v>
      </c>
      <c r="AZ32">
        <v>1</v>
      </c>
      <c r="BM32">
        <v>1</v>
      </c>
      <c r="BN32">
        <v>1</v>
      </c>
      <c r="CA32">
        <v>1</v>
      </c>
      <c r="CO32">
        <v>1</v>
      </c>
      <c r="DC32">
        <v>1</v>
      </c>
      <c r="DQ32">
        <v>1</v>
      </c>
      <c r="FV32" s="18">
        <f t="shared" si="0"/>
        <v>4.5248868778280542E-2</v>
      </c>
    </row>
    <row r="33" spans="1:178" ht="14.25" customHeight="1" x14ac:dyDescent="0.25">
      <c r="A33" s="86" t="s">
        <v>273</v>
      </c>
      <c r="B33">
        <v>9</v>
      </c>
      <c r="C33">
        <v>100</v>
      </c>
      <c r="D33" s="17" t="s">
        <v>13</v>
      </c>
      <c r="E33" s="17" t="s">
        <v>14</v>
      </c>
      <c r="F33" s="8" t="s">
        <v>197</v>
      </c>
      <c r="G33" s="8" t="s">
        <v>201</v>
      </c>
      <c r="H33" s="8" t="s">
        <v>196</v>
      </c>
      <c r="I33">
        <f>1-SUM(I30:I32)</f>
        <v>0</v>
      </c>
      <c r="J33">
        <f t="shared" ref="J33" si="337">1-SUM(J30:J32)</f>
        <v>0</v>
      </c>
      <c r="K33">
        <f t="shared" ref="K33" si="338">1-SUM(K30:K32)</f>
        <v>0</v>
      </c>
      <c r="L33">
        <f t="shared" ref="L33" si="339">1-SUM(L30:L32)</f>
        <v>0</v>
      </c>
      <c r="M33">
        <f t="shared" ref="M33" si="340">1-SUM(M30:M32)</f>
        <v>0</v>
      </c>
      <c r="N33">
        <f t="shared" ref="N33" si="341">1-SUM(N30:N32)</f>
        <v>1</v>
      </c>
      <c r="O33">
        <f t="shared" ref="O33" si="342">1-SUM(O30:O32)</f>
        <v>1</v>
      </c>
      <c r="P33">
        <f t="shared" ref="P33" si="343">1-SUM(P30:P32)</f>
        <v>1</v>
      </c>
      <c r="Q33">
        <f t="shared" ref="Q33" si="344">1-SUM(Q30:Q32)</f>
        <v>1</v>
      </c>
      <c r="R33">
        <f t="shared" ref="R33" si="345">1-SUM(R30:R32)</f>
        <v>0</v>
      </c>
      <c r="S33">
        <f t="shared" ref="S33" si="346">1-SUM(S30:S32)</f>
        <v>1</v>
      </c>
      <c r="T33">
        <f t="shared" ref="T33" si="347">1-SUM(T30:T32)</f>
        <v>1</v>
      </c>
      <c r="U33">
        <f t="shared" ref="U33" si="348">1-SUM(U30:U32)</f>
        <v>1</v>
      </c>
      <c r="V33">
        <f t="shared" ref="V33" si="349">1-SUM(V30:V32)</f>
        <v>0</v>
      </c>
      <c r="W33">
        <f t="shared" ref="W33" si="350">1-SUM(W30:W32)</f>
        <v>0</v>
      </c>
      <c r="X33">
        <f t="shared" ref="X33" si="351">1-SUM(X30:X32)</f>
        <v>0</v>
      </c>
      <c r="Y33">
        <f t="shared" ref="Y33" si="352">1-SUM(Y30:Y32)</f>
        <v>0</v>
      </c>
      <c r="Z33">
        <f t="shared" ref="Z33" si="353">1-SUM(Z30:Z32)</f>
        <v>1</v>
      </c>
      <c r="AA33">
        <f t="shared" ref="AA33" si="354">1-SUM(AA30:AA32)</f>
        <v>1</v>
      </c>
      <c r="AB33">
        <f t="shared" ref="AB33" si="355">1-SUM(AB30:AB32)</f>
        <v>1</v>
      </c>
      <c r="AC33">
        <f t="shared" ref="AC33" si="356">1-SUM(AC30:AC32)</f>
        <v>1</v>
      </c>
      <c r="AD33">
        <f t="shared" ref="AD33" si="357">1-SUM(AD30:AD32)</f>
        <v>1</v>
      </c>
      <c r="AE33">
        <f t="shared" ref="AE33" si="358">1-SUM(AE30:AE32)</f>
        <v>1</v>
      </c>
      <c r="AF33">
        <f t="shared" ref="AF33" si="359">1-SUM(AF30:AF32)</f>
        <v>1</v>
      </c>
      <c r="AG33">
        <f t="shared" ref="AG33" si="360">1-SUM(AG30:AG32)</f>
        <v>1</v>
      </c>
      <c r="AH33">
        <f t="shared" ref="AH33" si="361">1-SUM(AH30:AH32)</f>
        <v>1</v>
      </c>
      <c r="AI33">
        <f t="shared" ref="AI33" si="362">1-SUM(AI30:AI32)</f>
        <v>0</v>
      </c>
      <c r="AJ33">
        <f t="shared" ref="AJ33" si="363">1-SUM(AJ30:AJ32)</f>
        <v>1</v>
      </c>
      <c r="AK33">
        <f t="shared" ref="AK33" si="364">1-SUM(AK30:AK32)</f>
        <v>0</v>
      </c>
      <c r="AL33">
        <f t="shared" ref="AL33" si="365">1-SUM(AL30:AL32)</f>
        <v>0</v>
      </c>
      <c r="AM33">
        <f t="shared" ref="AM33" si="366">1-SUM(AM30:AM32)</f>
        <v>1</v>
      </c>
      <c r="AN33">
        <f t="shared" ref="AN33" si="367">1-SUM(AN30:AN32)</f>
        <v>1</v>
      </c>
      <c r="AO33">
        <f t="shared" ref="AO33" si="368">1-SUM(AO30:AO32)</f>
        <v>1</v>
      </c>
      <c r="AP33">
        <f t="shared" ref="AP33" si="369">1-SUM(AP30:AP32)</f>
        <v>1</v>
      </c>
      <c r="AQ33">
        <f t="shared" ref="AQ33" si="370">1-SUM(AQ30:AQ32)</f>
        <v>1</v>
      </c>
      <c r="AR33">
        <f t="shared" ref="AR33" si="371">1-SUM(AR30:AR32)</f>
        <v>1</v>
      </c>
      <c r="AS33">
        <f t="shared" ref="AS33" si="372">1-SUM(AS30:AS32)</f>
        <v>1</v>
      </c>
      <c r="AT33">
        <f t="shared" ref="AT33" si="373">1-SUM(AT30:AT32)</f>
        <v>1</v>
      </c>
      <c r="AU33">
        <f t="shared" ref="AU33" si="374">1-SUM(AU30:AU32)</f>
        <v>1</v>
      </c>
      <c r="AV33">
        <f t="shared" ref="AV33" si="375">1-SUM(AV30:AV32)</f>
        <v>1</v>
      </c>
      <c r="AW33">
        <f t="shared" ref="AW33" si="376">1-SUM(AW30:AW32)</f>
        <v>1</v>
      </c>
      <c r="AX33">
        <f t="shared" ref="AX33" si="377">1-SUM(AX30:AX32)</f>
        <v>1</v>
      </c>
      <c r="AY33">
        <f t="shared" ref="AY33" si="378">1-SUM(AY30:AY32)</f>
        <v>0</v>
      </c>
      <c r="AZ33">
        <f t="shared" ref="AZ33" si="379">1-SUM(AZ30:AZ32)</f>
        <v>0</v>
      </c>
      <c r="BA33">
        <f t="shared" ref="BA33" si="380">1-SUM(BA30:BA32)</f>
        <v>1</v>
      </c>
      <c r="BB33">
        <f t="shared" ref="BB33" si="381">1-SUM(BB30:BB32)</f>
        <v>1</v>
      </c>
      <c r="BC33">
        <f t="shared" ref="BC33" si="382">1-SUM(BC30:BC32)</f>
        <v>1</v>
      </c>
      <c r="BD33">
        <f t="shared" ref="BD33" si="383">1-SUM(BD30:BD32)</f>
        <v>1</v>
      </c>
      <c r="BE33">
        <f t="shared" ref="BE33" si="384">1-SUM(BE30:BE32)</f>
        <v>1</v>
      </c>
      <c r="BF33">
        <f t="shared" ref="BF33" si="385">1-SUM(BF30:BF32)</f>
        <v>1</v>
      </c>
      <c r="BG33">
        <f t="shared" ref="BG33" si="386">1-SUM(BG30:BG32)</f>
        <v>1</v>
      </c>
      <c r="BH33">
        <f t="shared" ref="BH33" si="387">1-SUM(BH30:BH32)</f>
        <v>1</v>
      </c>
      <c r="BI33">
        <f t="shared" ref="BI33" si="388">1-SUM(BI30:BI32)</f>
        <v>1</v>
      </c>
      <c r="BJ33">
        <f t="shared" ref="BJ33" si="389">1-SUM(BJ30:BJ32)</f>
        <v>1</v>
      </c>
      <c r="BK33">
        <f t="shared" ref="BK33" si="390">1-SUM(BK30:BK32)</f>
        <v>1</v>
      </c>
      <c r="BL33">
        <f t="shared" ref="BL33" si="391">1-SUM(BL30:BL32)</f>
        <v>1</v>
      </c>
      <c r="BM33">
        <f t="shared" ref="BM33" si="392">1-SUM(BM30:BM32)</f>
        <v>0</v>
      </c>
      <c r="BN33">
        <f t="shared" ref="BN33" si="393">1-SUM(BN30:BN32)</f>
        <v>0</v>
      </c>
      <c r="BO33">
        <f t="shared" ref="BO33" si="394">1-SUM(BO30:BO32)</f>
        <v>1</v>
      </c>
      <c r="BP33">
        <f t="shared" ref="BP33" si="395">1-SUM(BP30:BP32)</f>
        <v>1</v>
      </c>
      <c r="BQ33">
        <f t="shared" ref="BQ33" si="396">1-SUM(BQ30:BQ32)</f>
        <v>1</v>
      </c>
      <c r="BR33">
        <f t="shared" ref="BR33" si="397">1-SUM(BR30:BR32)</f>
        <v>1</v>
      </c>
      <c r="BS33">
        <f t="shared" ref="BS33" si="398">1-SUM(BS30:BS32)</f>
        <v>1</v>
      </c>
      <c r="BT33">
        <f t="shared" ref="BT33" si="399">1-SUM(BT30:BT32)</f>
        <v>1</v>
      </c>
      <c r="BU33">
        <f t="shared" ref="BU33" si="400">1-SUM(BU30:BU32)</f>
        <v>1</v>
      </c>
      <c r="BV33">
        <f t="shared" ref="BV33" si="401">1-SUM(BV30:BV32)</f>
        <v>1</v>
      </c>
      <c r="BW33">
        <f t="shared" ref="BW33" si="402">1-SUM(BW30:BW32)</f>
        <v>1</v>
      </c>
      <c r="BX33">
        <f t="shared" ref="BX33" si="403">1-SUM(BX30:BX32)</f>
        <v>1</v>
      </c>
      <c r="BY33">
        <f t="shared" ref="BY33" si="404">1-SUM(BY30:BY32)</f>
        <v>1</v>
      </c>
      <c r="BZ33">
        <f t="shared" ref="BZ33" si="405">1-SUM(BZ30:BZ32)</f>
        <v>1</v>
      </c>
      <c r="CA33">
        <f t="shared" ref="CA33" si="406">1-SUM(CA30:CA32)</f>
        <v>0</v>
      </c>
      <c r="CB33">
        <f t="shared" ref="CB33" si="407">1-SUM(CB30:CB32)</f>
        <v>0</v>
      </c>
      <c r="CC33">
        <f t="shared" ref="CC33" si="408">1-SUM(CC30:CC32)</f>
        <v>1</v>
      </c>
      <c r="CD33">
        <f t="shared" ref="CD33" si="409">1-SUM(CD30:CD32)</f>
        <v>1</v>
      </c>
      <c r="CE33">
        <f t="shared" ref="CE33" si="410">1-SUM(CE30:CE32)</f>
        <v>1</v>
      </c>
      <c r="CF33">
        <f t="shared" ref="CF33" si="411">1-SUM(CF30:CF32)</f>
        <v>1</v>
      </c>
      <c r="CG33">
        <f t="shared" ref="CG33" si="412">1-SUM(CG30:CG32)</f>
        <v>1</v>
      </c>
      <c r="CH33">
        <f t="shared" ref="CH33" si="413">1-SUM(CH30:CH32)</f>
        <v>1</v>
      </c>
      <c r="CI33">
        <f t="shared" ref="CI33" si="414">1-SUM(CI30:CI32)</f>
        <v>1</v>
      </c>
      <c r="CJ33">
        <f t="shared" ref="CJ33" si="415">1-SUM(CJ30:CJ32)</f>
        <v>1</v>
      </c>
      <c r="CK33">
        <f t="shared" ref="CK33" si="416">1-SUM(CK30:CK32)</f>
        <v>1</v>
      </c>
      <c r="CL33">
        <f t="shared" ref="CL33" si="417">1-SUM(CL30:CL32)</f>
        <v>1</v>
      </c>
      <c r="CM33">
        <f t="shared" ref="CM33" si="418">1-SUM(CM30:CM32)</f>
        <v>1</v>
      </c>
      <c r="CN33">
        <f t="shared" ref="CN33" si="419">1-SUM(CN30:CN32)</f>
        <v>1</v>
      </c>
      <c r="CO33">
        <f t="shared" ref="CO33" si="420">1-SUM(CO30:CO32)</f>
        <v>0</v>
      </c>
      <c r="CP33">
        <f t="shared" ref="CP33" si="421">1-SUM(CP30:CP32)</f>
        <v>0</v>
      </c>
      <c r="CQ33">
        <f t="shared" ref="CQ33" si="422">1-SUM(CQ30:CQ32)</f>
        <v>1</v>
      </c>
      <c r="CR33">
        <f t="shared" ref="CR33" si="423">1-SUM(CR30:CR32)</f>
        <v>1</v>
      </c>
      <c r="CS33">
        <f t="shared" ref="CS33" si="424">1-SUM(CS30:CS32)</f>
        <v>1</v>
      </c>
      <c r="CT33">
        <f t="shared" ref="CT33" si="425">1-SUM(CT30:CT32)</f>
        <v>1</v>
      </c>
      <c r="CU33">
        <f t="shared" ref="CU33" si="426">1-SUM(CU30:CU32)</f>
        <v>1</v>
      </c>
      <c r="CV33">
        <f t="shared" ref="CV33" si="427">1-SUM(CV30:CV32)</f>
        <v>1</v>
      </c>
      <c r="CW33">
        <f t="shared" ref="CW33" si="428">1-SUM(CW30:CW32)</f>
        <v>1</v>
      </c>
      <c r="CX33">
        <f t="shared" ref="CX33" si="429">1-SUM(CX30:CX32)</f>
        <v>1</v>
      </c>
      <c r="CY33">
        <f t="shared" ref="CY33" si="430">1-SUM(CY30:CY32)</f>
        <v>1</v>
      </c>
      <c r="CZ33">
        <f t="shared" ref="CZ33" si="431">1-SUM(CZ30:CZ32)</f>
        <v>1</v>
      </c>
      <c r="DA33">
        <f t="shared" ref="DA33" si="432">1-SUM(DA30:DA32)</f>
        <v>1</v>
      </c>
      <c r="DB33">
        <f t="shared" ref="DB33" si="433">1-SUM(DB30:DB32)</f>
        <v>1</v>
      </c>
      <c r="DC33">
        <f t="shared" ref="DC33" si="434">1-SUM(DC30:DC32)</f>
        <v>0</v>
      </c>
      <c r="DD33">
        <f t="shared" ref="DD33" si="435">1-SUM(DD30:DD32)</f>
        <v>1</v>
      </c>
      <c r="DE33">
        <f t="shared" ref="DE33" si="436">1-SUM(DE30:DE32)</f>
        <v>1</v>
      </c>
      <c r="DF33">
        <f t="shared" ref="DF33" si="437">1-SUM(DF30:DF32)</f>
        <v>1</v>
      </c>
      <c r="DG33">
        <f t="shared" ref="DG33" si="438">1-SUM(DG30:DG32)</f>
        <v>1</v>
      </c>
      <c r="DH33">
        <f t="shared" ref="DH33" si="439">1-SUM(DH30:DH32)</f>
        <v>1</v>
      </c>
      <c r="DI33">
        <f t="shared" ref="DI33" si="440">1-SUM(DI30:DI32)</f>
        <v>1</v>
      </c>
      <c r="DJ33">
        <f t="shared" ref="DJ33" si="441">1-SUM(DJ30:DJ32)</f>
        <v>1</v>
      </c>
      <c r="DK33">
        <f t="shared" ref="DK33" si="442">1-SUM(DK30:DK32)</f>
        <v>1</v>
      </c>
      <c r="DL33">
        <f t="shared" ref="DL33" si="443">1-SUM(DL30:DL32)</f>
        <v>1</v>
      </c>
      <c r="DM33">
        <f t="shared" ref="DM33" si="444">1-SUM(DM30:DM32)</f>
        <v>1</v>
      </c>
      <c r="DN33">
        <f t="shared" ref="DN33" si="445">1-SUM(DN30:DN32)</f>
        <v>1</v>
      </c>
      <c r="DO33">
        <f t="shared" ref="DO33" si="446">1-SUM(DO30:DO32)</f>
        <v>1</v>
      </c>
      <c r="DP33">
        <f t="shared" ref="DP33" si="447">1-SUM(DP30:DP32)</f>
        <v>1</v>
      </c>
      <c r="DQ33">
        <f t="shared" ref="DQ33" si="448">1-SUM(DQ30:DQ32)</f>
        <v>0</v>
      </c>
      <c r="DR33">
        <f t="shared" ref="DR33" si="449">1-SUM(DR30:DR32)</f>
        <v>1</v>
      </c>
      <c r="DS33">
        <f t="shared" ref="DS33" si="450">1-SUM(DS30:DS32)</f>
        <v>1</v>
      </c>
      <c r="DT33">
        <f t="shared" ref="DT33" si="451">1-SUM(DT30:DT32)</f>
        <v>1</v>
      </c>
      <c r="DU33">
        <f t="shared" ref="DU33" si="452">1-SUM(DU30:DU32)</f>
        <v>1</v>
      </c>
      <c r="DV33">
        <f t="shared" ref="DV33" si="453">1-SUM(DV30:DV32)</f>
        <v>1</v>
      </c>
      <c r="DW33">
        <f t="shared" ref="DW33" si="454">1-SUM(DW30:DW32)</f>
        <v>1</v>
      </c>
      <c r="DX33">
        <f t="shared" ref="DX33" si="455">1-SUM(DX30:DX32)</f>
        <v>1</v>
      </c>
      <c r="DY33">
        <f t="shared" ref="DY33" si="456">1-SUM(DY30:DY32)</f>
        <v>1</v>
      </c>
      <c r="DZ33">
        <f t="shared" ref="DZ33" si="457">1-SUM(DZ30:DZ32)</f>
        <v>1</v>
      </c>
      <c r="EA33">
        <f t="shared" ref="EA33" si="458">1-SUM(EA30:EA32)</f>
        <v>1</v>
      </c>
      <c r="EB33">
        <f t="shared" ref="EB33" si="459">1-SUM(EB30:EB32)</f>
        <v>1</v>
      </c>
      <c r="EC33">
        <f t="shared" ref="EC33" si="460">1-SUM(EC30:EC32)</f>
        <v>1</v>
      </c>
      <c r="ED33">
        <f t="shared" ref="ED33" si="461">1-SUM(ED30:ED32)</f>
        <v>1</v>
      </c>
      <c r="EE33">
        <f t="shared" ref="EE33" si="462">1-SUM(EE30:EE32)</f>
        <v>1</v>
      </c>
      <c r="EF33">
        <f t="shared" ref="EF33" si="463">1-SUM(EF30:EF32)</f>
        <v>1</v>
      </c>
      <c r="EG33">
        <f t="shared" ref="EG33" si="464">1-SUM(EG30:EG32)</f>
        <v>1</v>
      </c>
      <c r="EH33">
        <f t="shared" ref="EH33" si="465">1-SUM(EH30:EH32)</f>
        <v>1</v>
      </c>
      <c r="EI33">
        <f t="shared" ref="EI33" si="466">1-SUM(EI30:EI32)</f>
        <v>1</v>
      </c>
      <c r="EJ33">
        <f t="shared" ref="EJ33" si="467">1-SUM(EJ30:EJ32)</f>
        <v>1</v>
      </c>
      <c r="EK33">
        <f t="shared" ref="EK33" si="468">1-SUM(EK30:EK32)</f>
        <v>1</v>
      </c>
      <c r="EL33">
        <f t="shared" ref="EL33" si="469">1-SUM(EL30:EL32)</f>
        <v>1</v>
      </c>
      <c r="EM33">
        <f t="shared" ref="EM33" si="470">1-SUM(EM30:EM32)</f>
        <v>1</v>
      </c>
      <c r="EN33">
        <f t="shared" ref="EN33" si="471">1-SUM(EN30:EN32)</f>
        <v>1</v>
      </c>
      <c r="EO33">
        <f t="shared" ref="EO33" si="472">1-SUM(EO30:EO32)</f>
        <v>1</v>
      </c>
      <c r="EP33">
        <f t="shared" ref="EP33" si="473">1-SUM(EP30:EP32)</f>
        <v>1</v>
      </c>
      <c r="EQ33">
        <f t="shared" ref="EQ33" si="474">1-SUM(EQ30:EQ32)</f>
        <v>1</v>
      </c>
      <c r="ER33">
        <f t="shared" ref="ER33" si="475">1-SUM(ER30:ER32)</f>
        <v>1</v>
      </c>
      <c r="ES33">
        <f t="shared" ref="ES33" si="476">1-SUM(ES30:ES32)</f>
        <v>1</v>
      </c>
      <c r="ET33">
        <f t="shared" ref="ET33" si="477">1-SUM(ET30:ET32)</f>
        <v>1</v>
      </c>
      <c r="EU33">
        <f t="shared" ref="EU33" si="478">1-SUM(EU30:EU32)</f>
        <v>1</v>
      </c>
      <c r="EV33">
        <f t="shared" ref="EV33" si="479">1-SUM(EV30:EV32)</f>
        <v>1</v>
      </c>
      <c r="EW33">
        <f t="shared" ref="EW33" si="480">1-SUM(EW30:EW32)</f>
        <v>1</v>
      </c>
      <c r="EX33">
        <f t="shared" ref="EX33" si="481">1-SUM(EX30:EX32)</f>
        <v>1</v>
      </c>
      <c r="EY33">
        <f t="shared" ref="EY33" si="482">1-SUM(EY30:EY32)</f>
        <v>1</v>
      </c>
      <c r="EZ33">
        <f t="shared" ref="EZ33" si="483">1-SUM(EZ30:EZ32)</f>
        <v>1</v>
      </c>
      <c r="FA33">
        <f t="shared" ref="FA33" si="484">1-SUM(FA30:FA32)</f>
        <v>1</v>
      </c>
      <c r="FB33">
        <f t="shared" ref="FB33" si="485">1-SUM(FB30:FB32)</f>
        <v>1</v>
      </c>
      <c r="FC33">
        <f t="shared" ref="FC33" si="486">1-SUM(FC30:FC32)</f>
        <v>1</v>
      </c>
      <c r="FD33">
        <f t="shared" ref="FD33" si="487">1-SUM(FD30:FD32)</f>
        <v>1</v>
      </c>
      <c r="FE33">
        <f t="shared" ref="FE33" si="488">1-SUM(FE30:FE32)</f>
        <v>1</v>
      </c>
      <c r="FF33">
        <f t="shared" ref="FF33" si="489">1-SUM(FF30:FF32)</f>
        <v>1</v>
      </c>
      <c r="FG33">
        <f t="shared" ref="FG33" si="490">1-SUM(FG30:FG32)</f>
        <v>1</v>
      </c>
      <c r="FH33">
        <f t="shared" ref="FH33" si="491">1-SUM(FH30:FH32)</f>
        <v>1</v>
      </c>
      <c r="FI33">
        <f t="shared" ref="FI33" si="492">1-SUM(FI30:FI32)</f>
        <v>1</v>
      </c>
      <c r="FJ33">
        <f t="shared" ref="FJ33" si="493">1-SUM(FJ30:FJ32)</f>
        <v>1</v>
      </c>
      <c r="FK33">
        <f t="shared" ref="FK33" si="494">1-SUM(FK30:FK32)</f>
        <v>1</v>
      </c>
      <c r="FL33">
        <f t="shared" ref="FL33" si="495">1-SUM(FL30:FL32)</f>
        <v>1</v>
      </c>
      <c r="FM33">
        <f t="shared" ref="FM33" si="496">1-SUM(FM30:FM32)</f>
        <v>1</v>
      </c>
      <c r="FN33">
        <f t="shared" ref="FN33" si="497">1-SUM(FN30:FN32)</f>
        <v>1</v>
      </c>
      <c r="FO33">
        <f t="shared" ref="FO33" si="498">1-SUM(FO30:FO32)</f>
        <v>1</v>
      </c>
      <c r="FP33">
        <f t="shared" ref="FP33" si="499">1-SUM(FP30:FP32)</f>
        <v>1</v>
      </c>
      <c r="FQ33">
        <f t="shared" ref="FQ33" si="500">1-SUM(FQ30:FQ32)</f>
        <v>1</v>
      </c>
      <c r="FR33">
        <f t="shared" ref="FR33" si="501">1-SUM(FR30:FR32)</f>
        <v>1</v>
      </c>
      <c r="FS33">
        <f t="shared" ref="FS33" si="502">1-SUM(FS30:FS32)</f>
        <v>1</v>
      </c>
      <c r="FT33">
        <f t="shared" ref="FT33" si="503">1-SUM(FT30:FT32)</f>
        <v>1</v>
      </c>
      <c r="FU33">
        <f t="shared" ref="FU33" si="504">1-SUM(FU30:FU32)</f>
        <v>1</v>
      </c>
      <c r="FV33" s="18">
        <f t="shared" si="0"/>
        <v>0.90497737556561086</v>
      </c>
    </row>
    <row r="34" spans="1:178" ht="14.25" customHeight="1" x14ac:dyDescent="0.25">
      <c r="A34" s="86" t="s">
        <v>273</v>
      </c>
      <c r="B34">
        <v>9</v>
      </c>
      <c r="C34">
        <v>100</v>
      </c>
      <c r="D34" s="19" t="s">
        <v>12</v>
      </c>
      <c r="E34" s="17" t="s">
        <v>15</v>
      </c>
      <c r="F34" s="8" t="s">
        <v>197</v>
      </c>
      <c r="G34" s="8" t="s">
        <v>201</v>
      </c>
      <c r="H34" s="8" t="s">
        <v>194</v>
      </c>
      <c r="I34">
        <v>1</v>
      </c>
      <c r="J34">
        <v>1</v>
      </c>
      <c r="V34">
        <v>1</v>
      </c>
      <c r="W34">
        <v>1</v>
      </c>
      <c r="AK34">
        <v>1</v>
      </c>
      <c r="FV34" s="18">
        <f t="shared" ref="FV34:FV41" si="505">SUMPRODUCT(I34:FU34,$I$1:$FU$1)/(SUM($I$1:$FU$1))</f>
        <v>2.564102564102564E-2</v>
      </c>
    </row>
    <row r="35" spans="1:178" ht="14.25" customHeight="1" x14ac:dyDescent="0.25">
      <c r="A35" s="86" t="s">
        <v>273</v>
      </c>
      <c r="B35">
        <v>9</v>
      </c>
      <c r="C35">
        <v>100</v>
      </c>
      <c r="D35" s="19" t="s">
        <v>12</v>
      </c>
      <c r="E35" s="17" t="s">
        <v>15</v>
      </c>
      <c r="F35" s="8" t="s">
        <v>197</v>
      </c>
      <c r="G35" s="8" t="s">
        <v>201</v>
      </c>
      <c r="H35" s="17" t="s">
        <v>220</v>
      </c>
      <c r="M35">
        <v>1</v>
      </c>
      <c r="R35">
        <v>1</v>
      </c>
      <c r="Y35">
        <v>1</v>
      </c>
      <c r="AI35">
        <v>1</v>
      </c>
      <c r="FV35" s="18">
        <f t="shared" si="505"/>
        <v>1.8099547511312219E-2</v>
      </c>
    </row>
    <row r="36" spans="1:178" ht="14.25" customHeight="1" x14ac:dyDescent="0.25">
      <c r="A36" s="86" t="s">
        <v>273</v>
      </c>
      <c r="B36">
        <v>9</v>
      </c>
      <c r="C36">
        <v>100</v>
      </c>
      <c r="D36" s="19" t="s">
        <v>12</v>
      </c>
      <c r="E36" s="17" t="s">
        <v>15</v>
      </c>
      <c r="F36" s="8" t="s">
        <v>197</v>
      </c>
      <c r="G36" s="8" t="s">
        <v>201</v>
      </c>
      <c r="H36" s="8" t="s">
        <v>195</v>
      </c>
      <c r="K36">
        <v>1</v>
      </c>
      <c r="L36">
        <v>1</v>
      </c>
      <c r="X36">
        <v>1</v>
      </c>
      <c r="AL36">
        <v>1</v>
      </c>
      <c r="AY36">
        <v>1</v>
      </c>
      <c r="AZ36">
        <v>1</v>
      </c>
      <c r="BM36">
        <v>1</v>
      </c>
      <c r="BN36">
        <v>1</v>
      </c>
      <c r="CA36">
        <v>1</v>
      </c>
      <c r="CO36">
        <v>1</v>
      </c>
      <c r="DC36">
        <v>1</v>
      </c>
      <c r="FV36" s="18">
        <f t="shared" si="505"/>
        <v>4.072398190045249E-2</v>
      </c>
    </row>
    <row r="37" spans="1:178" ht="14.25" customHeight="1" x14ac:dyDescent="0.25">
      <c r="A37" s="86" t="s">
        <v>273</v>
      </c>
      <c r="B37">
        <v>9</v>
      </c>
      <c r="C37">
        <v>100</v>
      </c>
      <c r="D37" s="19" t="s">
        <v>12</v>
      </c>
      <c r="E37" s="17" t="s">
        <v>15</v>
      </c>
      <c r="F37" s="8" t="s">
        <v>197</v>
      </c>
      <c r="G37" s="8" t="s">
        <v>201</v>
      </c>
      <c r="H37" s="8" t="s">
        <v>196</v>
      </c>
      <c r="I37">
        <f>1-SUM(I34:I36)</f>
        <v>0</v>
      </c>
      <c r="J37">
        <f t="shared" ref="J37:BU37" si="506">1-SUM(J34:J36)</f>
        <v>0</v>
      </c>
      <c r="K37">
        <f t="shared" si="506"/>
        <v>0</v>
      </c>
      <c r="L37">
        <f t="shared" si="506"/>
        <v>0</v>
      </c>
      <c r="M37">
        <f t="shared" si="506"/>
        <v>0</v>
      </c>
      <c r="N37">
        <f t="shared" si="506"/>
        <v>1</v>
      </c>
      <c r="O37">
        <f t="shared" si="506"/>
        <v>1</v>
      </c>
      <c r="P37">
        <f t="shared" si="506"/>
        <v>1</v>
      </c>
      <c r="Q37">
        <f t="shared" si="506"/>
        <v>1</v>
      </c>
      <c r="R37">
        <f t="shared" si="506"/>
        <v>0</v>
      </c>
      <c r="S37">
        <f t="shared" si="506"/>
        <v>1</v>
      </c>
      <c r="T37">
        <f t="shared" si="506"/>
        <v>1</v>
      </c>
      <c r="U37">
        <f t="shared" si="506"/>
        <v>1</v>
      </c>
      <c r="V37">
        <f t="shared" si="506"/>
        <v>0</v>
      </c>
      <c r="W37">
        <f t="shared" si="506"/>
        <v>0</v>
      </c>
      <c r="X37">
        <f t="shared" si="506"/>
        <v>0</v>
      </c>
      <c r="Y37">
        <f t="shared" si="506"/>
        <v>0</v>
      </c>
      <c r="Z37">
        <f t="shared" si="506"/>
        <v>1</v>
      </c>
      <c r="AA37">
        <f t="shared" si="506"/>
        <v>1</v>
      </c>
      <c r="AB37">
        <f t="shared" si="506"/>
        <v>1</v>
      </c>
      <c r="AC37">
        <f t="shared" si="506"/>
        <v>1</v>
      </c>
      <c r="AD37">
        <f t="shared" si="506"/>
        <v>1</v>
      </c>
      <c r="AE37">
        <f t="shared" si="506"/>
        <v>1</v>
      </c>
      <c r="AF37">
        <f t="shared" si="506"/>
        <v>1</v>
      </c>
      <c r="AG37">
        <f t="shared" si="506"/>
        <v>1</v>
      </c>
      <c r="AH37">
        <f t="shared" si="506"/>
        <v>1</v>
      </c>
      <c r="AI37">
        <f t="shared" si="506"/>
        <v>0</v>
      </c>
      <c r="AJ37">
        <f t="shared" si="506"/>
        <v>1</v>
      </c>
      <c r="AK37">
        <f t="shared" si="506"/>
        <v>0</v>
      </c>
      <c r="AL37">
        <f t="shared" si="506"/>
        <v>0</v>
      </c>
      <c r="AM37">
        <f t="shared" si="506"/>
        <v>1</v>
      </c>
      <c r="AN37">
        <f t="shared" si="506"/>
        <v>1</v>
      </c>
      <c r="AO37">
        <f t="shared" si="506"/>
        <v>1</v>
      </c>
      <c r="AP37">
        <f t="shared" si="506"/>
        <v>1</v>
      </c>
      <c r="AQ37">
        <f t="shared" si="506"/>
        <v>1</v>
      </c>
      <c r="AR37">
        <f t="shared" si="506"/>
        <v>1</v>
      </c>
      <c r="AS37">
        <f t="shared" si="506"/>
        <v>1</v>
      </c>
      <c r="AT37">
        <f t="shared" si="506"/>
        <v>1</v>
      </c>
      <c r="AU37">
        <f t="shared" si="506"/>
        <v>1</v>
      </c>
      <c r="AV37">
        <f t="shared" si="506"/>
        <v>1</v>
      </c>
      <c r="AW37">
        <f t="shared" si="506"/>
        <v>1</v>
      </c>
      <c r="AX37">
        <f t="shared" si="506"/>
        <v>1</v>
      </c>
      <c r="AY37">
        <f t="shared" si="506"/>
        <v>0</v>
      </c>
      <c r="AZ37">
        <f t="shared" si="506"/>
        <v>0</v>
      </c>
      <c r="BA37">
        <f t="shared" si="506"/>
        <v>1</v>
      </c>
      <c r="BB37">
        <f t="shared" si="506"/>
        <v>1</v>
      </c>
      <c r="BC37">
        <f t="shared" si="506"/>
        <v>1</v>
      </c>
      <c r="BD37">
        <f t="shared" si="506"/>
        <v>1</v>
      </c>
      <c r="BE37">
        <f t="shared" si="506"/>
        <v>1</v>
      </c>
      <c r="BF37">
        <f t="shared" si="506"/>
        <v>1</v>
      </c>
      <c r="BG37">
        <f t="shared" si="506"/>
        <v>1</v>
      </c>
      <c r="BH37">
        <f t="shared" si="506"/>
        <v>1</v>
      </c>
      <c r="BI37">
        <f t="shared" si="506"/>
        <v>1</v>
      </c>
      <c r="BJ37">
        <f t="shared" si="506"/>
        <v>1</v>
      </c>
      <c r="BK37">
        <f t="shared" si="506"/>
        <v>1</v>
      </c>
      <c r="BL37">
        <f t="shared" si="506"/>
        <v>1</v>
      </c>
      <c r="BM37">
        <f t="shared" si="506"/>
        <v>0</v>
      </c>
      <c r="BN37">
        <f t="shared" si="506"/>
        <v>0</v>
      </c>
      <c r="BO37">
        <f t="shared" si="506"/>
        <v>1</v>
      </c>
      <c r="BP37">
        <f t="shared" si="506"/>
        <v>1</v>
      </c>
      <c r="BQ37">
        <f t="shared" si="506"/>
        <v>1</v>
      </c>
      <c r="BR37">
        <f t="shared" si="506"/>
        <v>1</v>
      </c>
      <c r="BS37">
        <f t="shared" si="506"/>
        <v>1</v>
      </c>
      <c r="BT37">
        <f t="shared" si="506"/>
        <v>1</v>
      </c>
      <c r="BU37">
        <f t="shared" si="506"/>
        <v>1</v>
      </c>
      <c r="BV37">
        <f t="shared" ref="BV37:EG37" si="507">1-SUM(BV34:BV36)</f>
        <v>1</v>
      </c>
      <c r="BW37">
        <f t="shared" si="507"/>
        <v>1</v>
      </c>
      <c r="BX37">
        <f t="shared" si="507"/>
        <v>1</v>
      </c>
      <c r="BY37">
        <f t="shared" si="507"/>
        <v>1</v>
      </c>
      <c r="BZ37">
        <f t="shared" si="507"/>
        <v>1</v>
      </c>
      <c r="CA37">
        <f t="shared" si="507"/>
        <v>0</v>
      </c>
      <c r="CB37">
        <f t="shared" si="507"/>
        <v>1</v>
      </c>
      <c r="CC37">
        <f t="shared" si="507"/>
        <v>1</v>
      </c>
      <c r="CD37">
        <f t="shared" si="507"/>
        <v>1</v>
      </c>
      <c r="CE37">
        <f t="shared" si="507"/>
        <v>1</v>
      </c>
      <c r="CF37">
        <f t="shared" si="507"/>
        <v>1</v>
      </c>
      <c r="CG37">
        <f t="shared" si="507"/>
        <v>1</v>
      </c>
      <c r="CH37">
        <f t="shared" si="507"/>
        <v>1</v>
      </c>
      <c r="CI37">
        <f t="shared" si="507"/>
        <v>1</v>
      </c>
      <c r="CJ37">
        <f t="shared" si="507"/>
        <v>1</v>
      </c>
      <c r="CK37">
        <f t="shared" si="507"/>
        <v>1</v>
      </c>
      <c r="CL37">
        <f t="shared" si="507"/>
        <v>1</v>
      </c>
      <c r="CM37">
        <f t="shared" si="507"/>
        <v>1</v>
      </c>
      <c r="CN37">
        <f t="shared" si="507"/>
        <v>1</v>
      </c>
      <c r="CO37">
        <f t="shared" si="507"/>
        <v>0</v>
      </c>
      <c r="CP37">
        <f t="shared" si="507"/>
        <v>1</v>
      </c>
      <c r="CQ37">
        <f t="shared" si="507"/>
        <v>1</v>
      </c>
      <c r="CR37">
        <f t="shared" si="507"/>
        <v>1</v>
      </c>
      <c r="CS37">
        <f t="shared" si="507"/>
        <v>1</v>
      </c>
      <c r="CT37">
        <f t="shared" si="507"/>
        <v>1</v>
      </c>
      <c r="CU37">
        <f t="shared" si="507"/>
        <v>1</v>
      </c>
      <c r="CV37">
        <f t="shared" si="507"/>
        <v>1</v>
      </c>
      <c r="CW37">
        <f t="shared" si="507"/>
        <v>1</v>
      </c>
      <c r="CX37">
        <f t="shared" si="507"/>
        <v>1</v>
      </c>
      <c r="CY37">
        <f t="shared" si="507"/>
        <v>1</v>
      </c>
      <c r="CZ37">
        <f t="shared" si="507"/>
        <v>1</v>
      </c>
      <c r="DA37">
        <f t="shared" si="507"/>
        <v>1</v>
      </c>
      <c r="DB37">
        <f t="shared" si="507"/>
        <v>1</v>
      </c>
      <c r="DC37">
        <f t="shared" si="507"/>
        <v>0</v>
      </c>
      <c r="DD37">
        <f t="shared" si="507"/>
        <v>1</v>
      </c>
      <c r="DE37">
        <f t="shared" si="507"/>
        <v>1</v>
      </c>
      <c r="DF37">
        <f t="shared" si="507"/>
        <v>1</v>
      </c>
      <c r="DG37">
        <f t="shared" si="507"/>
        <v>1</v>
      </c>
      <c r="DH37">
        <f t="shared" si="507"/>
        <v>1</v>
      </c>
      <c r="DI37">
        <f t="shared" si="507"/>
        <v>1</v>
      </c>
      <c r="DJ37">
        <f t="shared" si="507"/>
        <v>1</v>
      </c>
      <c r="DK37">
        <f t="shared" si="507"/>
        <v>1</v>
      </c>
      <c r="DL37">
        <f t="shared" si="507"/>
        <v>1</v>
      </c>
      <c r="DM37">
        <f t="shared" si="507"/>
        <v>1</v>
      </c>
      <c r="DN37">
        <f t="shared" si="507"/>
        <v>1</v>
      </c>
      <c r="DO37">
        <f t="shared" si="507"/>
        <v>1</v>
      </c>
      <c r="DP37">
        <f t="shared" si="507"/>
        <v>1</v>
      </c>
      <c r="DQ37">
        <f t="shared" si="507"/>
        <v>1</v>
      </c>
      <c r="DR37">
        <f t="shared" si="507"/>
        <v>1</v>
      </c>
      <c r="DS37">
        <f t="shared" si="507"/>
        <v>1</v>
      </c>
      <c r="DT37">
        <f t="shared" si="507"/>
        <v>1</v>
      </c>
      <c r="DU37">
        <f t="shared" si="507"/>
        <v>1</v>
      </c>
      <c r="DV37">
        <f t="shared" si="507"/>
        <v>1</v>
      </c>
      <c r="DW37">
        <f t="shared" si="507"/>
        <v>1</v>
      </c>
      <c r="DX37">
        <f t="shared" si="507"/>
        <v>1</v>
      </c>
      <c r="DY37">
        <f t="shared" si="507"/>
        <v>1</v>
      </c>
      <c r="DZ37">
        <f t="shared" si="507"/>
        <v>1</v>
      </c>
      <c r="EA37">
        <f t="shared" si="507"/>
        <v>1</v>
      </c>
      <c r="EB37">
        <f t="shared" si="507"/>
        <v>1</v>
      </c>
      <c r="EC37">
        <f t="shared" si="507"/>
        <v>1</v>
      </c>
      <c r="ED37">
        <f t="shared" si="507"/>
        <v>1</v>
      </c>
      <c r="EE37">
        <f t="shared" si="507"/>
        <v>1</v>
      </c>
      <c r="EF37">
        <f t="shared" si="507"/>
        <v>1</v>
      </c>
      <c r="EG37">
        <f t="shared" si="507"/>
        <v>1</v>
      </c>
      <c r="EH37">
        <f t="shared" ref="EH37:FU37" si="508">1-SUM(EH34:EH36)</f>
        <v>1</v>
      </c>
      <c r="EI37">
        <f t="shared" si="508"/>
        <v>1</v>
      </c>
      <c r="EJ37">
        <f t="shared" si="508"/>
        <v>1</v>
      </c>
      <c r="EK37">
        <f t="shared" si="508"/>
        <v>1</v>
      </c>
      <c r="EL37">
        <f t="shared" si="508"/>
        <v>1</v>
      </c>
      <c r="EM37">
        <f t="shared" si="508"/>
        <v>1</v>
      </c>
      <c r="EN37">
        <f t="shared" si="508"/>
        <v>1</v>
      </c>
      <c r="EO37">
        <f t="shared" si="508"/>
        <v>1</v>
      </c>
      <c r="EP37">
        <f t="shared" si="508"/>
        <v>1</v>
      </c>
      <c r="EQ37">
        <f t="shared" si="508"/>
        <v>1</v>
      </c>
      <c r="ER37">
        <f t="shared" si="508"/>
        <v>1</v>
      </c>
      <c r="ES37">
        <f t="shared" si="508"/>
        <v>1</v>
      </c>
      <c r="ET37">
        <f t="shared" si="508"/>
        <v>1</v>
      </c>
      <c r="EU37">
        <f t="shared" si="508"/>
        <v>1</v>
      </c>
      <c r="EV37">
        <f t="shared" si="508"/>
        <v>1</v>
      </c>
      <c r="EW37">
        <f t="shared" si="508"/>
        <v>1</v>
      </c>
      <c r="EX37">
        <f t="shared" si="508"/>
        <v>1</v>
      </c>
      <c r="EY37">
        <f t="shared" si="508"/>
        <v>1</v>
      </c>
      <c r="EZ37">
        <f t="shared" si="508"/>
        <v>1</v>
      </c>
      <c r="FA37">
        <f t="shared" si="508"/>
        <v>1</v>
      </c>
      <c r="FB37">
        <f t="shared" si="508"/>
        <v>1</v>
      </c>
      <c r="FC37">
        <f t="shared" si="508"/>
        <v>1</v>
      </c>
      <c r="FD37">
        <f t="shared" si="508"/>
        <v>1</v>
      </c>
      <c r="FE37">
        <f t="shared" si="508"/>
        <v>1</v>
      </c>
      <c r="FF37">
        <f t="shared" si="508"/>
        <v>1</v>
      </c>
      <c r="FG37">
        <f t="shared" si="508"/>
        <v>1</v>
      </c>
      <c r="FH37">
        <f t="shared" si="508"/>
        <v>1</v>
      </c>
      <c r="FI37">
        <f t="shared" si="508"/>
        <v>1</v>
      </c>
      <c r="FJ37">
        <f t="shared" si="508"/>
        <v>1</v>
      </c>
      <c r="FK37">
        <f t="shared" si="508"/>
        <v>1</v>
      </c>
      <c r="FL37">
        <f t="shared" si="508"/>
        <v>1</v>
      </c>
      <c r="FM37">
        <f t="shared" si="508"/>
        <v>1</v>
      </c>
      <c r="FN37">
        <f t="shared" si="508"/>
        <v>1</v>
      </c>
      <c r="FO37">
        <f t="shared" si="508"/>
        <v>1</v>
      </c>
      <c r="FP37">
        <f t="shared" si="508"/>
        <v>1</v>
      </c>
      <c r="FQ37">
        <f t="shared" si="508"/>
        <v>1</v>
      </c>
      <c r="FR37">
        <f t="shared" si="508"/>
        <v>1</v>
      </c>
      <c r="FS37">
        <f t="shared" si="508"/>
        <v>1</v>
      </c>
      <c r="FT37">
        <f t="shared" si="508"/>
        <v>1</v>
      </c>
      <c r="FU37">
        <f t="shared" si="508"/>
        <v>1</v>
      </c>
      <c r="FV37" s="18">
        <f t="shared" si="505"/>
        <v>0.91553544494720962</v>
      </c>
    </row>
    <row r="38" spans="1:178" ht="14.25" customHeight="1" x14ac:dyDescent="0.25">
      <c r="A38" s="86" t="s">
        <v>273</v>
      </c>
      <c r="B38">
        <v>9</v>
      </c>
      <c r="C38">
        <v>100</v>
      </c>
      <c r="D38" s="19" t="s">
        <v>12</v>
      </c>
      <c r="E38" s="17" t="s">
        <v>242</v>
      </c>
      <c r="F38" s="8" t="s">
        <v>197</v>
      </c>
      <c r="G38" s="8" t="s">
        <v>201</v>
      </c>
      <c r="H38" s="8" t="s">
        <v>194</v>
      </c>
      <c r="I38">
        <v>1</v>
      </c>
      <c r="J38">
        <v>1</v>
      </c>
      <c r="V38">
        <v>1</v>
      </c>
      <c r="W38">
        <v>1</v>
      </c>
      <c r="AK38">
        <v>1</v>
      </c>
      <c r="FV38" s="18">
        <f t="shared" si="505"/>
        <v>2.564102564102564E-2</v>
      </c>
    </row>
    <row r="39" spans="1:178" ht="14.25" customHeight="1" x14ac:dyDescent="0.25">
      <c r="A39" s="86" t="s">
        <v>273</v>
      </c>
      <c r="B39">
        <v>9</v>
      </c>
      <c r="C39">
        <v>100</v>
      </c>
      <c r="D39" s="19" t="s">
        <v>12</v>
      </c>
      <c r="E39" s="17" t="s">
        <v>242</v>
      </c>
      <c r="F39" s="8" t="s">
        <v>197</v>
      </c>
      <c r="G39" s="8" t="s">
        <v>201</v>
      </c>
      <c r="H39" s="17" t="s">
        <v>220</v>
      </c>
      <c r="M39">
        <v>1</v>
      </c>
      <c r="R39">
        <v>1</v>
      </c>
      <c r="Y39">
        <v>1</v>
      </c>
      <c r="AI39">
        <v>1</v>
      </c>
      <c r="FV39" s="18">
        <f t="shared" si="505"/>
        <v>1.8099547511312219E-2</v>
      </c>
    </row>
    <row r="40" spans="1:178" ht="14.25" customHeight="1" x14ac:dyDescent="0.25">
      <c r="A40" s="86" t="s">
        <v>273</v>
      </c>
      <c r="B40">
        <v>9</v>
      </c>
      <c r="C40">
        <v>100</v>
      </c>
      <c r="D40" s="19" t="s">
        <v>12</v>
      </c>
      <c r="E40" s="17" t="s">
        <v>242</v>
      </c>
      <c r="F40" s="8" t="s">
        <v>197</v>
      </c>
      <c r="G40" s="8" t="s">
        <v>201</v>
      </c>
      <c r="H40" s="8" t="s">
        <v>195</v>
      </c>
      <c r="K40">
        <v>1</v>
      </c>
      <c r="L40">
        <v>1</v>
      </c>
      <c r="X40">
        <v>1</v>
      </c>
      <c r="AL40">
        <v>1</v>
      </c>
      <c r="AY40">
        <v>1</v>
      </c>
      <c r="AZ40">
        <v>1</v>
      </c>
      <c r="BM40">
        <v>1</v>
      </c>
      <c r="BN40">
        <v>1</v>
      </c>
      <c r="CA40">
        <v>1</v>
      </c>
      <c r="CB40">
        <v>1</v>
      </c>
      <c r="CO40">
        <v>1</v>
      </c>
      <c r="DC40">
        <v>1</v>
      </c>
      <c r="DQ40">
        <v>1</v>
      </c>
      <c r="FV40" s="18">
        <f t="shared" si="505"/>
        <v>4.8265460030165915E-2</v>
      </c>
    </row>
    <row r="41" spans="1:178" ht="14.25" customHeight="1" x14ac:dyDescent="0.25">
      <c r="A41" s="86" t="s">
        <v>273</v>
      </c>
      <c r="B41">
        <v>9</v>
      </c>
      <c r="C41">
        <v>100</v>
      </c>
      <c r="D41" s="19" t="s">
        <v>12</v>
      </c>
      <c r="E41" s="17" t="s">
        <v>242</v>
      </c>
      <c r="F41" s="8" t="s">
        <v>197</v>
      </c>
      <c r="G41" s="8" t="s">
        <v>201</v>
      </c>
      <c r="H41" s="8" t="s">
        <v>196</v>
      </c>
      <c r="I41">
        <f>1-SUM(I38:I40)</f>
        <v>0</v>
      </c>
      <c r="J41">
        <f t="shared" ref="J41:BU41" si="509">1-SUM(J38:J40)</f>
        <v>0</v>
      </c>
      <c r="K41">
        <f t="shared" si="509"/>
        <v>0</v>
      </c>
      <c r="L41">
        <f t="shared" si="509"/>
        <v>0</v>
      </c>
      <c r="M41">
        <f t="shared" si="509"/>
        <v>0</v>
      </c>
      <c r="N41">
        <f t="shared" si="509"/>
        <v>1</v>
      </c>
      <c r="O41">
        <f t="shared" si="509"/>
        <v>1</v>
      </c>
      <c r="P41">
        <f t="shared" si="509"/>
        <v>1</v>
      </c>
      <c r="Q41">
        <f t="shared" si="509"/>
        <v>1</v>
      </c>
      <c r="R41">
        <f t="shared" si="509"/>
        <v>0</v>
      </c>
      <c r="S41">
        <f t="shared" si="509"/>
        <v>1</v>
      </c>
      <c r="T41">
        <f t="shared" si="509"/>
        <v>1</v>
      </c>
      <c r="U41">
        <f t="shared" si="509"/>
        <v>1</v>
      </c>
      <c r="V41">
        <f t="shared" si="509"/>
        <v>0</v>
      </c>
      <c r="W41">
        <f t="shared" si="509"/>
        <v>0</v>
      </c>
      <c r="X41">
        <f t="shared" si="509"/>
        <v>0</v>
      </c>
      <c r="Y41">
        <f t="shared" si="509"/>
        <v>0</v>
      </c>
      <c r="Z41">
        <f t="shared" si="509"/>
        <v>1</v>
      </c>
      <c r="AA41">
        <f t="shared" si="509"/>
        <v>1</v>
      </c>
      <c r="AB41">
        <f t="shared" si="509"/>
        <v>1</v>
      </c>
      <c r="AC41">
        <f t="shared" si="509"/>
        <v>1</v>
      </c>
      <c r="AD41">
        <f t="shared" si="509"/>
        <v>1</v>
      </c>
      <c r="AE41">
        <f t="shared" si="509"/>
        <v>1</v>
      </c>
      <c r="AF41">
        <f t="shared" si="509"/>
        <v>1</v>
      </c>
      <c r="AG41">
        <f t="shared" si="509"/>
        <v>1</v>
      </c>
      <c r="AH41">
        <f t="shared" si="509"/>
        <v>1</v>
      </c>
      <c r="AI41">
        <f t="shared" si="509"/>
        <v>0</v>
      </c>
      <c r="AJ41">
        <f t="shared" si="509"/>
        <v>1</v>
      </c>
      <c r="AK41">
        <f t="shared" si="509"/>
        <v>0</v>
      </c>
      <c r="AL41">
        <f t="shared" si="509"/>
        <v>0</v>
      </c>
      <c r="AM41">
        <f t="shared" si="509"/>
        <v>1</v>
      </c>
      <c r="AN41">
        <f t="shared" si="509"/>
        <v>1</v>
      </c>
      <c r="AO41">
        <f t="shared" si="509"/>
        <v>1</v>
      </c>
      <c r="AP41">
        <f t="shared" si="509"/>
        <v>1</v>
      </c>
      <c r="AQ41">
        <f t="shared" si="509"/>
        <v>1</v>
      </c>
      <c r="AR41">
        <f t="shared" si="509"/>
        <v>1</v>
      </c>
      <c r="AS41">
        <f t="shared" si="509"/>
        <v>1</v>
      </c>
      <c r="AT41">
        <f t="shared" si="509"/>
        <v>1</v>
      </c>
      <c r="AU41">
        <f t="shared" si="509"/>
        <v>1</v>
      </c>
      <c r="AV41">
        <f t="shared" si="509"/>
        <v>1</v>
      </c>
      <c r="AW41">
        <f t="shared" si="509"/>
        <v>1</v>
      </c>
      <c r="AX41">
        <f t="shared" si="509"/>
        <v>1</v>
      </c>
      <c r="AY41">
        <f t="shared" si="509"/>
        <v>0</v>
      </c>
      <c r="AZ41">
        <f t="shared" si="509"/>
        <v>0</v>
      </c>
      <c r="BA41">
        <f t="shared" si="509"/>
        <v>1</v>
      </c>
      <c r="BB41">
        <f t="shared" si="509"/>
        <v>1</v>
      </c>
      <c r="BC41">
        <f t="shared" si="509"/>
        <v>1</v>
      </c>
      <c r="BD41">
        <f t="shared" si="509"/>
        <v>1</v>
      </c>
      <c r="BE41">
        <f t="shared" si="509"/>
        <v>1</v>
      </c>
      <c r="BF41">
        <f t="shared" si="509"/>
        <v>1</v>
      </c>
      <c r="BG41">
        <f t="shared" si="509"/>
        <v>1</v>
      </c>
      <c r="BH41">
        <f t="shared" si="509"/>
        <v>1</v>
      </c>
      <c r="BI41">
        <f t="shared" si="509"/>
        <v>1</v>
      </c>
      <c r="BJ41">
        <f t="shared" si="509"/>
        <v>1</v>
      </c>
      <c r="BK41">
        <f t="shared" si="509"/>
        <v>1</v>
      </c>
      <c r="BL41">
        <f t="shared" si="509"/>
        <v>1</v>
      </c>
      <c r="BM41">
        <f t="shared" si="509"/>
        <v>0</v>
      </c>
      <c r="BN41">
        <f t="shared" si="509"/>
        <v>0</v>
      </c>
      <c r="BO41">
        <f t="shared" si="509"/>
        <v>1</v>
      </c>
      <c r="BP41">
        <f t="shared" si="509"/>
        <v>1</v>
      </c>
      <c r="BQ41">
        <f t="shared" si="509"/>
        <v>1</v>
      </c>
      <c r="BR41">
        <f t="shared" si="509"/>
        <v>1</v>
      </c>
      <c r="BS41">
        <f t="shared" si="509"/>
        <v>1</v>
      </c>
      <c r="BT41">
        <f t="shared" si="509"/>
        <v>1</v>
      </c>
      <c r="BU41">
        <f t="shared" si="509"/>
        <v>1</v>
      </c>
      <c r="BV41">
        <f t="shared" ref="BV41:EG41" si="510">1-SUM(BV38:BV40)</f>
        <v>1</v>
      </c>
      <c r="BW41">
        <f t="shared" si="510"/>
        <v>1</v>
      </c>
      <c r="BX41">
        <f t="shared" si="510"/>
        <v>1</v>
      </c>
      <c r="BY41">
        <f t="shared" si="510"/>
        <v>1</v>
      </c>
      <c r="BZ41">
        <f t="shared" si="510"/>
        <v>1</v>
      </c>
      <c r="CA41">
        <f t="shared" si="510"/>
        <v>0</v>
      </c>
      <c r="CB41">
        <f t="shared" si="510"/>
        <v>0</v>
      </c>
      <c r="CC41">
        <f t="shared" si="510"/>
        <v>1</v>
      </c>
      <c r="CD41">
        <f t="shared" si="510"/>
        <v>1</v>
      </c>
      <c r="CE41">
        <f t="shared" si="510"/>
        <v>1</v>
      </c>
      <c r="CF41">
        <f t="shared" si="510"/>
        <v>1</v>
      </c>
      <c r="CG41">
        <f t="shared" si="510"/>
        <v>1</v>
      </c>
      <c r="CH41">
        <f t="shared" si="510"/>
        <v>1</v>
      </c>
      <c r="CI41">
        <f t="shared" si="510"/>
        <v>1</v>
      </c>
      <c r="CJ41">
        <f t="shared" si="510"/>
        <v>1</v>
      </c>
      <c r="CK41">
        <f t="shared" si="510"/>
        <v>1</v>
      </c>
      <c r="CL41">
        <f t="shared" si="510"/>
        <v>1</v>
      </c>
      <c r="CM41">
        <f t="shared" si="510"/>
        <v>1</v>
      </c>
      <c r="CN41">
        <f t="shared" si="510"/>
        <v>1</v>
      </c>
      <c r="CO41">
        <f t="shared" si="510"/>
        <v>0</v>
      </c>
      <c r="CP41">
        <f t="shared" si="510"/>
        <v>1</v>
      </c>
      <c r="CQ41">
        <f t="shared" si="510"/>
        <v>1</v>
      </c>
      <c r="CR41">
        <f t="shared" si="510"/>
        <v>1</v>
      </c>
      <c r="CS41">
        <f t="shared" si="510"/>
        <v>1</v>
      </c>
      <c r="CT41">
        <f t="shared" si="510"/>
        <v>1</v>
      </c>
      <c r="CU41">
        <f t="shared" si="510"/>
        <v>1</v>
      </c>
      <c r="CV41">
        <f t="shared" si="510"/>
        <v>1</v>
      </c>
      <c r="CW41">
        <f t="shared" si="510"/>
        <v>1</v>
      </c>
      <c r="CX41">
        <f t="shared" si="510"/>
        <v>1</v>
      </c>
      <c r="CY41">
        <f t="shared" si="510"/>
        <v>1</v>
      </c>
      <c r="CZ41">
        <f t="shared" si="510"/>
        <v>1</v>
      </c>
      <c r="DA41">
        <f t="shared" si="510"/>
        <v>1</v>
      </c>
      <c r="DB41">
        <f t="shared" si="510"/>
        <v>1</v>
      </c>
      <c r="DC41">
        <f t="shared" si="510"/>
        <v>0</v>
      </c>
      <c r="DD41">
        <f t="shared" si="510"/>
        <v>1</v>
      </c>
      <c r="DE41">
        <f t="shared" si="510"/>
        <v>1</v>
      </c>
      <c r="DF41">
        <f t="shared" si="510"/>
        <v>1</v>
      </c>
      <c r="DG41">
        <f t="shared" si="510"/>
        <v>1</v>
      </c>
      <c r="DH41">
        <f t="shared" si="510"/>
        <v>1</v>
      </c>
      <c r="DI41">
        <f t="shared" si="510"/>
        <v>1</v>
      </c>
      <c r="DJ41">
        <f t="shared" si="510"/>
        <v>1</v>
      </c>
      <c r="DK41">
        <f t="shared" si="510"/>
        <v>1</v>
      </c>
      <c r="DL41">
        <f t="shared" si="510"/>
        <v>1</v>
      </c>
      <c r="DM41">
        <f t="shared" si="510"/>
        <v>1</v>
      </c>
      <c r="DN41">
        <f t="shared" si="510"/>
        <v>1</v>
      </c>
      <c r="DO41">
        <f t="shared" si="510"/>
        <v>1</v>
      </c>
      <c r="DP41">
        <f t="shared" si="510"/>
        <v>1</v>
      </c>
      <c r="DQ41">
        <f t="shared" si="510"/>
        <v>0</v>
      </c>
      <c r="DR41">
        <f t="shared" si="510"/>
        <v>1</v>
      </c>
      <c r="DS41">
        <f t="shared" si="510"/>
        <v>1</v>
      </c>
      <c r="DT41">
        <f t="shared" si="510"/>
        <v>1</v>
      </c>
      <c r="DU41">
        <f t="shared" si="510"/>
        <v>1</v>
      </c>
      <c r="DV41">
        <f t="shared" si="510"/>
        <v>1</v>
      </c>
      <c r="DW41">
        <f t="shared" si="510"/>
        <v>1</v>
      </c>
      <c r="DX41">
        <f t="shared" si="510"/>
        <v>1</v>
      </c>
      <c r="DY41">
        <f t="shared" si="510"/>
        <v>1</v>
      </c>
      <c r="DZ41">
        <f t="shared" si="510"/>
        <v>1</v>
      </c>
      <c r="EA41">
        <f t="shared" si="510"/>
        <v>1</v>
      </c>
      <c r="EB41">
        <f t="shared" si="510"/>
        <v>1</v>
      </c>
      <c r="EC41">
        <f t="shared" si="510"/>
        <v>1</v>
      </c>
      <c r="ED41">
        <f t="shared" si="510"/>
        <v>1</v>
      </c>
      <c r="EE41">
        <f t="shared" si="510"/>
        <v>1</v>
      </c>
      <c r="EF41">
        <f t="shared" si="510"/>
        <v>1</v>
      </c>
      <c r="EG41">
        <f t="shared" si="510"/>
        <v>1</v>
      </c>
      <c r="EH41">
        <f t="shared" ref="EH41:FU41" si="511">1-SUM(EH38:EH40)</f>
        <v>1</v>
      </c>
      <c r="EI41">
        <f t="shared" si="511"/>
        <v>1</v>
      </c>
      <c r="EJ41">
        <f t="shared" si="511"/>
        <v>1</v>
      </c>
      <c r="EK41">
        <f t="shared" si="511"/>
        <v>1</v>
      </c>
      <c r="EL41">
        <f t="shared" si="511"/>
        <v>1</v>
      </c>
      <c r="EM41">
        <f t="shared" si="511"/>
        <v>1</v>
      </c>
      <c r="EN41">
        <f t="shared" si="511"/>
        <v>1</v>
      </c>
      <c r="EO41">
        <f t="shared" si="511"/>
        <v>1</v>
      </c>
      <c r="EP41">
        <f t="shared" si="511"/>
        <v>1</v>
      </c>
      <c r="EQ41">
        <f t="shared" si="511"/>
        <v>1</v>
      </c>
      <c r="ER41">
        <f t="shared" si="511"/>
        <v>1</v>
      </c>
      <c r="ES41">
        <f t="shared" si="511"/>
        <v>1</v>
      </c>
      <c r="ET41">
        <f t="shared" si="511"/>
        <v>1</v>
      </c>
      <c r="EU41">
        <f t="shared" si="511"/>
        <v>1</v>
      </c>
      <c r="EV41">
        <f t="shared" si="511"/>
        <v>1</v>
      </c>
      <c r="EW41">
        <f t="shared" si="511"/>
        <v>1</v>
      </c>
      <c r="EX41">
        <f t="shared" si="511"/>
        <v>1</v>
      </c>
      <c r="EY41">
        <f t="shared" si="511"/>
        <v>1</v>
      </c>
      <c r="EZ41">
        <f t="shared" si="511"/>
        <v>1</v>
      </c>
      <c r="FA41">
        <f t="shared" si="511"/>
        <v>1</v>
      </c>
      <c r="FB41">
        <f t="shared" si="511"/>
        <v>1</v>
      </c>
      <c r="FC41">
        <f t="shared" si="511"/>
        <v>1</v>
      </c>
      <c r="FD41">
        <f t="shared" si="511"/>
        <v>1</v>
      </c>
      <c r="FE41">
        <f t="shared" si="511"/>
        <v>1</v>
      </c>
      <c r="FF41">
        <f t="shared" si="511"/>
        <v>1</v>
      </c>
      <c r="FG41">
        <f t="shared" si="511"/>
        <v>1</v>
      </c>
      <c r="FH41">
        <f t="shared" si="511"/>
        <v>1</v>
      </c>
      <c r="FI41">
        <f t="shared" si="511"/>
        <v>1</v>
      </c>
      <c r="FJ41">
        <f t="shared" si="511"/>
        <v>1</v>
      </c>
      <c r="FK41">
        <f t="shared" si="511"/>
        <v>1</v>
      </c>
      <c r="FL41">
        <f t="shared" si="511"/>
        <v>1</v>
      </c>
      <c r="FM41">
        <f t="shared" si="511"/>
        <v>1</v>
      </c>
      <c r="FN41">
        <f t="shared" si="511"/>
        <v>1</v>
      </c>
      <c r="FO41">
        <f t="shared" si="511"/>
        <v>1</v>
      </c>
      <c r="FP41">
        <f t="shared" si="511"/>
        <v>1</v>
      </c>
      <c r="FQ41">
        <f t="shared" si="511"/>
        <v>1</v>
      </c>
      <c r="FR41">
        <f t="shared" si="511"/>
        <v>1</v>
      </c>
      <c r="FS41">
        <f t="shared" si="511"/>
        <v>1</v>
      </c>
      <c r="FT41">
        <f t="shared" si="511"/>
        <v>1</v>
      </c>
      <c r="FU41">
        <f t="shared" si="511"/>
        <v>1</v>
      </c>
      <c r="FV41" s="18">
        <f t="shared" si="505"/>
        <v>0.90799396681749622</v>
      </c>
    </row>
    <row r="42" spans="1:178" ht="14.25" customHeight="1" x14ac:dyDescent="0.25">
      <c r="A42" s="86" t="s">
        <v>273</v>
      </c>
      <c r="B42">
        <v>9</v>
      </c>
      <c r="C42">
        <v>100</v>
      </c>
      <c r="D42" s="19" t="s">
        <v>12</v>
      </c>
      <c r="E42" s="17" t="s">
        <v>14</v>
      </c>
      <c r="F42" s="8" t="s">
        <v>197</v>
      </c>
      <c r="G42" s="8" t="s">
        <v>201</v>
      </c>
      <c r="H42" s="8" t="s">
        <v>194</v>
      </c>
      <c r="I42">
        <v>1</v>
      </c>
      <c r="J42">
        <v>1</v>
      </c>
      <c r="V42">
        <v>1</v>
      </c>
      <c r="W42">
        <v>1</v>
      </c>
      <c r="AK42">
        <v>1</v>
      </c>
      <c r="FV42" s="18">
        <f t="shared" ref="FV42:FV45" si="512">SUMPRODUCT(I42:FU42,$I$1:$FU$1)/(SUM($I$1:$FU$1))</f>
        <v>2.564102564102564E-2</v>
      </c>
    </row>
    <row r="43" spans="1:178" ht="14.25" customHeight="1" x14ac:dyDescent="0.25">
      <c r="A43" s="86" t="s">
        <v>273</v>
      </c>
      <c r="B43">
        <v>9</v>
      </c>
      <c r="C43">
        <v>100</v>
      </c>
      <c r="D43" s="19" t="s">
        <v>12</v>
      </c>
      <c r="E43" s="17" t="s">
        <v>14</v>
      </c>
      <c r="F43" s="8" t="s">
        <v>197</v>
      </c>
      <c r="G43" s="8" t="s">
        <v>201</v>
      </c>
      <c r="H43" s="17" t="s">
        <v>220</v>
      </c>
      <c r="M43">
        <v>1</v>
      </c>
      <c r="R43">
        <v>1</v>
      </c>
      <c r="S43">
        <v>1</v>
      </c>
      <c r="T43">
        <v>1</v>
      </c>
      <c r="Y43">
        <v>1</v>
      </c>
      <c r="AI43">
        <v>1</v>
      </c>
      <c r="CP43">
        <v>1</v>
      </c>
      <c r="DD43">
        <v>1</v>
      </c>
      <c r="FV43" s="18">
        <f t="shared" si="512"/>
        <v>3.0165912518853696E-2</v>
      </c>
    </row>
    <row r="44" spans="1:178" ht="14.25" customHeight="1" x14ac:dyDescent="0.25">
      <c r="A44" s="86" t="s">
        <v>273</v>
      </c>
      <c r="B44">
        <v>9</v>
      </c>
      <c r="C44">
        <v>100</v>
      </c>
      <c r="D44" s="19" t="s">
        <v>12</v>
      </c>
      <c r="E44" s="17" t="s">
        <v>14</v>
      </c>
      <c r="F44" s="8" t="s">
        <v>197</v>
      </c>
      <c r="G44" s="8" t="s">
        <v>201</v>
      </c>
      <c r="H44" s="8" t="s">
        <v>195</v>
      </c>
      <c r="K44">
        <v>1</v>
      </c>
      <c r="L44">
        <v>1</v>
      </c>
      <c r="X44">
        <v>1</v>
      </c>
      <c r="AL44">
        <v>1</v>
      </c>
      <c r="AY44">
        <v>1</v>
      </c>
      <c r="AZ44">
        <v>1</v>
      </c>
      <c r="BM44">
        <v>1</v>
      </c>
      <c r="BN44">
        <v>1</v>
      </c>
      <c r="CA44">
        <v>1</v>
      </c>
      <c r="CB44">
        <v>1</v>
      </c>
      <c r="CO44">
        <v>1</v>
      </c>
      <c r="DC44">
        <v>1</v>
      </c>
      <c r="DQ44">
        <v>1</v>
      </c>
      <c r="EE44">
        <v>1</v>
      </c>
      <c r="FV44" s="18">
        <f t="shared" si="512"/>
        <v>5.2790346907993967E-2</v>
      </c>
    </row>
    <row r="45" spans="1:178" ht="14.25" customHeight="1" x14ac:dyDescent="0.25">
      <c r="A45" s="86" t="s">
        <v>273</v>
      </c>
      <c r="B45">
        <v>9</v>
      </c>
      <c r="C45">
        <v>100</v>
      </c>
      <c r="D45" s="19" t="s">
        <v>12</v>
      </c>
      <c r="E45" s="17" t="s">
        <v>14</v>
      </c>
      <c r="F45" s="8" t="s">
        <v>197</v>
      </c>
      <c r="G45" s="8" t="s">
        <v>201</v>
      </c>
      <c r="H45" s="8" t="s">
        <v>196</v>
      </c>
      <c r="I45">
        <f>1-SUM(I42:I44)</f>
        <v>0</v>
      </c>
      <c r="J45">
        <f t="shared" ref="J45:BU45" si="513">1-SUM(J42:J44)</f>
        <v>0</v>
      </c>
      <c r="K45">
        <f t="shared" si="513"/>
        <v>0</v>
      </c>
      <c r="L45">
        <f t="shared" si="513"/>
        <v>0</v>
      </c>
      <c r="M45">
        <f t="shared" si="513"/>
        <v>0</v>
      </c>
      <c r="N45">
        <f t="shared" si="513"/>
        <v>1</v>
      </c>
      <c r="O45">
        <f t="shared" si="513"/>
        <v>1</v>
      </c>
      <c r="P45">
        <f t="shared" si="513"/>
        <v>1</v>
      </c>
      <c r="Q45">
        <f t="shared" si="513"/>
        <v>1</v>
      </c>
      <c r="R45">
        <f t="shared" si="513"/>
        <v>0</v>
      </c>
      <c r="S45">
        <f t="shared" si="513"/>
        <v>0</v>
      </c>
      <c r="T45">
        <f t="shared" si="513"/>
        <v>0</v>
      </c>
      <c r="U45">
        <f t="shared" si="513"/>
        <v>1</v>
      </c>
      <c r="V45">
        <f t="shared" si="513"/>
        <v>0</v>
      </c>
      <c r="W45">
        <f t="shared" si="513"/>
        <v>0</v>
      </c>
      <c r="X45">
        <f t="shared" si="513"/>
        <v>0</v>
      </c>
      <c r="Y45">
        <f t="shared" si="513"/>
        <v>0</v>
      </c>
      <c r="Z45">
        <f t="shared" si="513"/>
        <v>1</v>
      </c>
      <c r="AA45">
        <f t="shared" si="513"/>
        <v>1</v>
      </c>
      <c r="AB45">
        <f t="shared" si="513"/>
        <v>1</v>
      </c>
      <c r="AC45">
        <f t="shared" si="513"/>
        <v>1</v>
      </c>
      <c r="AD45">
        <f t="shared" si="513"/>
        <v>1</v>
      </c>
      <c r="AE45">
        <f t="shared" si="513"/>
        <v>1</v>
      </c>
      <c r="AF45">
        <f t="shared" si="513"/>
        <v>1</v>
      </c>
      <c r="AG45">
        <f t="shared" si="513"/>
        <v>1</v>
      </c>
      <c r="AH45">
        <f t="shared" si="513"/>
        <v>1</v>
      </c>
      <c r="AI45">
        <f t="shared" si="513"/>
        <v>0</v>
      </c>
      <c r="AJ45">
        <f t="shared" si="513"/>
        <v>1</v>
      </c>
      <c r="AK45">
        <f t="shared" si="513"/>
        <v>0</v>
      </c>
      <c r="AL45">
        <f t="shared" si="513"/>
        <v>0</v>
      </c>
      <c r="AM45">
        <f t="shared" si="513"/>
        <v>1</v>
      </c>
      <c r="AN45">
        <f t="shared" si="513"/>
        <v>1</v>
      </c>
      <c r="AO45">
        <f t="shared" si="513"/>
        <v>1</v>
      </c>
      <c r="AP45">
        <f t="shared" si="513"/>
        <v>1</v>
      </c>
      <c r="AQ45">
        <f t="shared" si="513"/>
        <v>1</v>
      </c>
      <c r="AR45">
        <f t="shared" si="513"/>
        <v>1</v>
      </c>
      <c r="AS45">
        <f t="shared" si="513"/>
        <v>1</v>
      </c>
      <c r="AT45">
        <f t="shared" si="513"/>
        <v>1</v>
      </c>
      <c r="AU45">
        <f t="shared" si="513"/>
        <v>1</v>
      </c>
      <c r="AV45">
        <f t="shared" si="513"/>
        <v>1</v>
      </c>
      <c r="AW45">
        <f t="shared" si="513"/>
        <v>1</v>
      </c>
      <c r="AX45">
        <f t="shared" si="513"/>
        <v>1</v>
      </c>
      <c r="AY45">
        <f t="shared" si="513"/>
        <v>0</v>
      </c>
      <c r="AZ45">
        <f t="shared" si="513"/>
        <v>0</v>
      </c>
      <c r="BA45">
        <f t="shared" si="513"/>
        <v>1</v>
      </c>
      <c r="BB45">
        <f t="shared" si="513"/>
        <v>1</v>
      </c>
      <c r="BC45">
        <f t="shared" si="513"/>
        <v>1</v>
      </c>
      <c r="BD45">
        <f t="shared" si="513"/>
        <v>1</v>
      </c>
      <c r="BE45">
        <f t="shared" si="513"/>
        <v>1</v>
      </c>
      <c r="BF45">
        <f t="shared" si="513"/>
        <v>1</v>
      </c>
      <c r="BG45">
        <f t="shared" si="513"/>
        <v>1</v>
      </c>
      <c r="BH45">
        <f t="shared" si="513"/>
        <v>1</v>
      </c>
      <c r="BI45">
        <f t="shared" si="513"/>
        <v>1</v>
      </c>
      <c r="BJ45">
        <f t="shared" si="513"/>
        <v>1</v>
      </c>
      <c r="BK45">
        <f t="shared" si="513"/>
        <v>1</v>
      </c>
      <c r="BL45">
        <f t="shared" si="513"/>
        <v>1</v>
      </c>
      <c r="BM45">
        <f t="shared" si="513"/>
        <v>0</v>
      </c>
      <c r="BN45">
        <f t="shared" si="513"/>
        <v>0</v>
      </c>
      <c r="BO45">
        <f t="shared" si="513"/>
        <v>1</v>
      </c>
      <c r="BP45">
        <f t="shared" si="513"/>
        <v>1</v>
      </c>
      <c r="BQ45">
        <f t="shared" si="513"/>
        <v>1</v>
      </c>
      <c r="BR45">
        <f t="shared" si="513"/>
        <v>1</v>
      </c>
      <c r="BS45">
        <f t="shared" si="513"/>
        <v>1</v>
      </c>
      <c r="BT45">
        <f t="shared" si="513"/>
        <v>1</v>
      </c>
      <c r="BU45">
        <f t="shared" si="513"/>
        <v>1</v>
      </c>
      <c r="BV45">
        <f t="shared" ref="BV45:EG45" si="514">1-SUM(BV42:BV44)</f>
        <v>1</v>
      </c>
      <c r="BW45">
        <f t="shared" si="514"/>
        <v>1</v>
      </c>
      <c r="BX45">
        <f t="shared" si="514"/>
        <v>1</v>
      </c>
      <c r="BY45">
        <f t="shared" si="514"/>
        <v>1</v>
      </c>
      <c r="BZ45">
        <f t="shared" si="514"/>
        <v>1</v>
      </c>
      <c r="CA45">
        <f t="shared" si="514"/>
        <v>0</v>
      </c>
      <c r="CB45">
        <f t="shared" si="514"/>
        <v>0</v>
      </c>
      <c r="CC45">
        <f t="shared" si="514"/>
        <v>1</v>
      </c>
      <c r="CD45">
        <f t="shared" si="514"/>
        <v>1</v>
      </c>
      <c r="CE45">
        <f t="shared" si="514"/>
        <v>1</v>
      </c>
      <c r="CF45">
        <f t="shared" si="514"/>
        <v>1</v>
      </c>
      <c r="CG45">
        <f t="shared" si="514"/>
        <v>1</v>
      </c>
      <c r="CH45">
        <f t="shared" si="514"/>
        <v>1</v>
      </c>
      <c r="CI45">
        <f t="shared" si="514"/>
        <v>1</v>
      </c>
      <c r="CJ45">
        <f t="shared" si="514"/>
        <v>1</v>
      </c>
      <c r="CK45">
        <f t="shared" si="514"/>
        <v>1</v>
      </c>
      <c r="CL45">
        <f t="shared" si="514"/>
        <v>1</v>
      </c>
      <c r="CM45">
        <f t="shared" si="514"/>
        <v>1</v>
      </c>
      <c r="CN45">
        <f t="shared" si="514"/>
        <v>1</v>
      </c>
      <c r="CO45">
        <f t="shared" si="514"/>
        <v>0</v>
      </c>
      <c r="CP45">
        <f t="shared" si="514"/>
        <v>0</v>
      </c>
      <c r="CQ45">
        <f t="shared" si="514"/>
        <v>1</v>
      </c>
      <c r="CR45">
        <f t="shared" si="514"/>
        <v>1</v>
      </c>
      <c r="CS45">
        <f t="shared" si="514"/>
        <v>1</v>
      </c>
      <c r="CT45">
        <f t="shared" si="514"/>
        <v>1</v>
      </c>
      <c r="CU45">
        <f t="shared" si="514"/>
        <v>1</v>
      </c>
      <c r="CV45">
        <f t="shared" si="514"/>
        <v>1</v>
      </c>
      <c r="CW45">
        <f t="shared" si="514"/>
        <v>1</v>
      </c>
      <c r="CX45">
        <f t="shared" si="514"/>
        <v>1</v>
      </c>
      <c r="CY45">
        <f t="shared" si="514"/>
        <v>1</v>
      </c>
      <c r="CZ45">
        <f t="shared" si="514"/>
        <v>1</v>
      </c>
      <c r="DA45">
        <f t="shared" si="514"/>
        <v>1</v>
      </c>
      <c r="DB45">
        <f t="shared" si="514"/>
        <v>1</v>
      </c>
      <c r="DC45">
        <f t="shared" si="514"/>
        <v>0</v>
      </c>
      <c r="DD45">
        <f t="shared" si="514"/>
        <v>0</v>
      </c>
      <c r="DE45">
        <f t="shared" si="514"/>
        <v>1</v>
      </c>
      <c r="DF45">
        <f t="shared" si="514"/>
        <v>1</v>
      </c>
      <c r="DG45">
        <f t="shared" si="514"/>
        <v>1</v>
      </c>
      <c r="DH45">
        <f t="shared" si="514"/>
        <v>1</v>
      </c>
      <c r="DI45">
        <f t="shared" si="514"/>
        <v>1</v>
      </c>
      <c r="DJ45">
        <f t="shared" si="514"/>
        <v>1</v>
      </c>
      <c r="DK45">
        <f t="shared" si="514"/>
        <v>1</v>
      </c>
      <c r="DL45">
        <f t="shared" si="514"/>
        <v>1</v>
      </c>
      <c r="DM45">
        <f t="shared" si="514"/>
        <v>1</v>
      </c>
      <c r="DN45">
        <f t="shared" si="514"/>
        <v>1</v>
      </c>
      <c r="DO45">
        <f t="shared" si="514"/>
        <v>1</v>
      </c>
      <c r="DP45">
        <f t="shared" si="514"/>
        <v>1</v>
      </c>
      <c r="DQ45">
        <f t="shared" si="514"/>
        <v>0</v>
      </c>
      <c r="DR45">
        <f t="shared" si="514"/>
        <v>1</v>
      </c>
      <c r="DS45">
        <f t="shared" si="514"/>
        <v>1</v>
      </c>
      <c r="DT45">
        <f t="shared" si="514"/>
        <v>1</v>
      </c>
      <c r="DU45">
        <f t="shared" si="514"/>
        <v>1</v>
      </c>
      <c r="DV45">
        <f t="shared" si="514"/>
        <v>1</v>
      </c>
      <c r="DW45">
        <f t="shared" si="514"/>
        <v>1</v>
      </c>
      <c r="DX45">
        <f t="shared" si="514"/>
        <v>1</v>
      </c>
      <c r="DY45">
        <f t="shared" si="514"/>
        <v>1</v>
      </c>
      <c r="DZ45">
        <f t="shared" si="514"/>
        <v>1</v>
      </c>
      <c r="EA45">
        <f t="shared" si="514"/>
        <v>1</v>
      </c>
      <c r="EB45">
        <f t="shared" si="514"/>
        <v>1</v>
      </c>
      <c r="EC45">
        <f t="shared" si="514"/>
        <v>1</v>
      </c>
      <c r="ED45">
        <f t="shared" si="514"/>
        <v>1</v>
      </c>
      <c r="EE45">
        <f t="shared" si="514"/>
        <v>0</v>
      </c>
      <c r="EF45">
        <f t="shared" si="514"/>
        <v>1</v>
      </c>
      <c r="EG45">
        <f t="shared" si="514"/>
        <v>1</v>
      </c>
      <c r="EH45">
        <f t="shared" ref="EH45:FU45" si="515">1-SUM(EH42:EH44)</f>
        <v>1</v>
      </c>
      <c r="EI45">
        <f t="shared" si="515"/>
        <v>1</v>
      </c>
      <c r="EJ45">
        <f t="shared" si="515"/>
        <v>1</v>
      </c>
      <c r="EK45">
        <f t="shared" si="515"/>
        <v>1</v>
      </c>
      <c r="EL45">
        <f t="shared" si="515"/>
        <v>1</v>
      </c>
      <c r="EM45">
        <f t="shared" si="515"/>
        <v>1</v>
      </c>
      <c r="EN45">
        <f t="shared" si="515"/>
        <v>1</v>
      </c>
      <c r="EO45">
        <f t="shared" si="515"/>
        <v>1</v>
      </c>
      <c r="EP45">
        <f t="shared" si="515"/>
        <v>1</v>
      </c>
      <c r="EQ45">
        <f t="shared" si="515"/>
        <v>1</v>
      </c>
      <c r="ER45">
        <f t="shared" si="515"/>
        <v>1</v>
      </c>
      <c r="ES45">
        <f t="shared" si="515"/>
        <v>1</v>
      </c>
      <c r="ET45">
        <f t="shared" si="515"/>
        <v>1</v>
      </c>
      <c r="EU45">
        <f t="shared" si="515"/>
        <v>1</v>
      </c>
      <c r="EV45">
        <f t="shared" si="515"/>
        <v>1</v>
      </c>
      <c r="EW45">
        <f t="shared" si="515"/>
        <v>1</v>
      </c>
      <c r="EX45">
        <f t="shared" si="515"/>
        <v>1</v>
      </c>
      <c r="EY45">
        <f t="shared" si="515"/>
        <v>1</v>
      </c>
      <c r="EZ45">
        <f t="shared" si="515"/>
        <v>1</v>
      </c>
      <c r="FA45">
        <f t="shared" si="515"/>
        <v>1</v>
      </c>
      <c r="FB45">
        <f t="shared" si="515"/>
        <v>1</v>
      </c>
      <c r="FC45">
        <f t="shared" si="515"/>
        <v>1</v>
      </c>
      <c r="FD45">
        <f t="shared" si="515"/>
        <v>1</v>
      </c>
      <c r="FE45">
        <f t="shared" si="515"/>
        <v>1</v>
      </c>
      <c r="FF45">
        <f t="shared" si="515"/>
        <v>1</v>
      </c>
      <c r="FG45">
        <f t="shared" si="515"/>
        <v>1</v>
      </c>
      <c r="FH45">
        <f t="shared" si="515"/>
        <v>1</v>
      </c>
      <c r="FI45">
        <f t="shared" si="515"/>
        <v>1</v>
      </c>
      <c r="FJ45">
        <f t="shared" si="515"/>
        <v>1</v>
      </c>
      <c r="FK45">
        <f t="shared" si="515"/>
        <v>1</v>
      </c>
      <c r="FL45">
        <f t="shared" si="515"/>
        <v>1</v>
      </c>
      <c r="FM45">
        <f t="shared" si="515"/>
        <v>1</v>
      </c>
      <c r="FN45">
        <f t="shared" si="515"/>
        <v>1</v>
      </c>
      <c r="FO45">
        <f t="shared" si="515"/>
        <v>1</v>
      </c>
      <c r="FP45">
        <f t="shared" si="515"/>
        <v>1</v>
      </c>
      <c r="FQ45">
        <f t="shared" si="515"/>
        <v>1</v>
      </c>
      <c r="FR45">
        <f t="shared" si="515"/>
        <v>1</v>
      </c>
      <c r="FS45">
        <f t="shared" si="515"/>
        <v>1</v>
      </c>
      <c r="FT45">
        <f t="shared" si="515"/>
        <v>1</v>
      </c>
      <c r="FU45">
        <f t="shared" si="515"/>
        <v>1</v>
      </c>
      <c r="FV45" s="18">
        <f t="shared" si="512"/>
        <v>0.89140271493212675</v>
      </c>
    </row>
    <row r="46" spans="1:178" ht="14.25" customHeight="1" x14ac:dyDescent="0.25">
      <c r="A46" s="86" t="s">
        <v>273</v>
      </c>
      <c r="B46">
        <v>9</v>
      </c>
      <c r="C46">
        <v>100</v>
      </c>
      <c r="D46" s="19" t="s">
        <v>12</v>
      </c>
      <c r="E46" s="19" t="s">
        <v>13</v>
      </c>
      <c r="F46" s="8" t="s">
        <v>197</v>
      </c>
      <c r="G46" s="8" t="s">
        <v>201</v>
      </c>
      <c r="H46" s="8" t="s">
        <v>194</v>
      </c>
      <c r="I46">
        <v>1</v>
      </c>
      <c r="J46">
        <v>1</v>
      </c>
      <c r="K46">
        <v>1</v>
      </c>
      <c r="L46">
        <v>1</v>
      </c>
      <c r="V46">
        <v>1</v>
      </c>
      <c r="W46">
        <v>1</v>
      </c>
      <c r="X46">
        <v>1</v>
      </c>
      <c r="AI46">
        <v>1</v>
      </c>
      <c r="AK46">
        <v>1</v>
      </c>
      <c r="FV46" s="18">
        <f t="shared" ref="FV46:FV49" si="516">SUMPRODUCT(I46:FU46,$I$1:$FU$1)/(SUM($I$1:$FU$1))</f>
        <v>4.3740573152337855E-2</v>
      </c>
    </row>
    <row r="47" spans="1:178" ht="14.25" customHeight="1" x14ac:dyDescent="0.25">
      <c r="A47" s="86" t="s">
        <v>273</v>
      </c>
      <c r="B47">
        <v>9</v>
      </c>
      <c r="C47">
        <v>100</v>
      </c>
      <c r="D47" s="19" t="s">
        <v>12</v>
      </c>
      <c r="E47" s="19" t="s">
        <v>13</v>
      </c>
      <c r="F47" s="8" t="s">
        <v>197</v>
      </c>
      <c r="G47" s="8" t="s">
        <v>201</v>
      </c>
      <c r="H47" s="17" t="s">
        <v>220</v>
      </c>
      <c r="R47">
        <v>1</v>
      </c>
      <c r="S47">
        <v>1</v>
      </c>
      <c r="T47">
        <v>1</v>
      </c>
      <c r="U47">
        <v>1</v>
      </c>
      <c r="AJ47">
        <v>1</v>
      </c>
      <c r="AV47">
        <v>1</v>
      </c>
      <c r="BI47">
        <v>1</v>
      </c>
      <c r="DD47">
        <v>1</v>
      </c>
      <c r="DR47">
        <v>1</v>
      </c>
      <c r="FV47" s="18">
        <f t="shared" si="516"/>
        <v>4.5248868778280542E-2</v>
      </c>
    </row>
    <row r="48" spans="1:178" ht="14.25" customHeight="1" x14ac:dyDescent="0.25">
      <c r="A48" s="86" t="s">
        <v>273</v>
      </c>
      <c r="B48">
        <v>9</v>
      </c>
      <c r="C48">
        <v>100</v>
      </c>
      <c r="D48" s="19" t="s">
        <v>12</v>
      </c>
      <c r="E48" s="19" t="s">
        <v>13</v>
      </c>
      <c r="F48" s="8" t="s">
        <v>197</v>
      </c>
      <c r="G48" s="8" t="s">
        <v>201</v>
      </c>
      <c r="H48" s="8" t="s">
        <v>195</v>
      </c>
      <c r="M48">
        <v>1</v>
      </c>
      <c r="Y48">
        <v>1</v>
      </c>
      <c r="Z48">
        <v>1</v>
      </c>
      <c r="AL48">
        <v>1</v>
      </c>
      <c r="AM48">
        <v>1</v>
      </c>
      <c r="AY48">
        <v>1</v>
      </c>
      <c r="AZ48">
        <v>1</v>
      </c>
      <c r="BM48">
        <v>1</v>
      </c>
      <c r="BN48">
        <v>1</v>
      </c>
      <c r="CA48">
        <v>1</v>
      </c>
      <c r="CB48">
        <v>1</v>
      </c>
      <c r="CO48">
        <v>1</v>
      </c>
      <c r="CP48">
        <v>1</v>
      </c>
      <c r="DC48">
        <v>1</v>
      </c>
      <c r="DQ48">
        <v>1</v>
      </c>
      <c r="EE48">
        <v>1</v>
      </c>
      <c r="FV48" s="18">
        <f t="shared" si="516"/>
        <v>5.8823529411764705E-2</v>
      </c>
    </row>
    <row r="49" spans="1:178" ht="14.25" customHeight="1" x14ac:dyDescent="0.25">
      <c r="A49" s="86" t="s">
        <v>273</v>
      </c>
      <c r="B49">
        <v>9</v>
      </c>
      <c r="C49">
        <v>100</v>
      </c>
      <c r="D49" s="19" t="s">
        <v>12</v>
      </c>
      <c r="E49" s="19" t="s">
        <v>13</v>
      </c>
      <c r="F49" s="8" t="s">
        <v>197</v>
      </c>
      <c r="G49" s="8" t="s">
        <v>201</v>
      </c>
      <c r="H49" s="8" t="s">
        <v>196</v>
      </c>
      <c r="I49">
        <f>1-SUM(I46:I48)</f>
        <v>0</v>
      </c>
      <c r="J49">
        <f t="shared" ref="J49:BU49" si="517">1-SUM(J46:J48)</f>
        <v>0</v>
      </c>
      <c r="K49">
        <f t="shared" si="517"/>
        <v>0</v>
      </c>
      <c r="L49">
        <f t="shared" si="517"/>
        <v>0</v>
      </c>
      <c r="M49">
        <f t="shared" si="517"/>
        <v>0</v>
      </c>
      <c r="N49">
        <f t="shared" si="517"/>
        <v>1</v>
      </c>
      <c r="O49">
        <f t="shared" si="517"/>
        <v>1</v>
      </c>
      <c r="P49">
        <f t="shared" si="517"/>
        <v>1</v>
      </c>
      <c r="Q49">
        <f t="shared" si="517"/>
        <v>1</v>
      </c>
      <c r="R49">
        <f t="shared" si="517"/>
        <v>0</v>
      </c>
      <c r="S49">
        <f t="shared" si="517"/>
        <v>0</v>
      </c>
      <c r="T49">
        <f t="shared" si="517"/>
        <v>0</v>
      </c>
      <c r="U49">
        <f t="shared" si="517"/>
        <v>0</v>
      </c>
      <c r="V49">
        <f t="shared" si="517"/>
        <v>0</v>
      </c>
      <c r="W49">
        <f t="shared" si="517"/>
        <v>0</v>
      </c>
      <c r="X49">
        <f t="shared" si="517"/>
        <v>0</v>
      </c>
      <c r="Y49">
        <f t="shared" si="517"/>
        <v>0</v>
      </c>
      <c r="Z49">
        <f t="shared" si="517"/>
        <v>0</v>
      </c>
      <c r="AA49">
        <f t="shared" si="517"/>
        <v>1</v>
      </c>
      <c r="AB49">
        <f t="shared" si="517"/>
        <v>1</v>
      </c>
      <c r="AC49">
        <f t="shared" si="517"/>
        <v>1</v>
      </c>
      <c r="AD49">
        <f t="shared" si="517"/>
        <v>1</v>
      </c>
      <c r="AE49">
        <f t="shared" si="517"/>
        <v>1</v>
      </c>
      <c r="AF49">
        <f t="shared" si="517"/>
        <v>1</v>
      </c>
      <c r="AG49">
        <f t="shared" si="517"/>
        <v>1</v>
      </c>
      <c r="AH49">
        <f t="shared" si="517"/>
        <v>1</v>
      </c>
      <c r="AI49">
        <f t="shared" si="517"/>
        <v>0</v>
      </c>
      <c r="AJ49">
        <f t="shared" si="517"/>
        <v>0</v>
      </c>
      <c r="AK49">
        <f t="shared" si="517"/>
        <v>0</v>
      </c>
      <c r="AL49">
        <f t="shared" si="517"/>
        <v>0</v>
      </c>
      <c r="AM49">
        <f t="shared" si="517"/>
        <v>0</v>
      </c>
      <c r="AN49">
        <f t="shared" si="517"/>
        <v>1</v>
      </c>
      <c r="AO49">
        <f t="shared" si="517"/>
        <v>1</v>
      </c>
      <c r="AP49">
        <f t="shared" si="517"/>
        <v>1</v>
      </c>
      <c r="AQ49">
        <f t="shared" si="517"/>
        <v>1</v>
      </c>
      <c r="AR49">
        <f t="shared" si="517"/>
        <v>1</v>
      </c>
      <c r="AS49">
        <f t="shared" si="517"/>
        <v>1</v>
      </c>
      <c r="AT49">
        <f t="shared" si="517"/>
        <v>1</v>
      </c>
      <c r="AU49">
        <f t="shared" si="517"/>
        <v>1</v>
      </c>
      <c r="AV49">
        <f t="shared" si="517"/>
        <v>0</v>
      </c>
      <c r="AW49">
        <f t="shared" si="517"/>
        <v>1</v>
      </c>
      <c r="AX49">
        <f t="shared" si="517"/>
        <v>1</v>
      </c>
      <c r="AY49">
        <f t="shared" si="517"/>
        <v>0</v>
      </c>
      <c r="AZ49">
        <f t="shared" si="517"/>
        <v>0</v>
      </c>
      <c r="BA49">
        <f t="shared" si="517"/>
        <v>1</v>
      </c>
      <c r="BB49">
        <f t="shared" si="517"/>
        <v>1</v>
      </c>
      <c r="BC49">
        <f t="shared" si="517"/>
        <v>1</v>
      </c>
      <c r="BD49">
        <f t="shared" si="517"/>
        <v>1</v>
      </c>
      <c r="BE49">
        <f t="shared" si="517"/>
        <v>1</v>
      </c>
      <c r="BF49">
        <f t="shared" si="517"/>
        <v>1</v>
      </c>
      <c r="BG49">
        <f t="shared" si="517"/>
        <v>1</v>
      </c>
      <c r="BH49">
        <f t="shared" si="517"/>
        <v>1</v>
      </c>
      <c r="BI49">
        <f t="shared" si="517"/>
        <v>0</v>
      </c>
      <c r="BJ49">
        <f t="shared" si="517"/>
        <v>1</v>
      </c>
      <c r="BK49">
        <f t="shared" si="517"/>
        <v>1</v>
      </c>
      <c r="BL49">
        <f t="shared" si="517"/>
        <v>1</v>
      </c>
      <c r="BM49">
        <f t="shared" si="517"/>
        <v>0</v>
      </c>
      <c r="BN49">
        <f t="shared" si="517"/>
        <v>0</v>
      </c>
      <c r="BO49">
        <f t="shared" si="517"/>
        <v>1</v>
      </c>
      <c r="BP49">
        <f t="shared" si="517"/>
        <v>1</v>
      </c>
      <c r="BQ49">
        <f t="shared" si="517"/>
        <v>1</v>
      </c>
      <c r="BR49">
        <f t="shared" si="517"/>
        <v>1</v>
      </c>
      <c r="BS49">
        <f t="shared" si="517"/>
        <v>1</v>
      </c>
      <c r="BT49">
        <f t="shared" si="517"/>
        <v>1</v>
      </c>
      <c r="BU49">
        <f t="shared" si="517"/>
        <v>1</v>
      </c>
      <c r="BV49">
        <f t="shared" ref="BV49:EG49" si="518">1-SUM(BV46:BV48)</f>
        <v>1</v>
      </c>
      <c r="BW49">
        <f t="shared" si="518"/>
        <v>1</v>
      </c>
      <c r="BX49">
        <f t="shared" si="518"/>
        <v>1</v>
      </c>
      <c r="BY49">
        <f t="shared" si="518"/>
        <v>1</v>
      </c>
      <c r="BZ49">
        <f t="shared" si="518"/>
        <v>1</v>
      </c>
      <c r="CA49">
        <f t="shared" si="518"/>
        <v>0</v>
      </c>
      <c r="CB49">
        <f t="shared" si="518"/>
        <v>0</v>
      </c>
      <c r="CC49">
        <f t="shared" si="518"/>
        <v>1</v>
      </c>
      <c r="CD49">
        <f t="shared" si="518"/>
        <v>1</v>
      </c>
      <c r="CE49">
        <f t="shared" si="518"/>
        <v>1</v>
      </c>
      <c r="CF49">
        <f t="shared" si="518"/>
        <v>1</v>
      </c>
      <c r="CG49">
        <f t="shared" si="518"/>
        <v>1</v>
      </c>
      <c r="CH49">
        <f t="shared" si="518"/>
        <v>1</v>
      </c>
      <c r="CI49">
        <f t="shared" si="518"/>
        <v>1</v>
      </c>
      <c r="CJ49">
        <f t="shared" si="518"/>
        <v>1</v>
      </c>
      <c r="CK49">
        <f t="shared" si="518"/>
        <v>1</v>
      </c>
      <c r="CL49">
        <f t="shared" si="518"/>
        <v>1</v>
      </c>
      <c r="CM49">
        <f t="shared" si="518"/>
        <v>1</v>
      </c>
      <c r="CN49">
        <f t="shared" si="518"/>
        <v>1</v>
      </c>
      <c r="CO49">
        <f t="shared" si="518"/>
        <v>0</v>
      </c>
      <c r="CP49">
        <f t="shared" si="518"/>
        <v>0</v>
      </c>
      <c r="CQ49">
        <f t="shared" si="518"/>
        <v>1</v>
      </c>
      <c r="CR49">
        <f t="shared" si="518"/>
        <v>1</v>
      </c>
      <c r="CS49">
        <f t="shared" si="518"/>
        <v>1</v>
      </c>
      <c r="CT49">
        <f t="shared" si="518"/>
        <v>1</v>
      </c>
      <c r="CU49">
        <f t="shared" si="518"/>
        <v>1</v>
      </c>
      <c r="CV49">
        <f t="shared" si="518"/>
        <v>1</v>
      </c>
      <c r="CW49">
        <f t="shared" si="518"/>
        <v>1</v>
      </c>
      <c r="CX49">
        <f t="shared" si="518"/>
        <v>1</v>
      </c>
      <c r="CY49">
        <f t="shared" si="518"/>
        <v>1</v>
      </c>
      <c r="CZ49">
        <f t="shared" si="518"/>
        <v>1</v>
      </c>
      <c r="DA49">
        <f t="shared" si="518"/>
        <v>1</v>
      </c>
      <c r="DB49">
        <f t="shared" si="518"/>
        <v>1</v>
      </c>
      <c r="DC49">
        <f t="shared" si="518"/>
        <v>0</v>
      </c>
      <c r="DD49">
        <f t="shared" si="518"/>
        <v>0</v>
      </c>
      <c r="DE49">
        <f t="shared" si="518"/>
        <v>1</v>
      </c>
      <c r="DF49">
        <f t="shared" si="518"/>
        <v>1</v>
      </c>
      <c r="DG49">
        <f t="shared" si="518"/>
        <v>1</v>
      </c>
      <c r="DH49">
        <f t="shared" si="518"/>
        <v>1</v>
      </c>
      <c r="DI49">
        <f t="shared" si="518"/>
        <v>1</v>
      </c>
      <c r="DJ49">
        <f t="shared" si="518"/>
        <v>1</v>
      </c>
      <c r="DK49">
        <f t="shared" si="518"/>
        <v>1</v>
      </c>
      <c r="DL49">
        <f t="shared" si="518"/>
        <v>1</v>
      </c>
      <c r="DM49">
        <f t="shared" si="518"/>
        <v>1</v>
      </c>
      <c r="DN49">
        <f t="shared" si="518"/>
        <v>1</v>
      </c>
      <c r="DO49">
        <f t="shared" si="518"/>
        <v>1</v>
      </c>
      <c r="DP49">
        <f t="shared" si="518"/>
        <v>1</v>
      </c>
      <c r="DQ49">
        <f t="shared" si="518"/>
        <v>0</v>
      </c>
      <c r="DR49">
        <f t="shared" si="518"/>
        <v>0</v>
      </c>
      <c r="DS49">
        <f t="shared" si="518"/>
        <v>1</v>
      </c>
      <c r="DT49">
        <f t="shared" si="518"/>
        <v>1</v>
      </c>
      <c r="DU49">
        <f t="shared" si="518"/>
        <v>1</v>
      </c>
      <c r="DV49">
        <f t="shared" si="518"/>
        <v>1</v>
      </c>
      <c r="DW49">
        <f t="shared" si="518"/>
        <v>1</v>
      </c>
      <c r="DX49">
        <f t="shared" si="518"/>
        <v>1</v>
      </c>
      <c r="DY49">
        <f t="shared" si="518"/>
        <v>1</v>
      </c>
      <c r="DZ49">
        <f t="shared" si="518"/>
        <v>1</v>
      </c>
      <c r="EA49">
        <f t="shared" si="518"/>
        <v>1</v>
      </c>
      <c r="EB49">
        <f t="shared" si="518"/>
        <v>1</v>
      </c>
      <c r="EC49">
        <f t="shared" si="518"/>
        <v>1</v>
      </c>
      <c r="ED49">
        <f t="shared" si="518"/>
        <v>1</v>
      </c>
      <c r="EE49">
        <f t="shared" si="518"/>
        <v>0</v>
      </c>
      <c r="EF49">
        <f t="shared" si="518"/>
        <v>1</v>
      </c>
      <c r="EG49">
        <f t="shared" si="518"/>
        <v>1</v>
      </c>
      <c r="EH49">
        <f t="shared" ref="EH49:FU49" si="519">1-SUM(EH46:EH48)</f>
        <v>1</v>
      </c>
      <c r="EI49">
        <f t="shared" si="519"/>
        <v>1</v>
      </c>
      <c r="EJ49">
        <f t="shared" si="519"/>
        <v>1</v>
      </c>
      <c r="EK49">
        <f t="shared" si="519"/>
        <v>1</v>
      </c>
      <c r="EL49">
        <f t="shared" si="519"/>
        <v>1</v>
      </c>
      <c r="EM49">
        <f t="shared" si="519"/>
        <v>1</v>
      </c>
      <c r="EN49">
        <f t="shared" si="519"/>
        <v>1</v>
      </c>
      <c r="EO49">
        <f t="shared" si="519"/>
        <v>1</v>
      </c>
      <c r="EP49">
        <f t="shared" si="519"/>
        <v>1</v>
      </c>
      <c r="EQ49">
        <f t="shared" si="519"/>
        <v>1</v>
      </c>
      <c r="ER49">
        <f t="shared" si="519"/>
        <v>1</v>
      </c>
      <c r="ES49">
        <f t="shared" si="519"/>
        <v>1</v>
      </c>
      <c r="ET49">
        <f t="shared" si="519"/>
        <v>1</v>
      </c>
      <c r="EU49">
        <f t="shared" si="519"/>
        <v>1</v>
      </c>
      <c r="EV49">
        <f t="shared" si="519"/>
        <v>1</v>
      </c>
      <c r="EW49">
        <f t="shared" si="519"/>
        <v>1</v>
      </c>
      <c r="EX49">
        <f t="shared" si="519"/>
        <v>1</v>
      </c>
      <c r="EY49">
        <f t="shared" si="519"/>
        <v>1</v>
      </c>
      <c r="EZ49">
        <f t="shared" si="519"/>
        <v>1</v>
      </c>
      <c r="FA49">
        <f t="shared" si="519"/>
        <v>1</v>
      </c>
      <c r="FB49">
        <f t="shared" si="519"/>
        <v>1</v>
      </c>
      <c r="FC49">
        <f t="shared" si="519"/>
        <v>1</v>
      </c>
      <c r="FD49">
        <f t="shared" si="519"/>
        <v>1</v>
      </c>
      <c r="FE49">
        <f t="shared" si="519"/>
        <v>1</v>
      </c>
      <c r="FF49">
        <f t="shared" si="519"/>
        <v>1</v>
      </c>
      <c r="FG49">
        <f t="shared" si="519"/>
        <v>1</v>
      </c>
      <c r="FH49">
        <f t="shared" si="519"/>
        <v>1</v>
      </c>
      <c r="FI49">
        <f t="shared" si="519"/>
        <v>1</v>
      </c>
      <c r="FJ49">
        <f t="shared" si="519"/>
        <v>1</v>
      </c>
      <c r="FK49">
        <f t="shared" si="519"/>
        <v>1</v>
      </c>
      <c r="FL49">
        <f t="shared" si="519"/>
        <v>1</v>
      </c>
      <c r="FM49">
        <f t="shared" si="519"/>
        <v>1</v>
      </c>
      <c r="FN49">
        <f t="shared" si="519"/>
        <v>1</v>
      </c>
      <c r="FO49">
        <f t="shared" si="519"/>
        <v>1</v>
      </c>
      <c r="FP49">
        <f t="shared" si="519"/>
        <v>1</v>
      </c>
      <c r="FQ49">
        <f t="shared" si="519"/>
        <v>1</v>
      </c>
      <c r="FR49">
        <f t="shared" si="519"/>
        <v>1</v>
      </c>
      <c r="FS49">
        <f t="shared" si="519"/>
        <v>1</v>
      </c>
      <c r="FT49">
        <f t="shared" si="519"/>
        <v>1</v>
      </c>
      <c r="FU49">
        <f t="shared" si="519"/>
        <v>1</v>
      </c>
      <c r="FV49" s="18">
        <f t="shared" si="516"/>
        <v>0.85218702865761686</v>
      </c>
    </row>
    <row r="50" spans="1:178" ht="14.25" customHeight="1" x14ac:dyDescent="0.25">
      <c r="A50" s="86" t="s">
        <v>273</v>
      </c>
      <c r="B50">
        <v>9</v>
      </c>
      <c r="C50">
        <v>100</v>
      </c>
      <c r="D50" s="19" t="s">
        <v>11</v>
      </c>
      <c r="E50" s="17" t="s">
        <v>15</v>
      </c>
      <c r="F50" s="8" t="s">
        <v>197</v>
      </c>
      <c r="G50" s="8" t="s">
        <v>201</v>
      </c>
      <c r="H50" s="8" t="s">
        <v>194</v>
      </c>
      <c r="I50">
        <v>1</v>
      </c>
      <c r="J50">
        <v>1</v>
      </c>
      <c r="K50">
        <v>1</v>
      </c>
      <c r="V50">
        <v>1</v>
      </c>
      <c r="W50">
        <v>1</v>
      </c>
      <c r="AK50">
        <v>1</v>
      </c>
      <c r="FV50" s="18">
        <f t="shared" ref="FV50:FV53" si="520">SUMPRODUCT(I50:FU50,$I$1:$FU$1)/(SUM($I$1:$FU$1))</f>
        <v>2.8657616892911009E-2</v>
      </c>
    </row>
    <row r="51" spans="1:178" ht="14.25" customHeight="1" x14ac:dyDescent="0.25">
      <c r="A51" s="86" t="s">
        <v>273</v>
      </c>
      <c r="B51">
        <v>9</v>
      </c>
      <c r="C51">
        <v>100</v>
      </c>
      <c r="D51" s="19" t="s">
        <v>11</v>
      </c>
      <c r="E51" s="17" t="s">
        <v>15</v>
      </c>
      <c r="F51" s="8" t="s">
        <v>197</v>
      </c>
      <c r="G51" s="8" t="s">
        <v>201</v>
      </c>
      <c r="H51" s="17" t="s">
        <v>220</v>
      </c>
      <c r="R51">
        <v>1</v>
      </c>
      <c r="S51">
        <v>1</v>
      </c>
      <c r="AI51">
        <v>1</v>
      </c>
      <c r="AV51">
        <v>1</v>
      </c>
      <c r="FV51" s="18">
        <f t="shared" si="520"/>
        <v>2.4132730015082957E-2</v>
      </c>
    </row>
    <row r="52" spans="1:178" ht="14.25" customHeight="1" x14ac:dyDescent="0.25">
      <c r="A52" s="86" t="s">
        <v>273</v>
      </c>
      <c r="B52">
        <v>9</v>
      </c>
      <c r="C52">
        <v>100</v>
      </c>
      <c r="D52" s="19" t="s">
        <v>11</v>
      </c>
      <c r="E52" s="17" t="s">
        <v>15</v>
      </c>
      <c r="F52" s="8" t="s">
        <v>197</v>
      </c>
      <c r="G52" s="8" t="s">
        <v>201</v>
      </c>
      <c r="H52" s="8" t="s">
        <v>195</v>
      </c>
      <c r="L52">
        <v>1</v>
      </c>
      <c r="M52">
        <v>1</v>
      </c>
      <c r="X52">
        <v>1</v>
      </c>
      <c r="Y52">
        <v>1</v>
      </c>
      <c r="Z52">
        <v>1</v>
      </c>
      <c r="AL52">
        <v>1</v>
      </c>
      <c r="AM52">
        <v>1</v>
      </c>
      <c r="AY52">
        <v>1</v>
      </c>
      <c r="AZ52">
        <v>1</v>
      </c>
      <c r="BM52">
        <v>1</v>
      </c>
      <c r="BN52">
        <v>1</v>
      </c>
      <c r="CA52">
        <v>1</v>
      </c>
      <c r="CB52">
        <v>1</v>
      </c>
      <c r="CO52">
        <v>1</v>
      </c>
      <c r="DC52">
        <v>1</v>
      </c>
      <c r="DQ52">
        <v>1</v>
      </c>
      <c r="FV52" s="18">
        <f t="shared" si="520"/>
        <v>5.7315233785822019E-2</v>
      </c>
    </row>
    <row r="53" spans="1:178" ht="14.25" customHeight="1" x14ac:dyDescent="0.25">
      <c r="A53" s="86" t="s">
        <v>273</v>
      </c>
      <c r="B53">
        <v>9</v>
      </c>
      <c r="C53">
        <v>100</v>
      </c>
      <c r="D53" s="19" t="s">
        <v>11</v>
      </c>
      <c r="E53" s="17" t="s">
        <v>15</v>
      </c>
      <c r="F53" s="8" t="s">
        <v>197</v>
      </c>
      <c r="G53" s="8" t="s">
        <v>201</v>
      </c>
      <c r="H53" s="8" t="s">
        <v>196</v>
      </c>
      <c r="I53">
        <f>1-SUM(I50:I52)</f>
        <v>0</v>
      </c>
      <c r="J53">
        <f t="shared" ref="J53:BU53" si="521">1-SUM(J50:J52)</f>
        <v>0</v>
      </c>
      <c r="K53">
        <f t="shared" si="521"/>
        <v>0</v>
      </c>
      <c r="L53">
        <f t="shared" si="521"/>
        <v>0</v>
      </c>
      <c r="M53">
        <f t="shared" si="521"/>
        <v>0</v>
      </c>
      <c r="N53">
        <f t="shared" si="521"/>
        <v>1</v>
      </c>
      <c r="O53">
        <f t="shared" si="521"/>
        <v>1</v>
      </c>
      <c r="P53">
        <f t="shared" si="521"/>
        <v>1</v>
      </c>
      <c r="Q53">
        <f t="shared" si="521"/>
        <v>1</v>
      </c>
      <c r="R53">
        <f t="shared" si="521"/>
        <v>0</v>
      </c>
      <c r="S53">
        <f t="shared" si="521"/>
        <v>0</v>
      </c>
      <c r="T53">
        <f t="shared" si="521"/>
        <v>1</v>
      </c>
      <c r="U53">
        <f t="shared" si="521"/>
        <v>1</v>
      </c>
      <c r="V53">
        <f t="shared" si="521"/>
        <v>0</v>
      </c>
      <c r="W53">
        <f t="shared" si="521"/>
        <v>0</v>
      </c>
      <c r="X53">
        <f t="shared" si="521"/>
        <v>0</v>
      </c>
      <c r="Y53">
        <f t="shared" si="521"/>
        <v>0</v>
      </c>
      <c r="Z53">
        <f t="shared" si="521"/>
        <v>0</v>
      </c>
      <c r="AA53">
        <f t="shared" si="521"/>
        <v>1</v>
      </c>
      <c r="AB53">
        <f t="shared" si="521"/>
        <v>1</v>
      </c>
      <c r="AC53">
        <f t="shared" si="521"/>
        <v>1</v>
      </c>
      <c r="AD53">
        <f t="shared" si="521"/>
        <v>1</v>
      </c>
      <c r="AE53">
        <f t="shared" si="521"/>
        <v>1</v>
      </c>
      <c r="AF53">
        <f t="shared" si="521"/>
        <v>1</v>
      </c>
      <c r="AG53">
        <f t="shared" si="521"/>
        <v>1</v>
      </c>
      <c r="AH53">
        <f t="shared" si="521"/>
        <v>1</v>
      </c>
      <c r="AI53">
        <f t="shared" si="521"/>
        <v>0</v>
      </c>
      <c r="AJ53">
        <f t="shared" si="521"/>
        <v>1</v>
      </c>
      <c r="AK53">
        <f t="shared" si="521"/>
        <v>0</v>
      </c>
      <c r="AL53">
        <f t="shared" si="521"/>
        <v>0</v>
      </c>
      <c r="AM53">
        <f t="shared" si="521"/>
        <v>0</v>
      </c>
      <c r="AN53">
        <f t="shared" si="521"/>
        <v>1</v>
      </c>
      <c r="AO53">
        <f t="shared" si="521"/>
        <v>1</v>
      </c>
      <c r="AP53">
        <f t="shared" si="521"/>
        <v>1</v>
      </c>
      <c r="AQ53">
        <f t="shared" si="521"/>
        <v>1</v>
      </c>
      <c r="AR53">
        <f t="shared" si="521"/>
        <v>1</v>
      </c>
      <c r="AS53">
        <f t="shared" si="521"/>
        <v>1</v>
      </c>
      <c r="AT53">
        <f t="shared" si="521"/>
        <v>1</v>
      </c>
      <c r="AU53">
        <f t="shared" si="521"/>
        <v>1</v>
      </c>
      <c r="AV53">
        <f t="shared" si="521"/>
        <v>0</v>
      </c>
      <c r="AW53">
        <f t="shared" si="521"/>
        <v>1</v>
      </c>
      <c r="AX53">
        <f t="shared" si="521"/>
        <v>1</v>
      </c>
      <c r="AY53">
        <f t="shared" si="521"/>
        <v>0</v>
      </c>
      <c r="AZ53">
        <f t="shared" si="521"/>
        <v>0</v>
      </c>
      <c r="BA53">
        <f t="shared" si="521"/>
        <v>1</v>
      </c>
      <c r="BB53">
        <f t="shared" si="521"/>
        <v>1</v>
      </c>
      <c r="BC53">
        <f t="shared" si="521"/>
        <v>1</v>
      </c>
      <c r="BD53">
        <f t="shared" si="521"/>
        <v>1</v>
      </c>
      <c r="BE53">
        <f t="shared" si="521"/>
        <v>1</v>
      </c>
      <c r="BF53">
        <f t="shared" si="521"/>
        <v>1</v>
      </c>
      <c r="BG53">
        <f t="shared" si="521"/>
        <v>1</v>
      </c>
      <c r="BH53">
        <f t="shared" si="521"/>
        <v>1</v>
      </c>
      <c r="BI53">
        <f t="shared" si="521"/>
        <v>1</v>
      </c>
      <c r="BJ53">
        <f t="shared" si="521"/>
        <v>1</v>
      </c>
      <c r="BK53">
        <f t="shared" si="521"/>
        <v>1</v>
      </c>
      <c r="BL53">
        <f t="shared" si="521"/>
        <v>1</v>
      </c>
      <c r="BM53">
        <f t="shared" si="521"/>
        <v>0</v>
      </c>
      <c r="BN53">
        <f t="shared" si="521"/>
        <v>0</v>
      </c>
      <c r="BO53">
        <f t="shared" si="521"/>
        <v>1</v>
      </c>
      <c r="BP53">
        <f t="shared" si="521"/>
        <v>1</v>
      </c>
      <c r="BQ53">
        <f t="shared" si="521"/>
        <v>1</v>
      </c>
      <c r="BR53">
        <f t="shared" si="521"/>
        <v>1</v>
      </c>
      <c r="BS53">
        <f t="shared" si="521"/>
        <v>1</v>
      </c>
      <c r="BT53">
        <f t="shared" si="521"/>
        <v>1</v>
      </c>
      <c r="BU53">
        <f t="shared" si="521"/>
        <v>1</v>
      </c>
      <c r="BV53">
        <f t="shared" ref="BV53:EG53" si="522">1-SUM(BV50:BV52)</f>
        <v>1</v>
      </c>
      <c r="BW53">
        <f t="shared" si="522"/>
        <v>1</v>
      </c>
      <c r="BX53">
        <f t="shared" si="522"/>
        <v>1</v>
      </c>
      <c r="BY53">
        <f t="shared" si="522"/>
        <v>1</v>
      </c>
      <c r="BZ53">
        <f t="shared" si="522"/>
        <v>1</v>
      </c>
      <c r="CA53">
        <f t="shared" si="522"/>
        <v>0</v>
      </c>
      <c r="CB53">
        <f t="shared" si="522"/>
        <v>0</v>
      </c>
      <c r="CC53">
        <f t="shared" si="522"/>
        <v>1</v>
      </c>
      <c r="CD53">
        <f t="shared" si="522"/>
        <v>1</v>
      </c>
      <c r="CE53">
        <f t="shared" si="522"/>
        <v>1</v>
      </c>
      <c r="CF53">
        <f t="shared" si="522"/>
        <v>1</v>
      </c>
      <c r="CG53">
        <f t="shared" si="522"/>
        <v>1</v>
      </c>
      <c r="CH53">
        <f t="shared" si="522"/>
        <v>1</v>
      </c>
      <c r="CI53">
        <f t="shared" si="522"/>
        <v>1</v>
      </c>
      <c r="CJ53">
        <f t="shared" si="522"/>
        <v>1</v>
      </c>
      <c r="CK53">
        <f t="shared" si="522"/>
        <v>1</v>
      </c>
      <c r="CL53">
        <f t="shared" si="522"/>
        <v>1</v>
      </c>
      <c r="CM53">
        <f t="shared" si="522"/>
        <v>1</v>
      </c>
      <c r="CN53">
        <f t="shared" si="522"/>
        <v>1</v>
      </c>
      <c r="CO53">
        <f t="shared" si="522"/>
        <v>0</v>
      </c>
      <c r="CP53">
        <f t="shared" si="522"/>
        <v>1</v>
      </c>
      <c r="CQ53">
        <f t="shared" si="522"/>
        <v>1</v>
      </c>
      <c r="CR53">
        <f t="shared" si="522"/>
        <v>1</v>
      </c>
      <c r="CS53">
        <f t="shared" si="522"/>
        <v>1</v>
      </c>
      <c r="CT53">
        <f t="shared" si="522"/>
        <v>1</v>
      </c>
      <c r="CU53">
        <f t="shared" si="522"/>
        <v>1</v>
      </c>
      <c r="CV53">
        <f t="shared" si="522"/>
        <v>1</v>
      </c>
      <c r="CW53">
        <f t="shared" si="522"/>
        <v>1</v>
      </c>
      <c r="CX53">
        <f t="shared" si="522"/>
        <v>1</v>
      </c>
      <c r="CY53">
        <f t="shared" si="522"/>
        <v>1</v>
      </c>
      <c r="CZ53">
        <f t="shared" si="522"/>
        <v>1</v>
      </c>
      <c r="DA53">
        <f t="shared" si="522"/>
        <v>1</v>
      </c>
      <c r="DB53">
        <f t="shared" si="522"/>
        <v>1</v>
      </c>
      <c r="DC53">
        <f t="shared" si="522"/>
        <v>0</v>
      </c>
      <c r="DD53">
        <f t="shared" si="522"/>
        <v>1</v>
      </c>
      <c r="DE53">
        <f t="shared" si="522"/>
        <v>1</v>
      </c>
      <c r="DF53">
        <f t="shared" si="522"/>
        <v>1</v>
      </c>
      <c r="DG53">
        <f t="shared" si="522"/>
        <v>1</v>
      </c>
      <c r="DH53">
        <f t="shared" si="522"/>
        <v>1</v>
      </c>
      <c r="DI53">
        <f t="shared" si="522"/>
        <v>1</v>
      </c>
      <c r="DJ53">
        <f t="shared" si="522"/>
        <v>1</v>
      </c>
      <c r="DK53">
        <f t="shared" si="522"/>
        <v>1</v>
      </c>
      <c r="DL53">
        <f t="shared" si="522"/>
        <v>1</v>
      </c>
      <c r="DM53">
        <f t="shared" si="522"/>
        <v>1</v>
      </c>
      <c r="DN53">
        <f t="shared" si="522"/>
        <v>1</v>
      </c>
      <c r="DO53">
        <f t="shared" si="522"/>
        <v>1</v>
      </c>
      <c r="DP53">
        <f t="shared" si="522"/>
        <v>1</v>
      </c>
      <c r="DQ53">
        <f t="shared" si="522"/>
        <v>0</v>
      </c>
      <c r="DR53">
        <f t="shared" si="522"/>
        <v>1</v>
      </c>
      <c r="DS53">
        <f t="shared" si="522"/>
        <v>1</v>
      </c>
      <c r="DT53">
        <f t="shared" si="522"/>
        <v>1</v>
      </c>
      <c r="DU53">
        <f t="shared" si="522"/>
        <v>1</v>
      </c>
      <c r="DV53">
        <f t="shared" si="522"/>
        <v>1</v>
      </c>
      <c r="DW53">
        <f t="shared" si="522"/>
        <v>1</v>
      </c>
      <c r="DX53">
        <f t="shared" si="522"/>
        <v>1</v>
      </c>
      <c r="DY53">
        <f t="shared" si="522"/>
        <v>1</v>
      </c>
      <c r="DZ53">
        <f t="shared" si="522"/>
        <v>1</v>
      </c>
      <c r="EA53">
        <f t="shared" si="522"/>
        <v>1</v>
      </c>
      <c r="EB53">
        <f t="shared" si="522"/>
        <v>1</v>
      </c>
      <c r="EC53">
        <f t="shared" si="522"/>
        <v>1</v>
      </c>
      <c r="ED53">
        <f t="shared" si="522"/>
        <v>1</v>
      </c>
      <c r="EE53">
        <f t="shared" si="522"/>
        <v>1</v>
      </c>
      <c r="EF53">
        <f t="shared" si="522"/>
        <v>1</v>
      </c>
      <c r="EG53">
        <f t="shared" si="522"/>
        <v>1</v>
      </c>
      <c r="EH53">
        <f t="shared" ref="EH53:FU53" si="523">1-SUM(EH50:EH52)</f>
        <v>1</v>
      </c>
      <c r="EI53">
        <f t="shared" si="523"/>
        <v>1</v>
      </c>
      <c r="EJ53">
        <f t="shared" si="523"/>
        <v>1</v>
      </c>
      <c r="EK53">
        <f t="shared" si="523"/>
        <v>1</v>
      </c>
      <c r="EL53">
        <f t="shared" si="523"/>
        <v>1</v>
      </c>
      <c r="EM53">
        <f t="shared" si="523"/>
        <v>1</v>
      </c>
      <c r="EN53">
        <f t="shared" si="523"/>
        <v>1</v>
      </c>
      <c r="EO53">
        <f t="shared" si="523"/>
        <v>1</v>
      </c>
      <c r="EP53">
        <f t="shared" si="523"/>
        <v>1</v>
      </c>
      <c r="EQ53">
        <f t="shared" si="523"/>
        <v>1</v>
      </c>
      <c r="ER53">
        <f t="shared" si="523"/>
        <v>1</v>
      </c>
      <c r="ES53">
        <f t="shared" si="523"/>
        <v>1</v>
      </c>
      <c r="ET53">
        <f t="shared" si="523"/>
        <v>1</v>
      </c>
      <c r="EU53">
        <f t="shared" si="523"/>
        <v>1</v>
      </c>
      <c r="EV53">
        <f t="shared" si="523"/>
        <v>1</v>
      </c>
      <c r="EW53">
        <f t="shared" si="523"/>
        <v>1</v>
      </c>
      <c r="EX53">
        <f t="shared" si="523"/>
        <v>1</v>
      </c>
      <c r="EY53">
        <f t="shared" si="523"/>
        <v>1</v>
      </c>
      <c r="EZ53">
        <f t="shared" si="523"/>
        <v>1</v>
      </c>
      <c r="FA53">
        <f t="shared" si="523"/>
        <v>1</v>
      </c>
      <c r="FB53">
        <f t="shared" si="523"/>
        <v>1</v>
      </c>
      <c r="FC53">
        <f t="shared" si="523"/>
        <v>1</v>
      </c>
      <c r="FD53">
        <f t="shared" si="523"/>
        <v>1</v>
      </c>
      <c r="FE53">
        <f t="shared" si="523"/>
        <v>1</v>
      </c>
      <c r="FF53">
        <f t="shared" si="523"/>
        <v>1</v>
      </c>
      <c r="FG53">
        <f t="shared" si="523"/>
        <v>1</v>
      </c>
      <c r="FH53">
        <f t="shared" si="523"/>
        <v>1</v>
      </c>
      <c r="FI53">
        <f t="shared" si="523"/>
        <v>1</v>
      </c>
      <c r="FJ53">
        <f t="shared" si="523"/>
        <v>1</v>
      </c>
      <c r="FK53">
        <f t="shared" si="523"/>
        <v>1</v>
      </c>
      <c r="FL53">
        <f t="shared" si="523"/>
        <v>1</v>
      </c>
      <c r="FM53">
        <f t="shared" si="523"/>
        <v>1</v>
      </c>
      <c r="FN53">
        <f t="shared" si="523"/>
        <v>1</v>
      </c>
      <c r="FO53">
        <f t="shared" si="523"/>
        <v>1</v>
      </c>
      <c r="FP53">
        <f t="shared" si="523"/>
        <v>1</v>
      </c>
      <c r="FQ53">
        <f t="shared" si="523"/>
        <v>1</v>
      </c>
      <c r="FR53">
        <f t="shared" si="523"/>
        <v>1</v>
      </c>
      <c r="FS53">
        <f t="shared" si="523"/>
        <v>1</v>
      </c>
      <c r="FT53">
        <f t="shared" si="523"/>
        <v>1</v>
      </c>
      <c r="FU53">
        <f t="shared" si="523"/>
        <v>1</v>
      </c>
      <c r="FV53" s="18">
        <f t="shared" si="520"/>
        <v>0.88989441930618396</v>
      </c>
    </row>
    <row r="54" spans="1:178" ht="14.25" customHeight="1" x14ac:dyDescent="0.25">
      <c r="A54" s="86" t="s">
        <v>273</v>
      </c>
      <c r="B54">
        <v>9</v>
      </c>
      <c r="C54">
        <v>100</v>
      </c>
      <c r="D54" s="19" t="s">
        <v>11</v>
      </c>
      <c r="E54" s="17" t="s">
        <v>242</v>
      </c>
      <c r="F54" s="8" t="s">
        <v>197</v>
      </c>
      <c r="G54" s="8" t="s">
        <v>201</v>
      </c>
      <c r="H54" s="8" t="s">
        <v>194</v>
      </c>
      <c r="I54">
        <v>1</v>
      </c>
      <c r="J54">
        <v>1</v>
      </c>
      <c r="K54">
        <v>1</v>
      </c>
      <c r="V54">
        <v>1</v>
      </c>
      <c r="W54">
        <v>1</v>
      </c>
      <c r="AK54">
        <v>1</v>
      </c>
      <c r="FV54" s="18">
        <f t="shared" ref="FV54:FV61" si="524">SUMPRODUCT(I54:FU54,$I$1:$FU$1)/(SUM($I$1:$FU$1))</f>
        <v>2.8657616892911009E-2</v>
      </c>
    </row>
    <row r="55" spans="1:178" ht="14.25" customHeight="1" x14ac:dyDescent="0.25">
      <c r="A55" s="86" t="s">
        <v>273</v>
      </c>
      <c r="B55">
        <v>9</v>
      </c>
      <c r="C55">
        <v>100</v>
      </c>
      <c r="D55" s="19" t="s">
        <v>11</v>
      </c>
      <c r="E55" s="17" t="s">
        <v>242</v>
      </c>
      <c r="F55" s="8" t="s">
        <v>197</v>
      </c>
      <c r="G55" s="8" t="s">
        <v>201</v>
      </c>
      <c r="H55" s="17" t="s">
        <v>220</v>
      </c>
      <c r="R55">
        <v>1</v>
      </c>
      <c r="S55">
        <v>1</v>
      </c>
      <c r="AI55">
        <v>1</v>
      </c>
      <c r="AW55">
        <v>1</v>
      </c>
      <c r="FV55" s="18">
        <f t="shared" si="524"/>
        <v>2.4132730015082957E-2</v>
      </c>
    </row>
    <row r="56" spans="1:178" ht="14.25" customHeight="1" x14ac:dyDescent="0.25">
      <c r="A56" s="86" t="s">
        <v>273</v>
      </c>
      <c r="B56">
        <v>9</v>
      </c>
      <c r="C56">
        <v>100</v>
      </c>
      <c r="D56" s="19" t="s">
        <v>11</v>
      </c>
      <c r="E56" s="17" t="s">
        <v>242</v>
      </c>
      <c r="F56" s="8" t="s">
        <v>197</v>
      </c>
      <c r="G56" s="8" t="s">
        <v>201</v>
      </c>
      <c r="H56" s="8" t="s">
        <v>195</v>
      </c>
      <c r="L56">
        <v>1</v>
      </c>
      <c r="M56">
        <v>1</v>
      </c>
      <c r="X56">
        <v>1</v>
      </c>
      <c r="Y56">
        <v>1</v>
      </c>
      <c r="Z56">
        <v>1</v>
      </c>
      <c r="AL56">
        <v>1</v>
      </c>
      <c r="AM56">
        <v>1</v>
      </c>
      <c r="AY56">
        <v>1</v>
      </c>
      <c r="AZ56">
        <v>1</v>
      </c>
      <c r="BM56">
        <v>1</v>
      </c>
      <c r="BN56">
        <v>1</v>
      </c>
      <c r="CA56">
        <v>1</v>
      </c>
      <c r="CB56">
        <v>1</v>
      </c>
      <c r="CO56">
        <v>1</v>
      </c>
      <c r="DC56">
        <v>1</v>
      </c>
      <c r="DQ56">
        <v>1</v>
      </c>
      <c r="FV56" s="18">
        <f t="shared" si="524"/>
        <v>5.7315233785822019E-2</v>
      </c>
    </row>
    <row r="57" spans="1:178" ht="14.25" customHeight="1" x14ac:dyDescent="0.25">
      <c r="A57" s="86" t="s">
        <v>273</v>
      </c>
      <c r="B57">
        <v>9</v>
      </c>
      <c r="C57">
        <v>100</v>
      </c>
      <c r="D57" s="19" t="s">
        <v>11</v>
      </c>
      <c r="E57" s="17" t="s">
        <v>242</v>
      </c>
      <c r="F57" s="8" t="s">
        <v>197</v>
      </c>
      <c r="G57" s="8" t="s">
        <v>201</v>
      </c>
      <c r="H57" s="8" t="s">
        <v>196</v>
      </c>
      <c r="I57">
        <f>1-SUM(I54:I56)</f>
        <v>0</v>
      </c>
      <c r="J57">
        <f t="shared" ref="J57:BU57" si="525">1-SUM(J54:J56)</f>
        <v>0</v>
      </c>
      <c r="K57">
        <f t="shared" si="525"/>
        <v>0</v>
      </c>
      <c r="L57">
        <f t="shared" si="525"/>
        <v>0</v>
      </c>
      <c r="M57">
        <f t="shared" si="525"/>
        <v>0</v>
      </c>
      <c r="N57">
        <f t="shared" si="525"/>
        <v>1</v>
      </c>
      <c r="O57">
        <f t="shared" si="525"/>
        <v>1</v>
      </c>
      <c r="P57">
        <f t="shared" si="525"/>
        <v>1</v>
      </c>
      <c r="Q57">
        <f t="shared" si="525"/>
        <v>1</v>
      </c>
      <c r="R57">
        <f t="shared" si="525"/>
        <v>0</v>
      </c>
      <c r="S57">
        <f t="shared" si="525"/>
        <v>0</v>
      </c>
      <c r="T57">
        <f t="shared" si="525"/>
        <v>1</v>
      </c>
      <c r="U57">
        <f t="shared" si="525"/>
        <v>1</v>
      </c>
      <c r="V57">
        <f t="shared" si="525"/>
        <v>0</v>
      </c>
      <c r="W57">
        <f t="shared" si="525"/>
        <v>0</v>
      </c>
      <c r="X57">
        <f t="shared" si="525"/>
        <v>0</v>
      </c>
      <c r="Y57">
        <f t="shared" si="525"/>
        <v>0</v>
      </c>
      <c r="Z57">
        <f t="shared" si="525"/>
        <v>0</v>
      </c>
      <c r="AA57">
        <f t="shared" si="525"/>
        <v>1</v>
      </c>
      <c r="AB57">
        <f t="shared" si="525"/>
        <v>1</v>
      </c>
      <c r="AC57">
        <f t="shared" si="525"/>
        <v>1</v>
      </c>
      <c r="AD57">
        <f t="shared" si="525"/>
        <v>1</v>
      </c>
      <c r="AE57">
        <f t="shared" si="525"/>
        <v>1</v>
      </c>
      <c r="AF57">
        <f t="shared" si="525"/>
        <v>1</v>
      </c>
      <c r="AG57">
        <f t="shared" si="525"/>
        <v>1</v>
      </c>
      <c r="AH57">
        <f t="shared" si="525"/>
        <v>1</v>
      </c>
      <c r="AI57">
        <f t="shared" si="525"/>
        <v>0</v>
      </c>
      <c r="AJ57">
        <f t="shared" si="525"/>
        <v>1</v>
      </c>
      <c r="AK57">
        <f t="shared" si="525"/>
        <v>0</v>
      </c>
      <c r="AL57">
        <f t="shared" si="525"/>
        <v>0</v>
      </c>
      <c r="AM57">
        <f t="shared" si="525"/>
        <v>0</v>
      </c>
      <c r="AN57">
        <f t="shared" si="525"/>
        <v>1</v>
      </c>
      <c r="AO57">
        <f t="shared" si="525"/>
        <v>1</v>
      </c>
      <c r="AP57">
        <f t="shared" si="525"/>
        <v>1</v>
      </c>
      <c r="AQ57">
        <f t="shared" si="525"/>
        <v>1</v>
      </c>
      <c r="AR57">
        <f t="shared" si="525"/>
        <v>1</v>
      </c>
      <c r="AS57">
        <f t="shared" si="525"/>
        <v>1</v>
      </c>
      <c r="AT57">
        <f t="shared" si="525"/>
        <v>1</v>
      </c>
      <c r="AU57">
        <f t="shared" si="525"/>
        <v>1</v>
      </c>
      <c r="AV57">
        <f t="shared" si="525"/>
        <v>1</v>
      </c>
      <c r="AW57">
        <f t="shared" si="525"/>
        <v>0</v>
      </c>
      <c r="AX57">
        <f t="shared" si="525"/>
        <v>1</v>
      </c>
      <c r="AY57">
        <f t="shared" si="525"/>
        <v>0</v>
      </c>
      <c r="AZ57">
        <f t="shared" si="525"/>
        <v>0</v>
      </c>
      <c r="BA57">
        <f t="shared" si="525"/>
        <v>1</v>
      </c>
      <c r="BB57">
        <f t="shared" si="525"/>
        <v>1</v>
      </c>
      <c r="BC57">
        <f t="shared" si="525"/>
        <v>1</v>
      </c>
      <c r="BD57">
        <f t="shared" si="525"/>
        <v>1</v>
      </c>
      <c r="BE57">
        <f t="shared" si="525"/>
        <v>1</v>
      </c>
      <c r="BF57">
        <f t="shared" si="525"/>
        <v>1</v>
      </c>
      <c r="BG57">
        <f t="shared" si="525"/>
        <v>1</v>
      </c>
      <c r="BH57">
        <f t="shared" si="525"/>
        <v>1</v>
      </c>
      <c r="BI57">
        <f t="shared" si="525"/>
        <v>1</v>
      </c>
      <c r="BJ57">
        <f t="shared" si="525"/>
        <v>1</v>
      </c>
      <c r="BK57">
        <f t="shared" si="525"/>
        <v>1</v>
      </c>
      <c r="BL57">
        <f t="shared" si="525"/>
        <v>1</v>
      </c>
      <c r="BM57">
        <f t="shared" si="525"/>
        <v>0</v>
      </c>
      <c r="BN57">
        <f t="shared" si="525"/>
        <v>0</v>
      </c>
      <c r="BO57">
        <f t="shared" si="525"/>
        <v>1</v>
      </c>
      <c r="BP57">
        <f t="shared" si="525"/>
        <v>1</v>
      </c>
      <c r="BQ57">
        <f t="shared" si="525"/>
        <v>1</v>
      </c>
      <c r="BR57">
        <f t="shared" si="525"/>
        <v>1</v>
      </c>
      <c r="BS57">
        <f t="shared" si="525"/>
        <v>1</v>
      </c>
      <c r="BT57">
        <f t="shared" si="525"/>
        <v>1</v>
      </c>
      <c r="BU57">
        <f t="shared" si="525"/>
        <v>1</v>
      </c>
      <c r="BV57">
        <f t="shared" ref="BV57:EG57" si="526">1-SUM(BV54:BV56)</f>
        <v>1</v>
      </c>
      <c r="BW57">
        <f t="shared" si="526"/>
        <v>1</v>
      </c>
      <c r="BX57">
        <f t="shared" si="526"/>
        <v>1</v>
      </c>
      <c r="BY57">
        <f t="shared" si="526"/>
        <v>1</v>
      </c>
      <c r="BZ57">
        <f t="shared" si="526"/>
        <v>1</v>
      </c>
      <c r="CA57">
        <f t="shared" si="526"/>
        <v>0</v>
      </c>
      <c r="CB57">
        <f t="shared" si="526"/>
        <v>0</v>
      </c>
      <c r="CC57">
        <f t="shared" si="526"/>
        <v>1</v>
      </c>
      <c r="CD57">
        <f t="shared" si="526"/>
        <v>1</v>
      </c>
      <c r="CE57">
        <f t="shared" si="526"/>
        <v>1</v>
      </c>
      <c r="CF57">
        <f t="shared" si="526"/>
        <v>1</v>
      </c>
      <c r="CG57">
        <f t="shared" si="526"/>
        <v>1</v>
      </c>
      <c r="CH57">
        <f t="shared" si="526"/>
        <v>1</v>
      </c>
      <c r="CI57">
        <f t="shared" si="526"/>
        <v>1</v>
      </c>
      <c r="CJ57">
        <f t="shared" si="526"/>
        <v>1</v>
      </c>
      <c r="CK57">
        <f t="shared" si="526"/>
        <v>1</v>
      </c>
      <c r="CL57">
        <f t="shared" si="526"/>
        <v>1</v>
      </c>
      <c r="CM57">
        <f t="shared" si="526"/>
        <v>1</v>
      </c>
      <c r="CN57">
        <f t="shared" si="526"/>
        <v>1</v>
      </c>
      <c r="CO57">
        <f t="shared" si="526"/>
        <v>0</v>
      </c>
      <c r="CP57">
        <f t="shared" si="526"/>
        <v>1</v>
      </c>
      <c r="CQ57">
        <f t="shared" si="526"/>
        <v>1</v>
      </c>
      <c r="CR57">
        <f t="shared" si="526"/>
        <v>1</v>
      </c>
      <c r="CS57">
        <f t="shared" si="526"/>
        <v>1</v>
      </c>
      <c r="CT57">
        <f t="shared" si="526"/>
        <v>1</v>
      </c>
      <c r="CU57">
        <f t="shared" si="526"/>
        <v>1</v>
      </c>
      <c r="CV57">
        <f t="shared" si="526"/>
        <v>1</v>
      </c>
      <c r="CW57">
        <f t="shared" si="526"/>
        <v>1</v>
      </c>
      <c r="CX57">
        <f t="shared" si="526"/>
        <v>1</v>
      </c>
      <c r="CY57">
        <f t="shared" si="526"/>
        <v>1</v>
      </c>
      <c r="CZ57">
        <f t="shared" si="526"/>
        <v>1</v>
      </c>
      <c r="DA57">
        <f t="shared" si="526"/>
        <v>1</v>
      </c>
      <c r="DB57">
        <f t="shared" si="526"/>
        <v>1</v>
      </c>
      <c r="DC57">
        <f t="shared" si="526"/>
        <v>0</v>
      </c>
      <c r="DD57">
        <f t="shared" si="526"/>
        <v>1</v>
      </c>
      <c r="DE57">
        <f t="shared" si="526"/>
        <v>1</v>
      </c>
      <c r="DF57">
        <f t="shared" si="526"/>
        <v>1</v>
      </c>
      <c r="DG57">
        <f t="shared" si="526"/>
        <v>1</v>
      </c>
      <c r="DH57">
        <f t="shared" si="526"/>
        <v>1</v>
      </c>
      <c r="DI57">
        <f t="shared" si="526"/>
        <v>1</v>
      </c>
      <c r="DJ57">
        <f t="shared" si="526"/>
        <v>1</v>
      </c>
      <c r="DK57">
        <f t="shared" si="526"/>
        <v>1</v>
      </c>
      <c r="DL57">
        <f t="shared" si="526"/>
        <v>1</v>
      </c>
      <c r="DM57">
        <f t="shared" si="526"/>
        <v>1</v>
      </c>
      <c r="DN57">
        <f t="shared" si="526"/>
        <v>1</v>
      </c>
      <c r="DO57">
        <f t="shared" si="526"/>
        <v>1</v>
      </c>
      <c r="DP57">
        <f t="shared" si="526"/>
        <v>1</v>
      </c>
      <c r="DQ57">
        <f t="shared" si="526"/>
        <v>0</v>
      </c>
      <c r="DR57">
        <f t="shared" si="526"/>
        <v>1</v>
      </c>
      <c r="DS57">
        <f t="shared" si="526"/>
        <v>1</v>
      </c>
      <c r="DT57">
        <f t="shared" si="526"/>
        <v>1</v>
      </c>
      <c r="DU57">
        <f t="shared" si="526"/>
        <v>1</v>
      </c>
      <c r="DV57">
        <f t="shared" si="526"/>
        <v>1</v>
      </c>
      <c r="DW57">
        <f t="shared" si="526"/>
        <v>1</v>
      </c>
      <c r="DX57">
        <f t="shared" si="526"/>
        <v>1</v>
      </c>
      <c r="DY57">
        <f t="shared" si="526"/>
        <v>1</v>
      </c>
      <c r="DZ57">
        <f t="shared" si="526"/>
        <v>1</v>
      </c>
      <c r="EA57">
        <f t="shared" si="526"/>
        <v>1</v>
      </c>
      <c r="EB57">
        <f t="shared" si="526"/>
        <v>1</v>
      </c>
      <c r="EC57">
        <f t="shared" si="526"/>
        <v>1</v>
      </c>
      <c r="ED57">
        <f t="shared" si="526"/>
        <v>1</v>
      </c>
      <c r="EE57">
        <f t="shared" si="526"/>
        <v>1</v>
      </c>
      <c r="EF57">
        <f t="shared" si="526"/>
        <v>1</v>
      </c>
      <c r="EG57">
        <f t="shared" si="526"/>
        <v>1</v>
      </c>
      <c r="EH57">
        <f t="shared" ref="EH57:FU57" si="527">1-SUM(EH54:EH56)</f>
        <v>1</v>
      </c>
      <c r="EI57">
        <f t="shared" si="527"/>
        <v>1</v>
      </c>
      <c r="EJ57">
        <f t="shared" si="527"/>
        <v>1</v>
      </c>
      <c r="EK57">
        <f t="shared" si="527"/>
        <v>1</v>
      </c>
      <c r="EL57">
        <f t="shared" si="527"/>
        <v>1</v>
      </c>
      <c r="EM57">
        <f t="shared" si="527"/>
        <v>1</v>
      </c>
      <c r="EN57">
        <f t="shared" si="527"/>
        <v>1</v>
      </c>
      <c r="EO57">
        <f t="shared" si="527"/>
        <v>1</v>
      </c>
      <c r="EP57">
        <f t="shared" si="527"/>
        <v>1</v>
      </c>
      <c r="EQ57">
        <f t="shared" si="527"/>
        <v>1</v>
      </c>
      <c r="ER57">
        <f t="shared" si="527"/>
        <v>1</v>
      </c>
      <c r="ES57">
        <f t="shared" si="527"/>
        <v>1</v>
      </c>
      <c r="ET57">
        <f t="shared" si="527"/>
        <v>1</v>
      </c>
      <c r="EU57">
        <f t="shared" si="527"/>
        <v>1</v>
      </c>
      <c r="EV57">
        <f t="shared" si="527"/>
        <v>1</v>
      </c>
      <c r="EW57">
        <f t="shared" si="527"/>
        <v>1</v>
      </c>
      <c r="EX57">
        <f t="shared" si="527"/>
        <v>1</v>
      </c>
      <c r="EY57">
        <f t="shared" si="527"/>
        <v>1</v>
      </c>
      <c r="EZ57">
        <f t="shared" si="527"/>
        <v>1</v>
      </c>
      <c r="FA57">
        <f t="shared" si="527"/>
        <v>1</v>
      </c>
      <c r="FB57">
        <f t="shared" si="527"/>
        <v>1</v>
      </c>
      <c r="FC57">
        <f t="shared" si="527"/>
        <v>1</v>
      </c>
      <c r="FD57">
        <f t="shared" si="527"/>
        <v>1</v>
      </c>
      <c r="FE57">
        <f t="shared" si="527"/>
        <v>1</v>
      </c>
      <c r="FF57">
        <f t="shared" si="527"/>
        <v>1</v>
      </c>
      <c r="FG57">
        <f t="shared" si="527"/>
        <v>1</v>
      </c>
      <c r="FH57">
        <f t="shared" si="527"/>
        <v>1</v>
      </c>
      <c r="FI57">
        <f t="shared" si="527"/>
        <v>1</v>
      </c>
      <c r="FJ57">
        <f t="shared" si="527"/>
        <v>1</v>
      </c>
      <c r="FK57">
        <f t="shared" si="527"/>
        <v>1</v>
      </c>
      <c r="FL57">
        <f t="shared" si="527"/>
        <v>1</v>
      </c>
      <c r="FM57">
        <f t="shared" si="527"/>
        <v>1</v>
      </c>
      <c r="FN57">
        <f t="shared" si="527"/>
        <v>1</v>
      </c>
      <c r="FO57">
        <f t="shared" si="527"/>
        <v>1</v>
      </c>
      <c r="FP57">
        <f t="shared" si="527"/>
        <v>1</v>
      </c>
      <c r="FQ57">
        <f t="shared" si="527"/>
        <v>1</v>
      </c>
      <c r="FR57">
        <f t="shared" si="527"/>
        <v>1</v>
      </c>
      <c r="FS57">
        <f t="shared" si="527"/>
        <v>1</v>
      </c>
      <c r="FT57">
        <f t="shared" si="527"/>
        <v>1</v>
      </c>
      <c r="FU57">
        <f t="shared" si="527"/>
        <v>1</v>
      </c>
      <c r="FV57" s="18">
        <f t="shared" si="524"/>
        <v>0.88989441930618396</v>
      </c>
    </row>
    <row r="58" spans="1:178" ht="14.25" customHeight="1" x14ac:dyDescent="0.25">
      <c r="A58" s="86" t="s">
        <v>273</v>
      </c>
      <c r="B58">
        <v>9</v>
      </c>
      <c r="C58">
        <v>100</v>
      </c>
      <c r="D58" s="19" t="s">
        <v>11</v>
      </c>
      <c r="E58" s="17" t="s">
        <v>14</v>
      </c>
      <c r="F58" s="8" t="s">
        <v>197</v>
      </c>
      <c r="G58" s="8" t="s">
        <v>201</v>
      </c>
      <c r="H58" s="8" t="s">
        <v>194</v>
      </c>
      <c r="I58">
        <v>1</v>
      </c>
      <c r="J58">
        <v>1</v>
      </c>
      <c r="K58">
        <v>1</v>
      </c>
      <c r="V58">
        <v>1</v>
      </c>
      <c r="W58">
        <v>1</v>
      </c>
      <c r="AK58">
        <v>1</v>
      </c>
      <c r="FV58" s="18">
        <f t="shared" si="524"/>
        <v>2.8657616892911009E-2</v>
      </c>
    </row>
    <row r="59" spans="1:178" ht="14.25" customHeight="1" x14ac:dyDescent="0.25">
      <c r="A59" s="86" t="s">
        <v>273</v>
      </c>
      <c r="B59">
        <v>9</v>
      </c>
      <c r="C59">
        <v>100</v>
      </c>
      <c r="D59" s="19" t="s">
        <v>11</v>
      </c>
      <c r="E59" s="17" t="s">
        <v>14</v>
      </c>
      <c r="F59" s="8" t="s">
        <v>197</v>
      </c>
      <c r="G59" s="8" t="s">
        <v>201</v>
      </c>
      <c r="H59" s="17" t="s">
        <v>220</v>
      </c>
      <c r="R59">
        <v>1</v>
      </c>
      <c r="S59">
        <v>1</v>
      </c>
      <c r="T59">
        <v>1</v>
      </c>
      <c r="U59">
        <v>1</v>
      </c>
      <c r="AI59">
        <v>1</v>
      </c>
      <c r="AV59">
        <v>1</v>
      </c>
      <c r="CP59">
        <v>1</v>
      </c>
      <c r="DD59">
        <v>1</v>
      </c>
      <c r="FV59" s="18">
        <f t="shared" si="524"/>
        <v>3.6199095022624438E-2</v>
      </c>
    </row>
    <row r="60" spans="1:178" ht="14.25" customHeight="1" x14ac:dyDescent="0.25">
      <c r="A60" s="86" t="s">
        <v>273</v>
      </c>
      <c r="B60">
        <v>9</v>
      </c>
      <c r="C60">
        <v>100</v>
      </c>
      <c r="D60" s="19" t="s">
        <v>11</v>
      </c>
      <c r="E60" s="17" t="s">
        <v>14</v>
      </c>
      <c r="F60" s="8" t="s">
        <v>197</v>
      </c>
      <c r="G60" s="8" t="s">
        <v>201</v>
      </c>
      <c r="H60" s="8" t="s">
        <v>195</v>
      </c>
      <c r="L60">
        <v>1</v>
      </c>
      <c r="M60">
        <v>1</v>
      </c>
      <c r="X60">
        <v>1</v>
      </c>
      <c r="Y60">
        <v>1</v>
      </c>
      <c r="Z60">
        <v>1</v>
      </c>
      <c r="AL60">
        <v>1</v>
      </c>
      <c r="AM60">
        <v>1</v>
      </c>
      <c r="AY60">
        <v>1</v>
      </c>
      <c r="AZ60">
        <v>1</v>
      </c>
      <c r="BM60">
        <v>1</v>
      </c>
      <c r="BN60">
        <v>1</v>
      </c>
      <c r="CA60">
        <v>1</v>
      </c>
      <c r="CB60">
        <v>1</v>
      </c>
      <c r="CO60">
        <v>1</v>
      </c>
      <c r="DC60">
        <v>1</v>
      </c>
      <c r="DQ60">
        <v>1</v>
      </c>
      <c r="EE60">
        <v>1</v>
      </c>
      <c r="FV60" s="18">
        <f t="shared" si="524"/>
        <v>6.1840120663650078E-2</v>
      </c>
    </row>
    <row r="61" spans="1:178" ht="14.25" customHeight="1" x14ac:dyDescent="0.25">
      <c r="A61" s="86" t="s">
        <v>273</v>
      </c>
      <c r="B61">
        <v>9</v>
      </c>
      <c r="C61">
        <v>100</v>
      </c>
      <c r="D61" s="19" t="s">
        <v>11</v>
      </c>
      <c r="E61" s="17" t="s">
        <v>14</v>
      </c>
      <c r="F61" s="8" t="s">
        <v>197</v>
      </c>
      <c r="G61" s="8" t="s">
        <v>201</v>
      </c>
      <c r="H61" s="8" t="s">
        <v>196</v>
      </c>
      <c r="I61">
        <f>1-SUM(I58:I60)</f>
        <v>0</v>
      </c>
      <c r="J61">
        <f t="shared" ref="J61:BU61" si="528">1-SUM(J58:J60)</f>
        <v>0</v>
      </c>
      <c r="K61">
        <f t="shared" si="528"/>
        <v>0</v>
      </c>
      <c r="L61">
        <f t="shared" si="528"/>
        <v>0</v>
      </c>
      <c r="M61">
        <f t="shared" si="528"/>
        <v>0</v>
      </c>
      <c r="N61">
        <f t="shared" si="528"/>
        <v>1</v>
      </c>
      <c r="O61">
        <f t="shared" si="528"/>
        <v>1</v>
      </c>
      <c r="P61">
        <f t="shared" si="528"/>
        <v>1</v>
      </c>
      <c r="Q61">
        <f t="shared" si="528"/>
        <v>1</v>
      </c>
      <c r="R61">
        <f t="shared" si="528"/>
        <v>0</v>
      </c>
      <c r="S61">
        <f t="shared" si="528"/>
        <v>0</v>
      </c>
      <c r="T61">
        <f t="shared" si="528"/>
        <v>0</v>
      </c>
      <c r="U61">
        <f t="shared" si="528"/>
        <v>0</v>
      </c>
      <c r="V61">
        <f t="shared" si="528"/>
        <v>0</v>
      </c>
      <c r="W61">
        <f t="shared" si="528"/>
        <v>0</v>
      </c>
      <c r="X61">
        <f t="shared" si="528"/>
        <v>0</v>
      </c>
      <c r="Y61">
        <f t="shared" si="528"/>
        <v>0</v>
      </c>
      <c r="Z61">
        <f t="shared" si="528"/>
        <v>0</v>
      </c>
      <c r="AA61">
        <f t="shared" si="528"/>
        <v>1</v>
      </c>
      <c r="AB61">
        <f t="shared" si="528"/>
        <v>1</v>
      </c>
      <c r="AC61">
        <f t="shared" si="528"/>
        <v>1</v>
      </c>
      <c r="AD61">
        <f t="shared" si="528"/>
        <v>1</v>
      </c>
      <c r="AE61">
        <f t="shared" si="528"/>
        <v>1</v>
      </c>
      <c r="AF61">
        <f t="shared" si="528"/>
        <v>1</v>
      </c>
      <c r="AG61">
        <f t="shared" si="528"/>
        <v>1</v>
      </c>
      <c r="AH61">
        <f t="shared" si="528"/>
        <v>1</v>
      </c>
      <c r="AI61">
        <f t="shared" si="528"/>
        <v>0</v>
      </c>
      <c r="AJ61">
        <f t="shared" si="528"/>
        <v>1</v>
      </c>
      <c r="AK61">
        <f t="shared" si="528"/>
        <v>0</v>
      </c>
      <c r="AL61">
        <f t="shared" si="528"/>
        <v>0</v>
      </c>
      <c r="AM61">
        <f t="shared" si="528"/>
        <v>0</v>
      </c>
      <c r="AN61">
        <f t="shared" si="528"/>
        <v>1</v>
      </c>
      <c r="AO61">
        <f t="shared" si="528"/>
        <v>1</v>
      </c>
      <c r="AP61">
        <f t="shared" si="528"/>
        <v>1</v>
      </c>
      <c r="AQ61">
        <f t="shared" si="528"/>
        <v>1</v>
      </c>
      <c r="AR61">
        <f t="shared" si="528"/>
        <v>1</v>
      </c>
      <c r="AS61">
        <f t="shared" si="528"/>
        <v>1</v>
      </c>
      <c r="AT61">
        <f t="shared" si="528"/>
        <v>1</v>
      </c>
      <c r="AU61">
        <f t="shared" si="528"/>
        <v>1</v>
      </c>
      <c r="AV61">
        <f t="shared" si="528"/>
        <v>0</v>
      </c>
      <c r="AW61">
        <f t="shared" si="528"/>
        <v>1</v>
      </c>
      <c r="AX61">
        <f t="shared" si="528"/>
        <v>1</v>
      </c>
      <c r="AY61">
        <f t="shared" si="528"/>
        <v>0</v>
      </c>
      <c r="AZ61">
        <f t="shared" si="528"/>
        <v>0</v>
      </c>
      <c r="BA61">
        <f t="shared" si="528"/>
        <v>1</v>
      </c>
      <c r="BB61">
        <f t="shared" si="528"/>
        <v>1</v>
      </c>
      <c r="BC61">
        <f t="shared" si="528"/>
        <v>1</v>
      </c>
      <c r="BD61">
        <f t="shared" si="528"/>
        <v>1</v>
      </c>
      <c r="BE61">
        <f t="shared" si="528"/>
        <v>1</v>
      </c>
      <c r="BF61">
        <f t="shared" si="528"/>
        <v>1</v>
      </c>
      <c r="BG61">
        <f t="shared" si="528"/>
        <v>1</v>
      </c>
      <c r="BH61">
        <f t="shared" si="528"/>
        <v>1</v>
      </c>
      <c r="BI61">
        <f t="shared" si="528"/>
        <v>1</v>
      </c>
      <c r="BJ61">
        <f t="shared" si="528"/>
        <v>1</v>
      </c>
      <c r="BK61">
        <f t="shared" si="528"/>
        <v>1</v>
      </c>
      <c r="BL61">
        <f t="shared" si="528"/>
        <v>1</v>
      </c>
      <c r="BM61">
        <f t="shared" si="528"/>
        <v>0</v>
      </c>
      <c r="BN61">
        <f t="shared" si="528"/>
        <v>0</v>
      </c>
      <c r="BO61">
        <f t="shared" si="528"/>
        <v>1</v>
      </c>
      <c r="BP61">
        <f t="shared" si="528"/>
        <v>1</v>
      </c>
      <c r="BQ61">
        <f t="shared" si="528"/>
        <v>1</v>
      </c>
      <c r="BR61">
        <f t="shared" si="528"/>
        <v>1</v>
      </c>
      <c r="BS61">
        <f t="shared" si="528"/>
        <v>1</v>
      </c>
      <c r="BT61">
        <f t="shared" si="528"/>
        <v>1</v>
      </c>
      <c r="BU61">
        <f t="shared" si="528"/>
        <v>1</v>
      </c>
      <c r="BV61">
        <f t="shared" ref="BV61:EG61" si="529">1-SUM(BV58:BV60)</f>
        <v>1</v>
      </c>
      <c r="BW61">
        <f t="shared" si="529"/>
        <v>1</v>
      </c>
      <c r="BX61">
        <f t="shared" si="529"/>
        <v>1</v>
      </c>
      <c r="BY61">
        <f t="shared" si="529"/>
        <v>1</v>
      </c>
      <c r="BZ61">
        <f t="shared" si="529"/>
        <v>1</v>
      </c>
      <c r="CA61">
        <f t="shared" si="529"/>
        <v>0</v>
      </c>
      <c r="CB61">
        <f t="shared" si="529"/>
        <v>0</v>
      </c>
      <c r="CC61">
        <f t="shared" si="529"/>
        <v>1</v>
      </c>
      <c r="CD61">
        <f t="shared" si="529"/>
        <v>1</v>
      </c>
      <c r="CE61">
        <f t="shared" si="529"/>
        <v>1</v>
      </c>
      <c r="CF61">
        <f t="shared" si="529"/>
        <v>1</v>
      </c>
      <c r="CG61">
        <f t="shared" si="529"/>
        <v>1</v>
      </c>
      <c r="CH61">
        <f t="shared" si="529"/>
        <v>1</v>
      </c>
      <c r="CI61">
        <f t="shared" si="529"/>
        <v>1</v>
      </c>
      <c r="CJ61">
        <f t="shared" si="529"/>
        <v>1</v>
      </c>
      <c r="CK61">
        <f t="shared" si="529"/>
        <v>1</v>
      </c>
      <c r="CL61">
        <f t="shared" si="529"/>
        <v>1</v>
      </c>
      <c r="CM61">
        <f t="shared" si="529"/>
        <v>1</v>
      </c>
      <c r="CN61">
        <f t="shared" si="529"/>
        <v>1</v>
      </c>
      <c r="CO61">
        <f t="shared" si="529"/>
        <v>0</v>
      </c>
      <c r="CP61">
        <f t="shared" si="529"/>
        <v>0</v>
      </c>
      <c r="CQ61">
        <f t="shared" si="529"/>
        <v>1</v>
      </c>
      <c r="CR61">
        <f t="shared" si="529"/>
        <v>1</v>
      </c>
      <c r="CS61">
        <f t="shared" si="529"/>
        <v>1</v>
      </c>
      <c r="CT61">
        <f t="shared" si="529"/>
        <v>1</v>
      </c>
      <c r="CU61">
        <f t="shared" si="529"/>
        <v>1</v>
      </c>
      <c r="CV61">
        <f t="shared" si="529"/>
        <v>1</v>
      </c>
      <c r="CW61">
        <f t="shared" si="529"/>
        <v>1</v>
      </c>
      <c r="CX61">
        <f t="shared" si="529"/>
        <v>1</v>
      </c>
      <c r="CY61">
        <f t="shared" si="529"/>
        <v>1</v>
      </c>
      <c r="CZ61">
        <f t="shared" si="529"/>
        <v>1</v>
      </c>
      <c r="DA61">
        <f t="shared" si="529"/>
        <v>1</v>
      </c>
      <c r="DB61">
        <f t="shared" si="529"/>
        <v>1</v>
      </c>
      <c r="DC61">
        <f t="shared" si="529"/>
        <v>0</v>
      </c>
      <c r="DD61">
        <f t="shared" si="529"/>
        <v>0</v>
      </c>
      <c r="DE61">
        <f t="shared" si="529"/>
        <v>1</v>
      </c>
      <c r="DF61">
        <f t="shared" si="529"/>
        <v>1</v>
      </c>
      <c r="DG61">
        <f t="shared" si="529"/>
        <v>1</v>
      </c>
      <c r="DH61">
        <f t="shared" si="529"/>
        <v>1</v>
      </c>
      <c r="DI61">
        <f t="shared" si="529"/>
        <v>1</v>
      </c>
      <c r="DJ61">
        <f t="shared" si="529"/>
        <v>1</v>
      </c>
      <c r="DK61">
        <f t="shared" si="529"/>
        <v>1</v>
      </c>
      <c r="DL61">
        <f t="shared" si="529"/>
        <v>1</v>
      </c>
      <c r="DM61">
        <f t="shared" si="529"/>
        <v>1</v>
      </c>
      <c r="DN61">
        <f t="shared" si="529"/>
        <v>1</v>
      </c>
      <c r="DO61">
        <f t="shared" si="529"/>
        <v>1</v>
      </c>
      <c r="DP61">
        <f t="shared" si="529"/>
        <v>1</v>
      </c>
      <c r="DQ61">
        <f t="shared" si="529"/>
        <v>0</v>
      </c>
      <c r="DR61">
        <f t="shared" si="529"/>
        <v>1</v>
      </c>
      <c r="DS61">
        <f t="shared" si="529"/>
        <v>1</v>
      </c>
      <c r="DT61">
        <f t="shared" si="529"/>
        <v>1</v>
      </c>
      <c r="DU61">
        <f t="shared" si="529"/>
        <v>1</v>
      </c>
      <c r="DV61">
        <f t="shared" si="529"/>
        <v>1</v>
      </c>
      <c r="DW61">
        <f t="shared" si="529"/>
        <v>1</v>
      </c>
      <c r="DX61">
        <f t="shared" si="529"/>
        <v>1</v>
      </c>
      <c r="DY61">
        <f t="shared" si="529"/>
        <v>1</v>
      </c>
      <c r="DZ61">
        <f t="shared" si="529"/>
        <v>1</v>
      </c>
      <c r="EA61">
        <f t="shared" si="529"/>
        <v>1</v>
      </c>
      <c r="EB61">
        <f t="shared" si="529"/>
        <v>1</v>
      </c>
      <c r="EC61">
        <f t="shared" si="529"/>
        <v>1</v>
      </c>
      <c r="ED61">
        <f t="shared" si="529"/>
        <v>1</v>
      </c>
      <c r="EE61">
        <f t="shared" si="529"/>
        <v>0</v>
      </c>
      <c r="EF61">
        <f t="shared" si="529"/>
        <v>1</v>
      </c>
      <c r="EG61">
        <f t="shared" si="529"/>
        <v>1</v>
      </c>
      <c r="EH61">
        <f t="shared" ref="EH61:FU61" si="530">1-SUM(EH58:EH60)</f>
        <v>1</v>
      </c>
      <c r="EI61">
        <f t="shared" si="530"/>
        <v>1</v>
      </c>
      <c r="EJ61">
        <f t="shared" si="530"/>
        <v>1</v>
      </c>
      <c r="EK61">
        <f t="shared" si="530"/>
        <v>1</v>
      </c>
      <c r="EL61">
        <f t="shared" si="530"/>
        <v>1</v>
      </c>
      <c r="EM61">
        <f t="shared" si="530"/>
        <v>1</v>
      </c>
      <c r="EN61">
        <f t="shared" si="530"/>
        <v>1</v>
      </c>
      <c r="EO61">
        <f t="shared" si="530"/>
        <v>1</v>
      </c>
      <c r="EP61">
        <f t="shared" si="530"/>
        <v>1</v>
      </c>
      <c r="EQ61">
        <f t="shared" si="530"/>
        <v>1</v>
      </c>
      <c r="ER61">
        <f t="shared" si="530"/>
        <v>1</v>
      </c>
      <c r="ES61">
        <f t="shared" si="530"/>
        <v>1</v>
      </c>
      <c r="ET61">
        <f t="shared" si="530"/>
        <v>1</v>
      </c>
      <c r="EU61">
        <f t="shared" si="530"/>
        <v>1</v>
      </c>
      <c r="EV61">
        <f t="shared" si="530"/>
        <v>1</v>
      </c>
      <c r="EW61">
        <f t="shared" si="530"/>
        <v>1</v>
      </c>
      <c r="EX61">
        <f t="shared" si="530"/>
        <v>1</v>
      </c>
      <c r="EY61">
        <f t="shared" si="530"/>
        <v>1</v>
      </c>
      <c r="EZ61">
        <f t="shared" si="530"/>
        <v>1</v>
      </c>
      <c r="FA61">
        <f t="shared" si="530"/>
        <v>1</v>
      </c>
      <c r="FB61">
        <f t="shared" si="530"/>
        <v>1</v>
      </c>
      <c r="FC61">
        <f t="shared" si="530"/>
        <v>1</v>
      </c>
      <c r="FD61">
        <f t="shared" si="530"/>
        <v>1</v>
      </c>
      <c r="FE61">
        <f t="shared" si="530"/>
        <v>1</v>
      </c>
      <c r="FF61">
        <f t="shared" si="530"/>
        <v>1</v>
      </c>
      <c r="FG61">
        <f t="shared" si="530"/>
        <v>1</v>
      </c>
      <c r="FH61">
        <f t="shared" si="530"/>
        <v>1</v>
      </c>
      <c r="FI61">
        <f t="shared" si="530"/>
        <v>1</v>
      </c>
      <c r="FJ61">
        <f t="shared" si="530"/>
        <v>1</v>
      </c>
      <c r="FK61">
        <f t="shared" si="530"/>
        <v>1</v>
      </c>
      <c r="FL61">
        <f t="shared" si="530"/>
        <v>1</v>
      </c>
      <c r="FM61">
        <f t="shared" si="530"/>
        <v>1</v>
      </c>
      <c r="FN61">
        <f t="shared" si="530"/>
        <v>1</v>
      </c>
      <c r="FO61">
        <f t="shared" si="530"/>
        <v>1</v>
      </c>
      <c r="FP61">
        <f t="shared" si="530"/>
        <v>1</v>
      </c>
      <c r="FQ61">
        <f t="shared" si="530"/>
        <v>1</v>
      </c>
      <c r="FR61">
        <f t="shared" si="530"/>
        <v>1</v>
      </c>
      <c r="FS61">
        <f t="shared" si="530"/>
        <v>1</v>
      </c>
      <c r="FT61">
        <f t="shared" si="530"/>
        <v>1</v>
      </c>
      <c r="FU61">
        <f t="shared" si="530"/>
        <v>1</v>
      </c>
      <c r="FV61" s="18">
        <f t="shared" si="524"/>
        <v>0.87330316742081449</v>
      </c>
    </row>
    <row r="62" spans="1:178" ht="14.25" customHeight="1" x14ac:dyDescent="0.25">
      <c r="A62" s="86" t="s">
        <v>273</v>
      </c>
      <c r="B62">
        <v>9</v>
      </c>
      <c r="C62">
        <v>100</v>
      </c>
      <c r="D62" s="19" t="s">
        <v>11</v>
      </c>
      <c r="E62" s="17" t="s">
        <v>13</v>
      </c>
      <c r="F62" s="8" t="s">
        <v>197</v>
      </c>
      <c r="G62" s="8" t="s">
        <v>201</v>
      </c>
      <c r="H62" s="8" t="s">
        <v>194</v>
      </c>
      <c r="I62">
        <v>1</v>
      </c>
      <c r="J62">
        <v>1</v>
      </c>
      <c r="K62">
        <v>1</v>
      </c>
      <c r="L62">
        <v>1</v>
      </c>
      <c r="V62">
        <v>1</v>
      </c>
      <c r="W62">
        <v>1</v>
      </c>
      <c r="X62">
        <v>1</v>
      </c>
      <c r="AI62">
        <v>1</v>
      </c>
      <c r="AK62">
        <v>1</v>
      </c>
      <c r="FV62" s="18">
        <f t="shared" ref="FV62:FV68" si="531">SUMPRODUCT(I62:FU62,$I$1:$FU$1)/(SUM($I$1:$FU$1))</f>
        <v>4.3740573152337855E-2</v>
      </c>
    </row>
    <row r="63" spans="1:178" ht="14.25" customHeight="1" x14ac:dyDescent="0.25">
      <c r="A63" s="86" t="s">
        <v>273</v>
      </c>
      <c r="B63">
        <v>9</v>
      </c>
      <c r="C63">
        <v>100</v>
      </c>
      <c r="D63" s="19" t="s">
        <v>11</v>
      </c>
      <c r="E63" s="17" t="s">
        <v>13</v>
      </c>
      <c r="F63" s="8" t="s">
        <v>197</v>
      </c>
      <c r="G63" s="8" t="s">
        <v>201</v>
      </c>
      <c r="H63" s="17" t="s">
        <v>220</v>
      </c>
      <c r="R63">
        <v>1</v>
      </c>
      <c r="S63">
        <v>1</v>
      </c>
      <c r="T63">
        <v>1</v>
      </c>
      <c r="U63">
        <v>1</v>
      </c>
      <c r="AJ63">
        <v>1</v>
      </c>
      <c r="AV63">
        <v>1</v>
      </c>
      <c r="CP63">
        <v>1</v>
      </c>
      <c r="DD63">
        <v>1</v>
      </c>
      <c r="DR63">
        <v>1</v>
      </c>
      <c r="EF63">
        <v>1</v>
      </c>
      <c r="FV63" s="18">
        <f t="shared" si="531"/>
        <v>4.2232277526395176E-2</v>
      </c>
    </row>
    <row r="64" spans="1:178" ht="14.25" customHeight="1" x14ac:dyDescent="0.25">
      <c r="A64" s="86" t="s">
        <v>273</v>
      </c>
      <c r="B64">
        <v>9</v>
      </c>
      <c r="C64">
        <v>100</v>
      </c>
      <c r="D64" s="19" t="s">
        <v>11</v>
      </c>
      <c r="E64" s="17" t="s">
        <v>13</v>
      </c>
      <c r="F64" s="8" t="s">
        <v>197</v>
      </c>
      <c r="G64" s="8" t="s">
        <v>201</v>
      </c>
      <c r="H64" s="8" t="s">
        <v>195</v>
      </c>
      <c r="M64">
        <v>1</v>
      </c>
      <c r="Y64">
        <v>1</v>
      </c>
      <c r="Z64">
        <v>1</v>
      </c>
      <c r="AL64">
        <v>1</v>
      </c>
      <c r="AM64">
        <v>1</v>
      </c>
      <c r="AY64">
        <v>1</v>
      </c>
      <c r="AZ64">
        <v>1</v>
      </c>
      <c r="BM64">
        <v>1</v>
      </c>
      <c r="BN64">
        <v>1</v>
      </c>
      <c r="CA64">
        <v>1</v>
      </c>
      <c r="CB64">
        <v>1</v>
      </c>
      <c r="CO64">
        <v>1</v>
      </c>
      <c r="DC64">
        <v>1</v>
      </c>
      <c r="DQ64">
        <v>1</v>
      </c>
      <c r="EE64">
        <v>1</v>
      </c>
      <c r="ES64">
        <v>1</v>
      </c>
      <c r="FV64" s="18">
        <f t="shared" si="531"/>
        <v>6.0331825037707391E-2</v>
      </c>
    </row>
    <row r="65" spans="1:178" ht="14.25" customHeight="1" x14ac:dyDescent="0.25">
      <c r="A65" s="86" t="s">
        <v>273</v>
      </c>
      <c r="B65">
        <v>9</v>
      </c>
      <c r="C65">
        <v>100</v>
      </c>
      <c r="D65" s="19" t="s">
        <v>11</v>
      </c>
      <c r="E65" s="17" t="s">
        <v>13</v>
      </c>
      <c r="F65" s="8" t="s">
        <v>197</v>
      </c>
      <c r="G65" s="8" t="s">
        <v>201</v>
      </c>
      <c r="H65" s="8" t="s">
        <v>196</v>
      </c>
      <c r="I65">
        <f>1-SUM(I62:I64)</f>
        <v>0</v>
      </c>
      <c r="J65">
        <f t="shared" ref="J65:BU65" si="532">1-SUM(J62:J64)</f>
        <v>0</v>
      </c>
      <c r="K65">
        <f t="shared" si="532"/>
        <v>0</v>
      </c>
      <c r="L65">
        <f t="shared" si="532"/>
        <v>0</v>
      </c>
      <c r="M65">
        <f t="shared" si="532"/>
        <v>0</v>
      </c>
      <c r="N65">
        <f t="shared" si="532"/>
        <v>1</v>
      </c>
      <c r="O65">
        <f t="shared" si="532"/>
        <v>1</v>
      </c>
      <c r="P65">
        <f t="shared" si="532"/>
        <v>1</v>
      </c>
      <c r="Q65">
        <f t="shared" si="532"/>
        <v>1</v>
      </c>
      <c r="R65">
        <f t="shared" si="532"/>
        <v>0</v>
      </c>
      <c r="S65">
        <f t="shared" si="532"/>
        <v>0</v>
      </c>
      <c r="T65">
        <f t="shared" si="532"/>
        <v>0</v>
      </c>
      <c r="U65">
        <f t="shared" si="532"/>
        <v>0</v>
      </c>
      <c r="V65">
        <f t="shared" si="532"/>
        <v>0</v>
      </c>
      <c r="W65">
        <f t="shared" si="532"/>
        <v>0</v>
      </c>
      <c r="X65">
        <f t="shared" si="532"/>
        <v>0</v>
      </c>
      <c r="Y65">
        <f t="shared" si="532"/>
        <v>0</v>
      </c>
      <c r="Z65">
        <f t="shared" si="532"/>
        <v>0</v>
      </c>
      <c r="AA65">
        <f t="shared" si="532"/>
        <v>1</v>
      </c>
      <c r="AB65">
        <f t="shared" si="532"/>
        <v>1</v>
      </c>
      <c r="AC65">
        <f t="shared" si="532"/>
        <v>1</v>
      </c>
      <c r="AD65">
        <f t="shared" si="532"/>
        <v>1</v>
      </c>
      <c r="AE65">
        <f t="shared" si="532"/>
        <v>1</v>
      </c>
      <c r="AF65">
        <f t="shared" si="532"/>
        <v>1</v>
      </c>
      <c r="AG65">
        <f t="shared" si="532"/>
        <v>1</v>
      </c>
      <c r="AH65">
        <f t="shared" si="532"/>
        <v>1</v>
      </c>
      <c r="AI65">
        <f t="shared" si="532"/>
        <v>0</v>
      </c>
      <c r="AJ65">
        <f t="shared" si="532"/>
        <v>0</v>
      </c>
      <c r="AK65">
        <f t="shared" si="532"/>
        <v>0</v>
      </c>
      <c r="AL65">
        <f t="shared" si="532"/>
        <v>0</v>
      </c>
      <c r="AM65">
        <f t="shared" si="532"/>
        <v>0</v>
      </c>
      <c r="AN65">
        <f t="shared" si="532"/>
        <v>1</v>
      </c>
      <c r="AO65">
        <f t="shared" si="532"/>
        <v>1</v>
      </c>
      <c r="AP65">
        <f t="shared" si="532"/>
        <v>1</v>
      </c>
      <c r="AQ65">
        <f t="shared" si="532"/>
        <v>1</v>
      </c>
      <c r="AR65">
        <f t="shared" si="532"/>
        <v>1</v>
      </c>
      <c r="AS65">
        <f t="shared" si="532"/>
        <v>1</v>
      </c>
      <c r="AT65">
        <f t="shared" si="532"/>
        <v>1</v>
      </c>
      <c r="AU65">
        <f t="shared" si="532"/>
        <v>1</v>
      </c>
      <c r="AV65">
        <f t="shared" si="532"/>
        <v>0</v>
      </c>
      <c r="AW65">
        <f t="shared" si="532"/>
        <v>1</v>
      </c>
      <c r="AX65">
        <f t="shared" si="532"/>
        <v>1</v>
      </c>
      <c r="AY65">
        <f t="shared" si="532"/>
        <v>0</v>
      </c>
      <c r="AZ65">
        <f t="shared" si="532"/>
        <v>0</v>
      </c>
      <c r="BA65">
        <f t="shared" si="532"/>
        <v>1</v>
      </c>
      <c r="BB65">
        <f t="shared" si="532"/>
        <v>1</v>
      </c>
      <c r="BC65">
        <f t="shared" si="532"/>
        <v>1</v>
      </c>
      <c r="BD65">
        <f t="shared" si="532"/>
        <v>1</v>
      </c>
      <c r="BE65">
        <f t="shared" si="532"/>
        <v>1</v>
      </c>
      <c r="BF65">
        <f t="shared" si="532"/>
        <v>1</v>
      </c>
      <c r="BG65">
        <f t="shared" si="532"/>
        <v>1</v>
      </c>
      <c r="BH65">
        <f t="shared" si="532"/>
        <v>1</v>
      </c>
      <c r="BI65">
        <f t="shared" si="532"/>
        <v>1</v>
      </c>
      <c r="BJ65">
        <f t="shared" si="532"/>
        <v>1</v>
      </c>
      <c r="BK65">
        <f t="shared" si="532"/>
        <v>1</v>
      </c>
      <c r="BL65">
        <f t="shared" si="532"/>
        <v>1</v>
      </c>
      <c r="BM65">
        <f t="shared" si="532"/>
        <v>0</v>
      </c>
      <c r="BN65">
        <f t="shared" si="532"/>
        <v>0</v>
      </c>
      <c r="BO65">
        <f t="shared" si="532"/>
        <v>1</v>
      </c>
      <c r="BP65">
        <f t="shared" si="532"/>
        <v>1</v>
      </c>
      <c r="BQ65">
        <f t="shared" si="532"/>
        <v>1</v>
      </c>
      <c r="BR65">
        <f t="shared" si="532"/>
        <v>1</v>
      </c>
      <c r="BS65">
        <f t="shared" si="532"/>
        <v>1</v>
      </c>
      <c r="BT65">
        <f t="shared" si="532"/>
        <v>1</v>
      </c>
      <c r="BU65">
        <f t="shared" si="532"/>
        <v>1</v>
      </c>
      <c r="BV65">
        <f t="shared" ref="BV65:EG65" si="533">1-SUM(BV62:BV64)</f>
        <v>1</v>
      </c>
      <c r="BW65">
        <f t="shared" si="533"/>
        <v>1</v>
      </c>
      <c r="BX65">
        <f t="shared" si="533"/>
        <v>1</v>
      </c>
      <c r="BY65">
        <f t="shared" si="533"/>
        <v>1</v>
      </c>
      <c r="BZ65">
        <f t="shared" si="533"/>
        <v>1</v>
      </c>
      <c r="CA65">
        <f t="shared" si="533"/>
        <v>0</v>
      </c>
      <c r="CB65">
        <f t="shared" si="533"/>
        <v>0</v>
      </c>
      <c r="CC65">
        <f t="shared" si="533"/>
        <v>1</v>
      </c>
      <c r="CD65">
        <f t="shared" si="533"/>
        <v>1</v>
      </c>
      <c r="CE65">
        <f t="shared" si="533"/>
        <v>1</v>
      </c>
      <c r="CF65">
        <f t="shared" si="533"/>
        <v>1</v>
      </c>
      <c r="CG65">
        <f t="shared" si="533"/>
        <v>1</v>
      </c>
      <c r="CH65">
        <f t="shared" si="533"/>
        <v>1</v>
      </c>
      <c r="CI65">
        <f t="shared" si="533"/>
        <v>1</v>
      </c>
      <c r="CJ65">
        <f t="shared" si="533"/>
        <v>1</v>
      </c>
      <c r="CK65">
        <f t="shared" si="533"/>
        <v>1</v>
      </c>
      <c r="CL65">
        <f t="shared" si="533"/>
        <v>1</v>
      </c>
      <c r="CM65">
        <f t="shared" si="533"/>
        <v>1</v>
      </c>
      <c r="CN65">
        <f t="shared" si="533"/>
        <v>1</v>
      </c>
      <c r="CO65">
        <f t="shared" si="533"/>
        <v>0</v>
      </c>
      <c r="CP65">
        <f t="shared" si="533"/>
        <v>0</v>
      </c>
      <c r="CQ65">
        <f t="shared" si="533"/>
        <v>1</v>
      </c>
      <c r="CR65">
        <f t="shared" si="533"/>
        <v>1</v>
      </c>
      <c r="CS65">
        <f t="shared" si="533"/>
        <v>1</v>
      </c>
      <c r="CT65">
        <f t="shared" si="533"/>
        <v>1</v>
      </c>
      <c r="CU65">
        <f t="shared" si="533"/>
        <v>1</v>
      </c>
      <c r="CV65">
        <f t="shared" si="533"/>
        <v>1</v>
      </c>
      <c r="CW65">
        <f t="shared" si="533"/>
        <v>1</v>
      </c>
      <c r="CX65">
        <f t="shared" si="533"/>
        <v>1</v>
      </c>
      <c r="CY65">
        <f t="shared" si="533"/>
        <v>1</v>
      </c>
      <c r="CZ65">
        <f t="shared" si="533"/>
        <v>1</v>
      </c>
      <c r="DA65">
        <f t="shared" si="533"/>
        <v>1</v>
      </c>
      <c r="DB65">
        <f t="shared" si="533"/>
        <v>1</v>
      </c>
      <c r="DC65">
        <f t="shared" si="533"/>
        <v>0</v>
      </c>
      <c r="DD65">
        <f t="shared" si="533"/>
        <v>0</v>
      </c>
      <c r="DE65">
        <f t="shared" si="533"/>
        <v>1</v>
      </c>
      <c r="DF65">
        <f t="shared" si="533"/>
        <v>1</v>
      </c>
      <c r="DG65">
        <f t="shared" si="533"/>
        <v>1</v>
      </c>
      <c r="DH65">
        <f t="shared" si="533"/>
        <v>1</v>
      </c>
      <c r="DI65">
        <f t="shared" si="533"/>
        <v>1</v>
      </c>
      <c r="DJ65">
        <f t="shared" si="533"/>
        <v>1</v>
      </c>
      <c r="DK65">
        <f t="shared" si="533"/>
        <v>1</v>
      </c>
      <c r="DL65">
        <f t="shared" si="533"/>
        <v>1</v>
      </c>
      <c r="DM65">
        <f t="shared" si="533"/>
        <v>1</v>
      </c>
      <c r="DN65">
        <f t="shared" si="533"/>
        <v>1</v>
      </c>
      <c r="DO65">
        <f t="shared" si="533"/>
        <v>1</v>
      </c>
      <c r="DP65">
        <f t="shared" si="533"/>
        <v>1</v>
      </c>
      <c r="DQ65">
        <f t="shared" si="533"/>
        <v>0</v>
      </c>
      <c r="DR65">
        <f t="shared" si="533"/>
        <v>0</v>
      </c>
      <c r="DS65">
        <f t="shared" si="533"/>
        <v>1</v>
      </c>
      <c r="DT65">
        <f t="shared" si="533"/>
        <v>1</v>
      </c>
      <c r="DU65">
        <f t="shared" si="533"/>
        <v>1</v>
      </c>
      <c r="DV65">
        <f t="shared" si="533"/>
        <v>1</v>
      </c>
      <c r="DW65">
        <f t="shared" si="533"/>
        <v>1</v>
      </c>
      <c r="DX65">
        <f t="shared" si="533"/>
        <v>1</v>
      </c>
      <c r="DY65">
        <f t="shared" si="533"/>
        <v>1</v>
      </c>
      <c r="DZ65">
        <f t="shared" si="533"/>
        <v>1</v>
      </c>
      <c r="EA65">
        <f t="shared" si="533"/>
        <v>1</v>
      </c>
      <c r="EB65">
        <f t="shared" si="533"/>
        <v>1</v>
      </c>
      <c r="EC65">
        <f t="shared" si="533"/>
        <v>1</v>
      </c>
      <c r="ED65">
        <f t="shared" si="533"/>
        <v>1</v>
      </c>
      <c r="EE65">
        <f t="shared" si="533"/>
        <v>0</v>
      </c>
      <c r="EF65">
        <f t="shared" si="533"/>
        <v>0</v>
      </c>
      <c r="EG65">
        <f t="shared" si="533"/>
        <v>1</v>
      </c>
      <c r="EH65">
        <f t="shared" ref="EH65:FU65" si="534">1-SUM(EH62:EH64)</f>
        <v>1</v>
      </c>
      <c r="EI65">
        <f t="shared" si="534"/>
        <v>1</v>
      </c>
      <c r="EJ65">
        <f t="shared" si="534"/>
        <v>1</v>
      </c>
      <c r="EK65">
        <f t="shared" si="534"/>
        <v>1</v>
      </c>
      <c r="EL65">
        <f t="shared" si="534"/>
        <v>1</v>
      </c>
      <c r="EM65">
        <f t="shared" si="534"/>
        <v>1</v>
      </c>
      <c r="EN65">
        <f t="shared" si="534"/>
        <v>1</v>
      </c>
      <c r="EO65">
        <f t="shared" si="534"/>
        <v>1</v>
      </c>
      <c r="EP65">
        <f t="shared" si="534"/>
        <v>1</v>
      </c>
      <c r="EQ65">
        <f t="shared" si="534"/>
        <v>1</v>
      </c>
      <c r="ER65">
        <f t="shared" si="534"/>
        <v>1</v>
      </c>
      <c r="ES65">
        <f t="shared" si="534"/>
        <v>0</v>
      </c>
      <c r="ET65">
        <f t="shared" si="534"/>
        <v>1</v>
      </c>
      <c r="EU65">
        <f t="shared" si="534"/>
        <v>1</v>
      </c>
      <c r="EV65">
        <f t="shared" si="534"/>
        <v>1</v>
      </c>
      <c r="EW65">
        <f t="shared" si="534"/>
        <v>1</v>
      </c>
      <c r="EX65">
        <f t="shared" si="534"/>
        <v>1</v>
      </c>
      <c r="EY65">
        <f t="shared" si="534"/>
        <v>1</v>
      </c>
      <c r="EZ65">
        <f t="shared" si="534"/>
        <v>1</v>
      </c>
      <c r="FA65">
        <f t="shared" si="534"/>
        <v>1</v>
      </c>
      <c r="FB65">
        <f t="shared" si="534"/>
        <v>1</v>
      </c>
      <c r="FC65">
        <f t="shared" si="534"/>
        <v>1</v>
      </c>
      <c r="FD65">
        <f t="shared" si="534"/>
        <v>1</v>
      </c>
      <c r="FE65">
        <f t="shared" si="534"/>
        <v>1</v>
      </c>
      <c r="FF65">
        <f t="shared" si="534"/>
        <v>1</v>
      </c>
      <c r="FG65">
        <f t="shared" si="534"/>
        <v>1</v>
      </c>
      <c r="FH65">
        <f t="shared" si="534"/>
        <v>1</v>
      </c>
      <c r="FI65">
        <f t="shared" si="534"/>
        <v>1</v>
      </c>
      <c r="FJ65">
        <f t="shared" si="534"/>
        <v>1</v>
      </c>
      <c r="FK65">
        <f t="shared" si="534"/>
        <v>1</v>
      </c>
      <c r="FL65">
        <f t="shared" si="534"/>
        <v>1</v>
      </c>
      <c r="FM65">
        <f t="shared" si="534"/>
        <v>1</v>
      </c>
      <c r="FN65">
        <f t="shared" si="534"/>
        <v>1</v>
      </c>
      <c r="FO65">
        <f t="shared" si="534"/>
        <v>1</v>
      </c>
      <c r="FP65">
        <f t="shared" si="534"/>
        <v>1</v>
      </c>
      <c r="FQ65">
        <f t="shared" si="534"/>
        <v>1</v>
      </c>
      <c r="FR65">
        <f t="shared" si="534"/>
        <v>1</v>
      </c>
      <c r="FS65">
        <f t="shared" si="534"/>
        <v>1</v>
      </c>
      <c r="FT65">
        <f t="shared" si="534"/>
        <v>1</v>
      </c>
      <c r="FU65">
        <f t="shared" si="534"/>
        <v>1</v>
      </c>
      <c r="FV65" s="18">
        <f t="shared" si="531"/>
        <v>0.85369532428355954</v>
      </c>
    </row>
    <row r="66" spans="1:178" ht="14.25" customHeight="1" x14ac:dyDescent="0.25">
      <c r="A66" s="86" t="s">
        <v>273</v>
      </c>
      <c r="B66">
        <v>9</v>
      </c>
      <c r="C66">
        <v>100</v>
      </c>
      <c r="D66" s="19" t="s">
        <v>11</v>
      </c>
      <c r="E66" s="19" t="s">
        <v>12</v>
      </c>
      <c r="F66" s="8" t="s">
        <v>197</v>
      </c>
      <c r="G66" s="8" t="s">
        <v>201</v>
      </c>
      <c r="H66" s="8" t="s">
        <v>194</v>
      </c>
      <c r="I66">
        <v>1</v>
      </c>
      <c r="J66">
        <v>1</v>
      </c>
      <c r="K66">
        <v>1</v>
      </c>
      <c r="L66">
        <v>1</v>
      </c>
      <c r="V66">
        <v>1</v>
      </c>
      <c r="W66">
        <v>1</v>
      </c>
      <c r="X66">
        <v>1</v>
      </c>
      <c r="AI66">
        <v>1</v>
      </c>
      <c r="AK66">
        <v>1</v>
      </c>
      <c r="FV66" s="18">
        <f t="shared" si="531"/>
        <v>4.3740573152337855E-2</v>
      </c>
    </row>
    <row r="67" spans="1:178" ht="14.25" customHeight="1" x14ac:dyDescent="0.25">
      <c r="A67" s="86" t="s">
        <v>273</v>
      </c>
      <c r="B67">
        <v>9</v>
      </c>
      <c r="C67">
        <v>100</v>
      </c>
      <c r="D67" s="19" t="s">
        <v>11</v>
      </c>
      <c r="E67" s="19" t="s">
        <v>12</v>
      </c>
      <c r="F67" s="8" t="s">
        <v>197</v>
      </c>
      <c r="G67" s="8" t="s">
        <v>201</v>
      </c>
      <c r="H67" s="17" t="s">
        <v>220</v>
      </c>
      <c r="N67">
        <v>1</v>
      </c>
      <c r="O67">
        <v>1</v>
      </c>
      <c r="P67">
        <v>1</v>
      </c>
      <c r="Q67">
        <v>1</v>
      </c>
      <c r="R67">
        <v>1</v>
      </c>
      <c r="S67">
        <v>1</v>
      </c>
      <c r="T67">
        <v>1</v>
      </c>
      <c r="U67">
        <v>1</v>
      </c>
      <c r="AA67">
        <v>1</v>
      </c>
      <c r="AJ67">
        <v>1</v>
      </c>
      <c r="AN67">
        <v>1</v>
      </c>
      <c r="AV67">
        <v>1</v>
      </c>
      <c r="BA67">
        <v>1</v>
      </c>
      <c r="DD67">
        <v>1</v>
      </c>
      <c r="DR67">
        <v>1</v>
      </c>
      <c r="EF67">
        <v>1</v>
      </c>
      <c r="FV67" s="18">
        <f t="shared" si="531"/>
        <v>6.0331825037707391E-2</v>
      </c>
    </row>
    <row r="68" spans="1:178" ht="14.25" customHeight="1" x14ac:dyDescent="0.25">
      <c r="A68" s="86" t="s">
        <v>273</v>
      </c>
      <c r="B68">
        <v>9</v>
      </c>
      <c r="C68">
        <v>100</v>
      </c>
      <c r="D68" s="19" t="s">
        <v>11</v>
      </c>
      <c r="E68" s="19" t="s">
        <v>12</v>
      </c>
      <c r="F68" s="8" t="s">
        <v>197</v>
      </c>
      <c r="G68" s="8" t="s">
        <v>201</v>
      </c>
      <c r="H68" s="8" t="s">
        <v>195</v>
      </c>
      <c r="M68">
        <v>1</v>
      </c>
      <c r="Y68">
        <v>1</v>
      </c>
      <c r="Z68">
        <v>1</v>
      </c>
      <c r="AL68">
        <v>1</v>
      </c>
      <c r="AM68">
        <v>1</v>
      </c>
      <c r="AY68">
        <v>1</v>
      </c>
      <c r="AZ68">
        <v>1</v>
      </c>
      <c r="BM68">
        <v>1</v>
      </c>
      <c r="BN68">
        <v>1</v>
      </c>
      <c r="CA68">
        <v>1</v>
      </c>
      <c r="CB68">
        <v>1</v>
      </c>
      <c r="CO68">
        <v>1</v>
      </c>
      <c r="CP68">
        <v>1</v>
      </c>
      <c r="DC68">
        <v>1</v>
      </c>
      <c r="DQ68">
        <v>1</v>
      </c>
      <c r="EE68">
        <v>1</v>
      </c>
      <c r="ES68">
        <v>1</v>
      </c>
      <c r="FV68" s="18">
        <f t="shared" si="531"/>
        <v>6.3348416289592757E-2</v>
      </c>
    </row>
    <row r="69" spans="1:178" ht="14.25" customHeight="1" x14ac:dyDescent="0.25">
      <c r="A69" s="86" t="s">
        <v>273</v>
      </c>
      <c r="B69">
        <v>9</v>
      </c>
      <c r="C69">
        <v>100</v>
      </c>
      <c r="D69" s="19" t="s">
        <v>11</v>
      </c>
      <c r="E69" s="19" t="s">
        <v>12</v>
      </c>
      <c r="F69" s="8" t="s">
        <v>197</v>
      </c>
      <c r="G69" s="8" t="s">
        <v>201</v>
      </c>
      <c r="H69" s="8" t="s">
        <v>196</v>
      </c>
      <c r="I69">
        <f>1-SUM(I66:I68)</f>
        <v>0</v>
      </c>
      <c r="J69">
        <f t="shared" ref="J69:BU69" si="535">1-SUM(J66:J68)</f>
        <v>0</v>
      </c>
      <c r="K69">
        <f t="shared" si="535"/>
        <v>0</v>
      </c>
      <c r="L69">
        <f t="shared" si="535"/>
        <v>0</v>
      </c>
      <c r="M69">
        <f t="shared" si="535"/>
        <v>0</v>
      </c>
      <c r="N69">
        <f t="shared" si="535"/>
        <v>0</v>
      </c>
      <c r="O69">
        <f t="shared" si="535"/>
        <v>0</v>
      </c>
      <c r="P69">
        <f t="shared" si="535"/>
        <v>0</v>
      </c>
      <c r="Q69">
        <f t="shared" si="535"/>
        <v>0</v>
      </c>
      <c r="R69">
        <f t="shared" si="535"/>
        <v>0</v>
      </c>
      <c r="S69">
        <f t="shared" si="535"/>
        <v>0</v>
      </c>
      <c r="T69">
        <f t="shared" si="535"/>
        <v>0</v>
      </c>
      <c r="U69">
        <f t="shared" si="535"/>
        <v>0</v>
      </c>
      <c r="V69">
        <f t="shared" si="535"/>
        <v>0</v>
      </c>
      <c r="W69">
        <f t="shared" si="535"/>
        <v>0</v>
      </c>
      <c r="X69">
        <f t="shared" si="535"/>
        <v>0</v>
      </c>
      <c r="Y69">
        <f t="shared" si="535"/>
        <v>0</v>
      </c>
      <c r="Z69">
        <f t="shared" si="535"/>
        <v>0</v>
      </c>
      <c r="AA69">
        <f t="shared" si="535"/>
        <v>0</v>
      </c>
      <c r="AB69">
        <f t="shared" si="535"/>
        <v>1</v>
      </c>
      <c r="AC69">
        <f t="shared" si="535"/>
        <v>1</v>
      </c>
      <c r="AD69">
        <f t="shared" si="535"/>
        <v>1</v>
      </c>
      <c r="AE69">
        <f t="shared" si="535"/>
        <v>1</v>
      </c>
      <c r="AF69">
        <f t="shared" si="535"/>
        <v>1</v>
      </c>
      <c r="AG69">
        <f t="shared" si="535"/>
        <v>1</v>
      </c>
      <c r="AH69">
        <f t="shared" si="535"/>
        <v>1</v>
      </c>
      <c r="AI69">
        <f t="shared" si="535"/>
        <v>0</v>
      </c>
      <c r="AJ69">
        <f t="shared" si="535"/>
        <v>0</v>
      </c>
      <c r="AK69">
        <f t="shared" si="535"/>
        <v>0</v>
      </c>
      <c r="AL69">
        <f t="shared" si="535"/>
        <v>0</v>
      </c>
      <c r="AM69">
        <f t="shared" si="535"/>
        <v>0</v>
      </c>
      <c r="AN69">
        <f t="shared" si="535"/>
        <v>0</v>
      </c>
      <c r="AO69">
        <f t="shared" si="535"/>
        <v>1</v>
      </c>
      <c r="AP69">
        <f t="shared" si="535"/>
        <v>1</v>
      </c>
      <c r="AQ69">
        <f t="shared" si="535"/>
        <v>1</v>
      </c>
      <c r="AR69">
        <f t="shared" si="535"/>
        <v>1</v>
      </c>
      <c r="AS69">
        <f t="shared" si="535"/>
        <v>1</v>
      </c>
      <c r="AT69">
        <f t="shared" si="535"/>
        <v>1</v>
      </c>
      <c r="AU69">
        <f t="shared" si="535"/>
        <v>1</v>
      </c>
      <c r="AV69">
        <f t="shared" si="535"/>
        <v>0</v>
      </c>
      <c r="AW69">
        <f t="shared" si="535"/>
        <v>1</v>
      </c>
      <c r="AX69">
        <f t="shared" si="535"/>
        <v>1</v>
      </c>
      <c r="AY69">
        <f t="shared" si="535"/>
        <v>0</v>
      </c>
      <c r="AZ69">
        <f t="shared" si="535"/>
        <v>0</v>
      </c>
      <c r="BA69">
        <f t="shared" si="535"/>
        <v>0</v>
      </c>
      <c r="BB69">
        <f t="shared" si="535"/>
        <v>1</v>
      </c>
      <c r="BC69">
        <f t="shared" si="535"/>
        <v>1</v>
      </c>
      <c r="BD69">
        <f t="shared" si="535"/>
        <v>1</v>
      </c>
      <c r="BE69">
        <f t="shared" si="535"/>
        <v>1</v>
      </c>
      <c r="BF69">
        <f t="shared" si="535"/>
        <v>1</v>
      </c>
      <c r="BG69">
        <f t="shared" si="535"/>
        <v>1</v>
      </c>
      <c r="BH69">
        <f t="shared" si="535"/>
        <v>1</v>
      </c>
      <c r="BI69">
        <f t="shared" si="535"/>
        <v>1</v>
      </c>
      <c r="BJ69">
        <f t="shared" si="535"/>
        <v>1</v>
      </c>
      <c r="BK69">
        <f t="shared" si="535"/>
        <v>1</v>
      </c>
      <c r="BL69">
        <f t="shared" si="535"/>
        <v>1</v>
      </c>
      <c r="BM69">
        <f t="shared" si="535"/>
        <v>0</v>
      </c>
      <c r="BN69">
        <f t="shared" si="535"/>
        <v>0</v>
      </c>
      <c r="BO69">
        <f t="shared" si="535"/>
        <v>1</v>
      </c>
      <c r="BP69">
        <f t="shared" si="535"/>
        <v>1</v>
      </c>
      <c r="BQ69">
        <f t="shared" si="535"/>
        <v>1</v>
      </c>
      <c r="BR69">
        <f t="shared" si="535"/>
        <v>1</v>
      </c>
      <c r="BS69">
        <f t="shared" si="535"/>
        <v>1</v>
      </c>
      <c r="BT69">
        <f t="shared" si="535"/>
        <v>1</v>
      </c>
      <c r="BU69">
        <f t="shared" si="535"/>
        <v>1</v>
      </c>
      <c r="BV69">
        <f t="shared" ref="BV69:EG69" si="536">1-SUM(BV66:BV68)</f>
        <v>1</v>
      </c>
      <c r="BW69">
        <f t="shared" si="536"/>
        <v>1</v>
      </c>
      <c r="BX69">
        <f t="shared" si="536"/>
        <v>1</v>
      </c>
      <c r="BY69">
        <f t="shared" si="536"/>
        <v>1</v>
      </c>
      <c r="BZ69">
        <f t="shared" si="536"/>
        <v>1</v>
      </c>
      <c r="CA69">
        <f t="shared" si="536"/>
        <v>0</v>
      </c>
      <c r="CB69">
        <f t="shared" si="536"/>
        <v>0</v>
      </c>
      <c r="CC69">
        <f t="shared" si="536"/>
        <v>1</v>
      </c>
      <c r="CD69">
        <f t="shared" si="536"/>
        <v>1</v>
      </c>
      <c r="CE69">
        <f t="shared" si="536"/>
        <v>1</v>
      </c>
      <c r="CF69">
        <f t="shared" si="536"/>
        <v>1</v>
      </c>
      <c r="CG69">
        <f t="shared" si="536"/>
        <v>1</v>
      </c>
      <c r="CH69">
        <f t="shared" si="536"/>
        <v>1</v>
      </c>
      <c r="CI69">
        <f t="shared" si="536"/>
        <v>1</v>
      </c>
      <c r="CJ69">
        <f t="shared" si="536"/>
        <v>1</v>
      </c>
      <c r="CK69">
        <f t="shared" si="536"/>
        <v>1</v>
      </c>
      <c r="CL69">
        <f t="shared" si="536"/>
        <v>1</v>
      </c>
      <c r="CM69">
        <f t="shared" si="536"/>
        <v>1</v>
      </c>
      <c r="CN69">
        <f t="shared" si="536"/>
        <v>1</v>
      </c>
      <c r="CO69">
        <f t="shared" si="536"/>
        <v>0</v>
      </c>
      <c r="CP69">
        <f t="shared" si="536"/>
        <v>0</v>
      </c>
      <c r="CQ69">
        <f t="shared" si="536"/>
        <v>1</v>
      </c>
      <c r="CR69">
        <f t="shared" si="536"/>
        <v>1</v>
      </c>
      <c r="CS69">
        <f t="shared" si="536"/>
        <v>1</v>
      </c>
      <c r="CT69">
        <f t="shared" si="536"/>
        <v>1</v>
      </c>
      <c r="CU69">
        <f t="shared" si="536"/>
        <v>1</v>
      </c>
      <c r="CV69">
        <f t="shared" si="536"/>
        <v>1</v>
      </c>
      <c r="CW69">
        <f t="shared" si="536"/>
        <v>1</v>
      </c>
      <c r="CX69">
        <f t="shared" si="536"/>
        <v>1</v>
      </c>
      <c r="CY69">
        <f t="shared" si="536"/>
        <v>1</v>
      </c>
      <c r="CZ69">
        <f t="shared" si="536"/>
        <v>1</v>
      </c>
      <c r="DA69">
        <f t="shared" si="536"/>
        <v>1</v>
      </c>
      <c r="DB69">
        <f t="shared" si="536"/>
        <v>1</v>
      </c>
      <c r="DC69">
        <f t="shared" si="536"/>
        <v>0</v>
      </c>
      <c r="DD69">
        <f t="shared" si="536"/>
        <v>0</v>
      </c>
      <c r="DE69">
        <f t="shared" si="536"/>
        <v>1</v>
      </c>
      <c r="DF69">
        <f t="shared" si="536"/>
        <v>1</v>
      </c>
      <c r="DG69">
        <f t="shared" si="536"/>
        <v>1</v>
      </c>
      <c r="DH69">
        <f t="shared" si="536"/>
        <v>1</v>
      </c>
      <c r="DI69">
        <f t="shared" si="536"/>
        <v>1</v>
      </c>
      <c r="DJ69">
        <f t="shared" si="536"/>
        <v>1</v>
      </c>
      <c r="DK69">
        <f t="shared" si="536"/>
        <v>1</v>
      </c>
      <c r="DL69">
        <f t="shared" si="536"/>
        <v>1</v>
      </c>
      <c r="DM69">
        <f t="shared" si="536"/>
        <v>1</v>
      </c>
      <c r="DN69">
        <f t="shared" si="536"/>
        <v>1</v>
      </c>
      <c r="DO69">
        <f t="shared" si="536"/>
        <v>1</v>
      </c>
      <c r="DP69">
        <f t="shared" si="536"/>
        <v>1</v>
      </c>
      <c r="DQ69">
        <f t="shared" si="536"/>
        <v>0</v>
      </c>
      <c r="DR69">
        <f t="shared" si="536"/>
        <v>0</v>
      </c>
      <c r="DS69">
        <f t="shared" si="536"/>
        <v>1</v>
      </c>
      <c r="DT69">
        <f t="shared" si="536"/>
        <v>1</v>
      </c>
      <c r="DU69">
        <f t="shared" si="536"/>
        <v>1</v>
      </c>
      <c r="DV69">
        <f t="shared" si="536"/>
        <v>1</v>
      </c>
      <c r="DW69">
        <f t="shared" si="536"/>
        <v>1</v>
      </c>
      <c r="DX69">
        <f t="shared" si="536"/>
        <v>1</v>
      </c>
      <c r="DY69">
        <f t="shared" si="536"/>
        <v>1</v>
      </c>
      <c r="DZ69">
        <f t="shared" si="536"/>
        <v>1</v>
      </c>
      <c r="EA69">
        <f t="shared" si="536"/>
        <v>1</v>
      </c>
      <c r="EB69">
        <f t="shared" si="536"/>
        <v>1</v>
      </c>
      <c r="EC69">
        <f t="shared" si="536"/>
        <v>1</v>
      </c>
      <c r="ED69">
        <f t="shared" si="536"/>
        <v>1</v>
      </c>
      <c r="EE69">
        <f t="shared" si="536"/>
        <v>0</v>
      </c>
      <c r="EF69">
        <f t="shared" si="536"/>
        <v>0</v>
      </c>
      <c r="EG69">
        <f t="shared" si="536"/>
        <v>1</v>
      </c>
      <c r="EH69">
        <f t="shared" ref="EH69:FU69" si="537">1-SUM(EH66:EH68)</f>
        <v>1</v>
      </c>
      <c r="EI69">
        <f t="shared" si="537"/>
        <v>1</v>
      </c>
      <c r="EJ69">
        <f t="shared" si="537"/>
        <v>1</v>
      </c>
      <c r="EK69">
        <f t="shared" si="537"/>
        <v>1</v>
      </c>
      <c r="EL69">
        <f t="shared" si="537"/>
        <v>1</v>
      </c>
      <c r="EM69">
        <f t="shared" si="537"/>
        <v>1</v>
      </c>
      <c r="EN69">
        <f t="shared" si="537"/>
        <v>1</v>
      </c>
      <c r="EO69">
        <f t="shared" si="537"/>
        <v>1</v>
      </c>
      <c r="EP69">
        <f t="shared" si="537"/>
        <v>1</v>
      </c>
      <c r="EQ69">
        <f t="shared" si="537"/>
        <v>1</v>
      </c>
      <c r="ER69">
        <f t="shared" si="537"/>
        <v>1</v>
      </c>
      <c r="ES69">
        <f t="shared" si="537"/>
        <v>0</v>
      </c>
      <c r="ET69">
        <f t="shared" si="537"/>
        <v>1</v>
      </c>
      <c r="EU69">
        <f t="shared" si="537"/>
        <v>1</v>
      </c>
      <c r="EV69">
        <f t="shared" si="537"/>
        <v>1</v>
      </c>
      <c r="EW69">
        <f t="shared" si="537"/>
        <v>1</v>
      </c>
      <c r="EX69">
        <f t="shared" si="537"/>
        <v>1</v>
      </c>
      <c r="EY69">
        <f t="shared" si="537"/>
        <v>1</v>
      </c>
      <c r="EZ69">
        <f t="shared" si="537"/>
        <v>1</v>
      </c>
      <c r="FA69">
        <f t="shared" si="537"/>
        <v>1</v>
      </c>
      <c r="FB69">
        <f t="shared" si="537"/>
        <v>1</v>
      </c>
      <c r="FC69">
        <f t="shared" si="537"/>
        <v>1</v>
      </c>
      <c r="FD69">
        <f t="shared" si="537"/>
        <v>1</v>
      </c>
      <c r="FE69">
        <f t="shared" si="537"/>
        <v>1</v>
      </c>
      <c r="FF69">
        <f t="shared" si="537"/>
        <v>1</v>
      </c>
      <c r="FG69">
        <f t="shared" si="537"/>
        <v>1</v>
      </c>
      <c r="FH69">
        <f t="shared" si="537"/>
        <v>1</v>
      </c>
      <c r="FI69">
        <f t="shared" si="537"/>
        <v>1</v>
      </c>
      <c r="FJ69">
        <f t="shared" si="537"/>
        <v>1</v>
      </c>
      <c r="FK69">
        <f t="shared" si="537"/>
        <v>1</v>
      </c>
      <c r="FL69">
        <f t="shared" si="537"/>
        <v>1</v>
      </c>
      <c r="FM69">
        <f t="shared" si="537"/>
        <v>1</v>
      </c>
      <c r="FN69">
        <f t="shared" si="537"/>
        <v>1</v>
      </c>
      <c r="FO69">
        <f t="shared" si="537"/>
        <v>1</v>
      </c>
      <c r="FP69">
        <f t="shared" si="537"/>
        <v>1</v>
      </c>
      <c r="FQ69">
        <f t="shared" si="537"/>
        <v>1</v>
      </c>
      <c r="FR69">
        <f t="shared" si="537"/>
        <v>1</v>
      </c>
      <c r="FS69">
        <f t="shared" si="537"/>
        <v>1</v>
      </c>
      <c r="FT69">
        <f t="shared" si="537"/>
        <v>1</v>
      </c>
      <c r="FU69">
        <f t="shared" si="537"/>
        <v>1</v>
      </c>
      <c r="FV69" s="18">
        <f t="shared" ref="FV69:FV83" si="538">SUMPRODUCT(I69:FU69,$I$1:$FU$1)/(SUM($I$1:$FU$1))</f>
        <v>0.83257918552036203</v>
      </c>
    </row>
    <row r="70" spans="1:178" ht="14.25" customHeight="1" x14ac:dyDescent="0.25">
      <c r="A70" s="86" t="s">
        <v>273</v>
      </c>
      <c r="B70">
        <v>9</v>
      </c>
      <c r="C70">
        <v>100</v>
      </c>
      <c r="D70" s="19" t="s">
        <v>10</v>
      </c>
      <c r="E70" s="17" t="s">
        <v>15</v>
      </c>
      <c r="F70" s="8" t="s">
        <v>197</v>
      </c>
      <c r="G70" s="8" t="s">
        <v>201</v>
      </c>
      <c r="H70" s="8" t="s">
        <v>194</v>
      </c>
      <c r="I70">
        <v>1</v>
      </c>
      <c r="J70">
        <v>1</v>
      </c>
      <c r="V70">
        <v>1</v>
      </c>
      <c r="W70">
        <v>1</v>
      </c>
      <c r="AK70">
        <v>1</v>
      </c>
      <c r="FV70" s="18">
        <f t="shared" si="538"/>
        <v>2.564102564102564E-2</v>
      </c>
    </row>
    <row r="71" spans="1:178" ht="14.25" customHeight="1" x14ac:dyDescent="0.25">
      <c r="A71" s="86" t="s">
        <v>273</v>
      </c>
      <c r="B71">
        <v>9</v>
      </c>
      <c r="C71">
        <v>100</v>
      </c>
      <c r="D71" s="19" t="s">
        <v>10</v>
      </c>
      <c r="E71" s="17" t="s">
        <v>15</v>
      </c>
      <c r="F71" s="8" t="s">
        <v>197</v>
      </c>
      <c r="G71" s="8" t="s">
        <v>201</v>
      </c>
      <c r="H71" s="17" t="s">
        <v>220</v>
      </c>
      <c r="R71">
        <v>1</v>
      </c>
      <c r="S71">
        <v>1</v>
      </c>
      <c r="AI71">
        <v>1</v>
      </c>
      <c r="AJ71">
        <v>1</v>
      </c>
      <c r="AV71">
        <v>1</v>
      </c>
      <c r="DD71">
        <v>1</v>
      </c>
      <c r="FV71" s="18">
        <f t="shared" si="538"/>
        <v>3.6199095022624438E-2</v>
      </c>
    </row>
    <row r="72" spans="1:178" ht="14.25" customHeight="1" x14ac:dyDescent="0.25">
      <c r="A72" s="86" t="s">
        <v>273</v>
      </c>
      <c r="B72">
        <v>9</v>
      </c>
      <c r="C72">
        <v>100</v>
      </c>
      <c r="D72" s="19" t="s">
        <v>10</v>
      </c>
      <c r="E72" s="17" t="s">
        <v>15</v>
      </c>
      <c r="F72" s="8" t="s">
        <v>197</v>
      </c>
      <c r="G72" s="8" t="s">
        <v>201</v>
      </c>
      <c r="H72" s="8" t="s">
        <v>195</v>
      </c>
      <c r="K72">
        <v>1</v>
      </c>
      <c r="L72">
        <v>1</v>
      </c>
      <c r="M72">
        <v>1</v>
      </c>
      <c r="X72">
        <v>1</v>
      </c>
      <c r="Y72">
        <v>1</v>
      </c>
      <c r="Z72">
        <v>1</v>
      </c>
      <c r="AL72">
        <v>1</v>
      </c>
      <c r="AM72">
        <v>1</v>
      </c>
      <c r="AY72">
        <v>1</v>
      </c>
      <c r="AZ72">
        <v>1</v>
      </c>
      <c r="BM72">
        <v>1</v>
      </c>
      <c r="BN72">
        <v>1</v>
      </c>
      <c r="CA72">
        <v>1</v>
      </c>
      <c r="CB72">
        <v>1</v>
      </c>
      <c r="CO72">
        <v>1</v>
      </c>
      <c r="CP72">
        <v>1</v>
      </c>
      <c r="DC72">
        <v>1</v>
      </c>
      <c r="DQ72">
        <v>1</v>
      </c>
      <c r="EE72">
        <v>1</v>
      </c>
      <c r="ES72">
        <v>1</v>
      </c>
      <c r="FG72">
        <v>1</v>
      </c>
      <c r="FU72">
        <v>1</v>
      </c>
      <c r="FV72" s="18">
        <f t="shared" si="538"/>
        <v>8.1447963800904979E-2</v>
      </c>
    </row>
    <row r="73" spans="1:178" ht="14.25" customHeight="1" x14ac:dyDescent="0.25">
      <c r="A73" s="86" t="s">
        <v>273</v>
      </c>
      <c r="B73">
        <v>9</v>
      </c>
      <c r="C73">
        <v>100</v>
      </c>
      <c r="D73" s="19" t="s">
        <v>10</v>
      </c>
      <c r="E73" s="17" t="s">
        <v>15</v>
      </c>
      <c r="F73" s="8" t="s">
        <v>197</v>
      </c>
      <c r="G73" s="8" t="s">
        <v>201</v>
      </c>
      <c r="H73" s="8" t="s">
        <v>196</v>
      </c>
      <c r="I73">
        <f>1-SUM(I70:I72)</f>
        <v>0</v>
      </c>
      <c r="J73">
        <f t="shared" ref="J73:BU73" si="539">1-SUM(J70:J72)</f>
        <v>0</v>
      </c>
      <c r="K73">
        <f t="shared" si="539"/>
        <v>0</v>
      </c>
      <c r="L73">
        <f t="shared" si="539"/>
        <v>0</v>
      </c>
      <c r="M73">
        <f t="shared" si="539"/>
        <v>0</v>
      </c>
      <c r="N73">
        <f t="shared" si="539"/>
        <v>1</v>
      </c>
      <c r="O73">
        <f t="shared" si="539"/>
        <v>1</v>
      </c>
      <c r="P73">
        <f t="shared" si="539"/>
        <v>1</v>
      </c>
      <c r="Q73">
        <f t="shared" si="539"/>
        <v>1</v>
      </c>
      <c r="R73">
        <f t="shared" si="539"/>
        <v>0</v>
      </c>
      <c r="S73">
        <f t="shared" si="539"/>
        <v>0</v>
      </c>
      <c r="T73">
        <f t="shared" si="539"/>
        <v>1</v>
      </c>
      <c r="U73">
        <f t="shared" si="539"/>
        <v>1</v>
      </c>
      <c r="V73">
        <f t="shared" si="539"/>
        <v>0</v>
      </c>
      <c r="W73">
        <f t="shared" si="539"/>
        <v>0</v>
      </c>
      <c r="X73">
        <f t="shared" si="539"/>
        <v>0</v>
      </c>
      <c r="Y73">
        <f t="shared" si="539"/>
        <v>0</v>
      </c>
      <c r="Z73">
        <f t="shared" si="539"/>
        <v>0</v>
      </c>
      <c r="AA73">
        <f t="shared" si="539"/>
        <v>1</v>
      </c>
      <c r="AB73">
        <f t="shared" si="539"/>
        <v>1</v>
      </c>
      <c r="AC73">
        <f t="shared" si="539"/>
        <v>1</v>
      </c>
      <c r="AD73">
        <f t="shared" si="539"/>
        <v>1</v>
      </c>
      <c r="AE73">
        <f t="shared" si="539"/>
        <v>1</v>
      </c>
      <c r="AF73">
        <f t="shared" si="539"/>
        <v>1</v>
      </c>
      <c r="AG73">
        <f t="shared" si="539"/>
        <v>1</v>
      </c>
      <c r="AH73">
        <f t="shared" si="539"/>
        <v>1</v>
      </c>
      <c r="AI73">
        <f t="shared" si="539"/>
        <v>0</v>
      </c>
      <c r="AJ73">
        <f t="shared" si="539"/>
        <v>0</v>
      </c>
      <c r="AK73">
        <f t="shared" si="539"/>
        <v>0</v>
      </c>
      <c r="AL73">
        <f t="shared" si="539"/>
        <v>0</v>
      </c>
      <c r="AM73">
        <f t="shared" si="539"/>
        <v>0</v>
      </c>
      <c r="AN73">
        <f t="shared" si="539"/>
        <v>1</v>
      </c>
      <c r="AO73">
        <f t="shared" si="539"/>
        <v>1</v>
      </c>
      <c r="AP73">
        <f t="shared" si="539"/>
        <v>1</v>
      </c>
      <c r="AQ73">
        <f t="shared" si="539"/>
        <v>1</v>
      </c>
      <c r="AR73">
        <f t="shared" si="539"/>
        <v>1</v>
      </c>
      <c r="AS73">
        <f t="shared" si="539"/>
        <v>1</v>
      </c>
      <c r="AT73">
        <f t="shared" si="539"/>
        <v>1</v>
      </c>
      <c r="AU73">
        <f t="shared" si="539"/>
        <v>1</v>
      </c>
      <c r="AV73">
        <f t="shared" si="539"/>
        <v>0</v>
      </c>
      <c r="AW73">
        <f t="shared" si="539"/>
        <v>1</v>
      </c>
      <c r="AX73">
        <f t="shared" si="539"/>
        <v>1</v>
      </c>
      <c r="AY73">
        <f t="shared" si="539"/>
        <v>0</v>
      </c>
      <c r="AZ73">
        <f t="shared" si="539"/>
        <v>0</v>
      </c>
      <c r="BA73">
        <f t="shared" si="539"/>
        <v>1</v>
      </c>
      <c r="BB73">
        <f t="shared" si="539"/>
        <v>1</v>
      </c>
      <c r="BC73">
        <f t="shared" si="539"/>
        <v>1</v>
      </c>
      <c r="BD73">
        <f t="shared" si="539"/>
        <v>1</v>
      </c>
      <c r="BE73">
        <f t="shared" si="539"/>
        <v>1</v>
      </c>
      <c r="BF73">
        <f t="shared" si="539"/>
        <v>1</v>
      </c>
      <c r="BG73">
        <f t="shared" si="539"/>
        <v>1</v>
      </c>
      <c r="BH73">
        <f t="shared" si="539"/>
        <v>1</v>
      </c>
      <c r="BI73">
        <f t="shared" si="539"/>
        <v>1</v>
      </c>
      <c r="BJ73">
        <f t="shared" si="539"/>
        <v>1</v>
      </c>
      <c r="BK73">
        <f t="shared" si="539"/>
        <v>1</v>
      </c>
      <c r="BL73">
        <f t="shared" si="539"/>
        <v>1</v>
      </c>
      <c r="BM73">
        <f t="shared" si="539"/>
        <v>0</v>
      </c>
      <c r="BN73">
        <f t="shared" si="539"/>
        <v>0</v>
      </c>
      <c r="BO73">
        <f t="shared" si="539"/>
        <v>1</v>
      </c>
      <c r="BP73">
        <f t="shared" si="539"/>
        <v>1</v>
      </c>
      <c r="BQ73">
        <f t="shared" si="539"/>
        <v>1</v>
      </c>
      <c r="BR73">
        <f t="shared" si="539"/>
        <v>1</v>
      </c>
      <c r="BS73">
        <f t="shared" si="539"/>
        <v>1</v>
      </c>
      <c r="BT73">
        <f t="shared" si="539"/>
        <v>1</v>
      </c>
      <c r="BU73">
        <f t="shared" si="539"/>
        <v>1</v>
      </c>
      <c r="BV73">
        <f t="shared" ref="BV73:EG73" si="540">1-SUM(BV70:BV72)</f>
        <v>1</v>
      </c>
      <c r="BW73">
        <f t="shared" si="540"/>
        <v>1</v>
      </c>
      <c r="BX73">
        <f t="shared" si="540"/>
        <v>1</v>
      </c>
      <c r="BY73">
        <f t="shared" si="540"/>
        <v>1</v>
      </c>
      <c r="BZ73">
        <f t="shared" si="540"/>
        <v>1</v>
      </c>
      <c r="CA73">
        <f t="shared" si="540"/>
        <v>0</v>
      </c>
      <c r="CB73">
        <f t="shared" si="540"/>
        <v>0</v>
      </c>
      <c r="CC73">
        <f t="shared" si="540"/>
        <v>1</v>
      </c>
      <c r="CD73">
        <f t="shared" si="540"/>
        <v>1</v>
      </c>
      <c r="CE73">
        <f t="shared" si="540"/>
        <v>1</v>
      </c>
      <c r="CF73">
        <f t="shared" si="540"/>
        <v>1</v>
      </c>
      <c r="CG73">
        <f t="shared" si="540"/>
        <v>1</v>
      </c>
      <c r="CH73">
        <f t="shared" si="540"/>
        <v>1</v>
      </c>
      <c r="CI73">
        <f t="shared" si="540"/>
        <v>1</v>
      </c>
      <c r="CJ73">
        <f t="shared" si="540"/>
        <v>1</v>
      </c>
      <c r="CK73">
        <f t="shared" si="540"/>
        <v>1</v>
      </c>
      <c r="CL73">
        <f t="shared" si="540"/>
        <v>1</v>
      </c>
      <c r="CM73">
        <f t="shared" si="540"/>
        <v>1</v>
      </c>
      <c r="CN73">
        <f t="shared" si="540"/>
        <v>1</v>
      </c>
      <c r="CO73">
        <f t="shared" si="540"/>
        <v>0</v>
      </c>
      <c r="CP73">
        <f t="shared" si="540"/>
        <v>0</v>
      </c>
      <c r="CQ73">
        <f t="shared" si="540"/>
        <v>1</v>
      </c>
      <c r="CR73">
        <f t="shared" si="540"/>
        <v>1</v>
      </c>
      <c r="CS73">
        <f t="shared" si="540"/>
        <v>1</v>
      </c>
      <c r="CT73">
        <f t="shared" si="540"/>
        <v>1</v>
      </c>
      <c r="CU73">
        <f t="shared" si="540"/>
        <v>1</v>
      </c>
      <c r="CV73">
        <f t="shared" si="540"/>
        <v>1</v>
      </c>
      <c r="CW73">
        <f t="shared" si="540"/>
        <v>1</v>
      </c>
      <c r="CX73">
        <f t="shared" si="540"/>
        <v>1</v>
      </c>
      <c r="CY73">
        <f t="shared" si="540"/>
        <v>1</v>
      </c>
      <c r="CZ73">
        <f t="shared" si="540"/>
        <v>1</v>
      </c>
      <c r="DA73">
        <f t="shared" si="540"/>
        <v>1</v>
      </c>
      <c r="DB73">
        <f t="shared" si="540"/>
        <v>1</v>
      </c>
      <c r="DC73">
        <f t="shared" si="540"/>
        <v>0</v>
      </c>
      <c r="DD73">
        <f t="shared" si="540"/>
        <v>0</v>
      </c>
      <c r="DE73">
        <f t="shared" si="540"/>
        <v>1</v>
      </c>
      <c r="DF73">
        <f t="shared" si="540"/>
        <v>1</v>
      </c>
      <c r="DG73">
        <f t="shared" si="540"/>
        <v>1</v>
      </c>
      <c r="DH73">
        <f t="shared" si="540"/>
        <v>1</v>
      </c>
      <c r="DI73">
        <f t="shared" si="540"/>
        <v>1</v>
      </c>
      <c r="DJ73">
        <f t="shared" si="540"/>
        <v>1</v>
      </c>
      <c r="DK73">
        <f t="shared" si="540"/>
        <v>1</v>
      </c>
      <c r="DL73">
        <f t="shared" si="540"/>
        <v>1</v>
      </c>
      <c r="DM73">
        <f t="shared" si="540"/>
        <v>1</v>
      </c>
      <c r="DN73">
        <f t="shared" si="540"/>
        <v>1</v>
      </c>
      <c r="DO73">
        <f t="shared" si="540"/>
        <v>1</v>
      </c>
      <c r="DP73">
        <f t="shared" si="540"/>
        <v>1</v>
      </c>
      <c r="DQ73">
        <f t="shared" si="540"/>
        <v>0</v>
      </c>
      <c r="DR73">
        <f t="shared" si="540"/>
        <v>1</v>
      </c>
      <c r="DS73">
        <f t="shared" si="540"/>
        <v>1</v>
      </c>
      <c r="DT73">
        <f t="shared" si="540"/>
        <v>1</v>
      </c>
      <c r="DU73">
        <f t="shared" si="540"/>
        <v>1</v>
      </c>
      <c r="DV73">
        <f t="shared" si="540"/>
        <v>1</v>
      </c>
      <c r="DW73">
        <f t="shared" si="540"/>
        <v>1</v>
      </c>
      <c r="DX73">
        <f t="shared" si="540"/>
        <v>1</v>
      </c>
      <c r="DY73">
        <f t="shared" si="540"/>
        <v>1</v>
      </c>
      <c r="DZ73">
        <f t="shared" si="540"/>
        <v>1</v>
      </c>
      <c r="EA73">
        <f t="shared" si="540"/>
        <v>1</v>
      </c>
      <c r="EB73">
        <f t="shared" si="540"/>
        <v>1</v>
      </c>
      <c r="EC73">
        <f t="shared" si="540"/>
        <v>1</v>
      </c>
      <c r="ED73">
        <f t="shared" si="540"/>
        <v>1</v>
      </c>
      <c r="EE73">
        <f t="shared" si="540"/>
        <v>0</v>
      </c>
      <c r="EF73">
        <f t="shared" si="540"/>
        <v>1</v>
      </c>
      <c r="EG73">
        <f t="shared" si="540"/>
        <v>1</v>
      </c>
      <c r="EH73">
        <f t="shared" ref="EH73:FU73" si="541">1-SUM(EH70:EH72)</f>
        <v>1</v>
      </c>
      <c r="EI73">
        <f t="shared" si="541"/>
        <v>1</v>
      </c>
      <c r="EJ73">
        <f t="shared" si="541"/>
        <v>1</v>
      </c>
      <c r="EK73">
        <f t="shared" si="541"/>
        <v>1</v>
      </c>
      <c r="EL73">
        <f t="shared" si="541"/>
        <v>1</v>
      </c>
      <c r="EM73">
        <f t="shared" si="541"/>
        <v>1</v>
      </c>
      <c r="EN73">
        <f t="shared" si="541"/>
        <v>1</v>
      </c>
      <c r="EO73">
        <f t="shared" si="541"/>
        <v>1</v>
      </c>
      <c r="EP73">
        <f t="shared" si="541"/>
        <v>1</v>
      </c>
      <c r="EQ73">
        <f t="shared" si="541"/>
        <v>1</v>
      </c>
      <c r="ER73">
        <f t="shared" si="541"/>
        <v>1</v>
      </c>
      <c r="ES73">
        <f t="shared" si="541"/>
        <v>0</v>
      </c>
      <c r="ET73">
        <f t="shared" si="541"/>
        <v>1</v>
      </c>
      <c r="EU73">
        <f t="shared" si="541"/>
        <v>1</v>
      </c>
      <c r="EV73">
        <f t="shared" si="541"/>
        <v>1</v>
      </c>
      <c r="EW73">
        <f t="shared" si="541"/>
        <v>1</v>
      </c>
      <c r="EX73">
        <f t="shared" si="541"/>
        <v>1</v>
      </c>
      <c r="EY73">
        <f t="shared" si="541"/>
        <v>1</v>
      </c>
      <c r="EZ73">
        <f t="shared" si="541"/>
        <v>1</v>
      </c>
      <c r="FA73">
        <f t="shared" si="541"/>
        <v>1</v>
      </c>
      <c r="FB73">
        <f t="shared" si="541"/>
        <v>1</v>
      </c>
      <c r="FC73">
        <f t="shared" si="541"/>
        <v>1</v>
      </c>
      <c r="FD73">
        <f t="shared" si="541"/>
        <v>1</v>
      </c>
      <c r="FE73">
        <f t="shared" si="541"/>
        <v>1</v>
      </c>
      <c r="FF73">
        <f t="shared" si="541"/>
        <v>1</v>
      </c>
      <c r="FG73">
        <f t="shared" si="541"/>
        <v>0</v>
      </c>
      <c r="FH73">
        <f t="shared" si="541"/>
        <v>1</v>
      </c>
      <c r="FI73">
        <f t="shared" si="541"/>
        <v>1</v>
      </c>
      <c r="FJ73">
        <f t="shared" si="541"/>
        <v>1</v>
      </c>
      <c r="FK73">
        <f t="shared" si="541"/>
        <v>1</v>
      </c>
      <c r="FL73">
        <f t="shared" si="541"/>
        <v>1</v>
      </c>
      <c r="FM73">
        <f t="shared" si="541"/>
        <v>1</v>
      </c>
      <c r="FN73">
        <f t="shared" si="541"/>
        <v>1</v>
      </c>
      <c r="FO73">
        <f t="shared" si="541"/>
        <v>1</v>
      </c>
      <c r="FP73">
        <f t="shared" si="541"/>
        <v>1</v>
      </c>
      <c r="FQ73">
        <f t="shared" si="541"/>
        <v>1</v>
      </c>
      <c r="FR73">
        <f t="shared" si="541"/>
        <v>1</v>
      </c>
      <c r="FS73">
        <f t="shared" si="541"/>
        <v>1</v>
      </c>
      <c r="FT73">
        <f t="shared" si="541"/>
        <v>1</v>
      </c>
      <c r="FU73">
        <f t="shared" si="541"/>
        <v>0</v>
      </c>
      <c r="FV73" s="18">
        <f t="shared" si="538"/>
        <v>0.8567119155354449</v>
      </c>
    </row>
    <row r="74" spans="1:178" ht="14.25" customHeight="1" x14ac:dyDescent="0.25">
      <c r="A74" s="86" t="s">
        <v>273</v>
      </c>
      <c r="B74">
        <v>9</v>
      </c>
      <c r="C74">
        <v>100</v>
      </c>
      <c r="D74" s="19" t="s">
        <v>10</v>
      </c>
      <c r="E74" s="17" t="s">
        <v>242</v>
      </c>
      <c r="F74" s="8" t="s">
        <v>197</v>
      </c>
      <c r="G74" s="8" t="s">
        <v>201</v>
      </c>
      <c r="H74" s="8" t="s">
        <v>194</v>
      </c>
      <c r="I74">
        <v>1</v>
      </c>
      <c r="J74">
        <v>1</v>
      </c>
      <c r="V74">
        <v>1</v>
      </c>
      <c r="W74">
        <v>1</v>
      </c>
      <c r="AK74">
        <v>1</v>
      </c>
      <c r="FV74" s="18">
        <f t="shared" si="538"/>
        <v>2.564102564102564E-2</v>
      </c>
    </row>
    <row r="75" spans="1:178" ht="14.25" customHeight="1" x14ac:dyDescent="0.25">
      <c r="A75" s="86" t="s">
        <v>273</v>
      </c>
      <c r="B75">
        <v>9</v>
      </c>
      <c r="C75">
        <v>100</v>
      </c>
      <c r="D75" s="19" t="s">
        <v>10</v>
      </c>
      <c r="E75" s="17" t="s">
        <v>242</v>
      </c>
      <c r="F75" s="8" t="s">
        <v>197</v>
      </c>
      <c r="G75" s="8" t="s">
        <v>201</v>
      </c>
      <c r="H75" s="17" t="s">
        <v>220</v>
      </c>
      <c r="R75">
        <v>1</v>
      </c>
      <c r="S75">
        <v>1</v>
      </c>
      <c r="T75">
        <v>1</v>
      </c>
      <c r="U75">
        <v>1</v>
      </c>
      <c r="AI75">
        <v>1</v>
      </c>
      <c r="AJ75">
        <v>1</v>
      </c>
      <c r="AV75">
        <v>1</v>
      </c>
      <c r="FV75" s="18">
        <f t="shared" si="538"/>
        <v>3.9215686274509803E-2</v>
      </c>
    </row>
    <row r="76" spans="1:178" ht="14.25" customHeight="1" x14ac:dyDescent="0.25">
      <c r="A76" s="86" t="s">
        <v>273</v>
      </c>
      <c r="B76">
        <v>9</v>
      </c>
      <c r="C76">
        <v>100</v>
      </c>
      <c r="D76" s="19" t="s">
        <v>10</v>
      </c>
      <c r="E76" s="17" t="s">
        <v>242</v>
      </c>
      <c r="F76" s="8" t="s">
        <v>197</v>
      </c>
      <c r="G76" s="8" t="s">
        <v>201</v>
      </c>
      <c r="H76" s="8" t="s">
        <v>195</v>
      </c>
      <c r="K76">
        <v>1</v>
      </c>
      <c r="L76">
        <v>1</v>
      </c>
      <c r="M76">
        <v>1</v>
      </c>
      <c r="X76">
        <v>1</v>
      </c>
      <c r="Y76">
        <v>1</v>
      </c>
      <c r="Z76">
        <v>1</v>
      </c>
      <c r="AL76">
        <v>1</v>
      </c>
      <c r="AM76">
        <v>1</v>
      </c>
      <c r="AY76">
        <v>1</v>
      </c>
      <c r="AZ76">
        <v>1</v>
      </c>
      <c r="BA76">
        <v>1</v>
      </c>
      <c r="BM76">
        <v>1</v>
      </c>
      <c r="BN76">
        <v>1</v>
      </c>
      <c r="CA76">
        <v>1</v>
      </c>
      <c r="CB76">
        <v>1</v>
      </c>
      <c r="CO76">
        <v>1</v>
      </c>
      <c r="CP76">
        <v>1</v>
      </c>
      <c r="DC76">
        <v>1</v>
      </c>
      <c r="DD76">
        <v>1</v>
      </c>
      <c r="DQ76">
        <v>1</v>
      </c>
      <c r="EE76">
        <v>1</v>
      </c>
      <c r="ES76">
        <v>1</v>
      </c>
      <c r="FG76">
        <v>1</v>
      </c>
      <c r="FU76">
        <v>1</v>
      </c>
      <c r="FV76" s="18">
        <f t="shared" si="538"/>
        <v>8.7481146304675711E-2</v>
      </c>
    </row>
    <row r="77" spans="1:178" ht="14.25" customHeight="1" x14ac:dyDescent="0.25">
      <c r="A77" s="86" t="s">
        <v>273</v>
      </c>
      <c r="B77">
        <v>9</v>
      </c>
      <c r="C77">
        <v>100</v>
      </c>
      <c r="D77" s="19" t="s">
        <v>10</v>
      </c>
      <c r="E77" s="17" t="s">
        <v>242</v>
      </c>
      <c r="F77" s="8" t="s">
        <v>197</v>
      </c>
      <c r="G77" s="8" t="s">
        <v>201</v>
      </c>
      <c r="H77" s="8" t="s">
        <v>196</v>
      </c>
      <c r="I77">
        <f>1-SUM(I74:I76)</f>
        <v>0</v>
      </c>
      <c r="J77">
        <f t="shared" ref="J77:BU77" si="542">1-SUM(J74:J76)</f>
        <v>0</v>
      </c>
      <c r="K77">
        <f t="shared" si="542"/>
        <v>0</v>
      </c>
      <c r="L77">
        <f t="shared" si="542"/>
        <v>0</v>
      </c>
      <c r="M77">
        <f t="shared" si="542"/>
        <v>0</v>
      </c>
      <c r="N77">
        <f t="shared" si="542"/>
        <v>1</v>
      </c>
      <c r="O77">
        <f t="shared" si="542"/>
        <v>1</v>
      </c>
      <c r="P77">
        <f t="shared" si="542"/>
        <v>1</v>
      </c>
      <c r="Q77">
        <f t="shared" si="542"/>
        <v>1</v>
      </c>
      <c r="R77">
        <f t="shared" si="542"/>
        <v>0</v>
      </c>
      <c r="S77">
        <f t="shared" si="542"/>
        <v>0</v>
      </c>
      <c r="T77">
        <f t="shared" si="542"/>
        <v>0</v>
      </c>
      <c r="U77">
        <f t="shared" si="542"/>
        <v>0</v>
      </c>
      <c r="V77">
        <f t="shared" si="542"/>
        <v>0</v>
      </c>
      <c r="W77">
        <f t="shared" si="542"/>
        <v>0</v>
      </c>
      <c r="X77">
        <f t="shared" si="542"/>
        <v>0</v>
      </c>
      <c r="Y77">
        <f t="shared" si="542"/>
        <v>0</v>
      </c>
      <c r="Z77">
        <f t="shared" si="542"/>
        <v>0</v>
      </c>
      <c r="AA77">
        <f t="shared" si="542"/>
        <v>1</v>
      </c>
      <c r="AB77">
        <f t="shared" si="542"/>
        <v>1</v>
      </c>
      <c r="AC77">
        <f t="shared" si="542"/>
        <v>1</v>
      </c>
      <c r="AD77">
        <f t="shared" si="542"/>
        <v>1</v>
      </c>
      <c r="AE77">
        <f t="shared" si="542"/>
        <v>1</v>
      </c>
      <c r="AF77">
        <f t="shared" si="542"/>
        <v>1</v>
      </c>
      <c r="AG77">
        <f t="shared" si="542"/>
        <v>1</v>
      </c>
      <c r="AH77">
        <f t="shared" si="542"/>
        <v>1</v>
      </c>
      <c r="AI77">
        <f t="shared" si="542"/>
        <v>0</v>
      </c>
      <c r="AJ77">
        <f t="shared" si="542"/>
        <v>0</v>
      </c>
      <c r="AK77">
        <f t="shared" si="542"/>
        <v>0</v>
      </c>
      <c r="AL77">
        <f t="shared" si="542"/>
        <v>0</v>
      </c>
      <c r="AM77">
        <f t="shared" si="542"/>
        <v>0</v>
      </c>
      <c r="AN77">
        <f t="shared" si="542"/>
        <v>1</v>
      </c>
      <c r="AO77">
        <f t="shared" si="542"/>
        <v>1</v>
      </c>
      <c r="AP77">
        <f t="shared" si="542"/>
        <v>1</v>
      </c>
      <c r="AQ77">
        <f t="shared" si="542"/>
        <v>1</v>
      </c>
      <c r="AR77">
        <f t="shared" si="542"/>
        <v>1</v>
      </c>
      <c r="AS77">
        <f t="shared" si="542"/>
        <v>1</v>
      </c>
      <c r="AT77">
        <f t="shared" si="542"/>
        <v>1</v>
      </c>
      <c r="AU77">
        <f t="shared" si="542"/>
        <v>1</v>
      </c>
      <c r="AV77">
        <f t="shared" si="542"/>
        <v>0</v>
      </c>
      <c r="AW77">
        <f t="shared" si="542"/>
        <v>1</v>
      </c>
      <c r="AX77">
        <f t="shared" si="542"/>
        <v>1</v>
      </c>
      <c r="AY77">
        <f t="shared" si="542"/>
        <v>0</v>
      </c>
      <c r="AZ77">
        <f t="shared" si="542"/>
        <v>0</v>
      </c>
      <c r="BA77">
        <f t="shared" si="542"/>
        <v>0</v>
      </c>
      <c r="BB77">
        <f t="shared" si="542"/>
        <v>1</v>
      </c>
      <c r="BC77">
        <f t="shared" si="542"/>
        <v>1</v>
      </c>
      <c r="BD77">
        <f t="shared" si="542"/>
        <v>1</v>
      </c>
      <c r="BE77">
        <f t="shared" si="542"/>
        <v>1</v>
      </c>
      <c r="BF77">
        <f t="shared" si="542"/>
        <v>1</v>
      </c>
      <c r="BG77">
        <f t="shared" si="542"/>
        <v>1</v>
      </c>
      <c r="BH77">
        <f t="shared" si="542"/>
        <v>1</v>
      </c>
      <c r="BI77">
        <f t="shared" si="542"/>
        <v>1</v>
      </c>
      <c r="BJ77">
        <f t="shared" si="542"/>
        <v>1</v>
      </c>
      <c r="BK77">
        <f t="shared" si="542"/>
        <v>1</v>
      </c>
      <c r="BL77">
        <f t="shared" si="542"/>
        <v>1</v>
      </c>
      <c r="BM77">
        <f t="shared" si="542"/>
        <v>0</v>
      </c>
      <c r="BN77">
        <f t="shared" si="542"/>
        <v>0</v>
      </c>
      <c r="BO77">
        <f t="shared" si="542"/>
        <v>1</v>
      </c>
      <c r="BP77">
        <f t="shared" si="542"/>
        <v>1</v>
      </c>
      <c r="BQ77">
        <f t="shared" si="542"/>
        <v>1</v>
      </c>
      <c r="BR77">
        <f t="shared" si="542"/>
        <v>1</v>
      </c>
      <c r="BS77">
        <f t="shared" si="542"/>
        <v>1</v>
      </c>
      <c r="BT77">
        <f t="shared" si="542"/>
        <v>1</v>
      </c>
      <c r="BU77">
        <f t="shared" si="542"/>
        <v>1</v>
      </c>
      <c r="BV77">
        <f t="shared" ref="BV77:EG77" si="543">1-SUM(BV74:BV76)</f>
        <v>1</v>
      </c>
      <c r="BW77">
        <f t="shared" si="543"/>
        <v>1</v>
      </c>
      <c r="BX77">
        <f t="shared" si="543"/>
        <v>1</v>
      </c>
      <c r="BY77">
        <f t="shared" si="543"/>
        <v>1</v>
      </c>
      <c r="BZ77">
        <f t="shared" si="543"/>
        <v>1</v>
      </c>
      <c r="CA77">
        <f t="shared" si="543"/>
        <v>0</v>
      </c>
      <c r="CB77">
        <f t="shared" si="543"/>
        <v>0</v>
      </c>
      <c r="CC77">
        <f t="shared" si="543"/>
        <v>1</v>
      </c>
      <c r="CD77">
        <f t="shared" si="543"/>
        <v>1</v>
      </c>
      <c r="CE77">
        <f t="shared" si="543"/>
        <v>1</v>
      </c>
      <c r="CF77">
        <f t="shared" si="543"/>
        <v>1</v>
      </c>
      <c r="CG77">
        <f t="shared" si="543"/>
        <v>1</v>
      </c>
      <c r="CH77">
        <f t="shared" si="543"/>
        <v>1</v>
      </c>
      <c r="CI77">
        <f t="shared" si="543"/>
        <v>1</v>
      </c>
      <c r="CJ77">
        <f t="shared" si="543"/>
        <v>1</v>
      </c>
      <c r="CK77">
        <f t="shared" si="543"/>
        <v>1</v>
      </c>
      <c r="CL77">
        <f t="shared" si="543"/>
        <v>1</v>
      </c>
      <c r="CM77">
        <f t="shared" si="543"/>
        <v>1</v>
      </c>
      <c r="CN77">
        <f t="shared" si="543"/>
        <v>1</v>
      </c>
      <c r="CO77">
        <f t="shared" si="543"/>
        <v>0</v>
      </c>
      <c r="CP77">
        <f t="shared" si="543"/>
        <v>0</v>
      </c>
      <c r="CQ77">
        <f t="shared" si="543"/>
        <v>1</v>
      </c>
      <c r="CR77">
        <f t="shared" si="543"/>
        <v>1</v>
      </c>
      <c r="CS77">
        <f t="shared" si="543"/>
        <v>1</v>
      </c>
      <c r="CT77">
        <f t="shared" si="543"/>
        <v>1</v>
      </c>
      <c r="CU77">
        <f t="shared" si="543"/>
        <v>1</v>
      </c>
      <c r="CV77">
        <f t="shared" si="543"/>
        <v>1</v>
      </c>
      <c r="CW77">
        <f t="shared" si="543"/>
        <v>1</v>
      </c>
      <c r="CX77">
        <f t="shared" si="543"/>
        <v>1</v>
      </c>
      <c r="CY77">
        <f t="shared" si="543"/>
        <v>1</v>
      </c>
      <c r="CZ77">
        <f t="shared" si="543"/>
        <v>1</v>
      </c>
      <c r="DA77">
        <f t="shared" si="543"/>
        <v>1</v>
      </c>
      <c r="DB77">
        <f t="shared" si="543"/>
        <v>1</v>
      </c>
      <c r="DC77">
        <f t="shared" si="543"/>
        <v>0</v>
      </c>
      <c r="DD77">
        <f t="shared" si="543"/>
        <v>0</v>
      </c>
      <c r="DE77">
        <f t="shared" si="543"/>
        <v>1</v>
      </c>
      <c r="DF77">
        <f t="shared" si="543"/>
        <v>1</v>
      </c>
      <c r="DG77">
        <f t="shared" si="543"/>
        <v>1</v>
      </c>
      <c r="DH77">
        <f t="shared" si="543"/>
        <v>1</v>
      </c>
      <c r="DI77">
        <f t="shared" si="543"/>
        <v>1</v>
      </c>
      <c r="DJ77">
        <f t="shared" si="543"/>
        <v>1</v>
      </c>
      <c r="DK77">
        <f t="shared" si="543"/>
        <v>1</v>
      </c>
      <c r="DL77">
        <f t="shared" si="543"/>
        <v>1</v>
      </c>
      <c r="DM77">
        <f t="shared" si="543"/>
        <v>1</v>
      </c>
      <c r="DN77">
        <f t="shared" si="543"/>
        <v>1</v>
      </c>
      <c r="DO77">
        <f t="shared" si="543"/>
        <v>1</v>
      </c>
      <c r="DP77">
        <f t="shared" si="543"/>
        <v>1</v>
      </c>
      <c r="DQ77">
        <f t="shared" si="543"/>
        <v>0</v>
      </c>
      <c r="DR77">
        <f t="shared" si="543"/>
        <v>1</v>
      </c>
      <c r="DS77">
        <f t="shared" si="543"/>
        <v>1</v>
      </c>
      <c r="DT77">
        <f t="shared" si="543"/>
        <v>1</v>
      </c>
      <c r="DU77">
        <f t="shared" si="543"/>
        <v>1</v>
      </c>
      <c r="DV77">
        <f t="shared" si="543"/>
        <v>1</v>
      </c>
      <c r="DW77">
        <f t="shared" si="543"/>
        <v>1</v>
      </c>
      <c r="DX77">
        <f t="shared" si="543"/>
        <v>1</v>
      </c>
      <c r="DY77">
        <f t="shared" si="543"/>
        <v>1</v>
      </c>
      <c r="DZ77">
        <f t="shared" si="543"/>
        <v>1</v>
      </c>
      <c r="EA77">
        <f t="shared" si="543"/>
        <v>1</v>
      </c>
      <c r="EB77">
        <f t="shared" si="543"/>
        <v>1</v>
      </c>
      <c r="EC77">
        <f t="shared" si="543"/>
        <v>1</v>
      </c>
      <c r="ED77">
        <f t="shared" si="543"/>
        <v>1</v>
      </c>
      <c r="EE77">
        <f t="shared" si="543"/>
        <v>0</v>
      </c>
      <c r="EF77">
        <f t="shared" si="543"/>
        <v>1</v>
      </c>
      <c r="EG77">
        <f t="shared" si="543"/>
        <v>1</v>
      </c>
      <c r="EH77">
        <f t="shared" ref="EH77:FU77" si="544">1-SUM(EH74:EH76)</f>
        <v>1</v>
      </c>
      <c r="EI77">
        <f t="shared" si="544"/>
        <v>1</v>
      </c>
      <c r="EJ77">
        <f t="shared" si="544"/>
        <v>1</v>
      </c>
      <c r="EK77">
        <f t="shared" si="544"/>
        <v>1</v>
      </c>
      <c r="EL77">
        <f t="shared" si="544"/>
        <v>1</v>
      </c>
      <c r="EM77">
        <f t="shared" si="544"/>
        <v>1</v>
      </c>
      <c r="EN77">
        <f t="shared" si="544"/>
        <v>1</v>
      </c>
      <c r="EO77">
        <f t="shared" si="544"/>
        <v>1</v>
      </c>
      <c r="EP77">
        <f t="shared" si="544"/>
        <v>1</v>
      </c>
      <c r="EQ77">
        <f t="shared" si="544"/>
        <v>1</v>
      </c>
      <c r="ER77">
        <f t="shared" si="544"/>
        <v>1</v>
      </c>
      <c r="ES77">
        <f t="shared" si="544"/>
        <v>0</v>
      </c>
      <c r="ET77">
        <f t="shared" si="544"/>
        <v>1</v>
      </c>
      <c r="EU77">
        <f t="shared" si="544"/>
        <v>1</v>
      </c>
      <c r="EV77">
        <f t="shared" si="544"/>
        <v>1</v>
      </c>
      <c r="EW77">
        <f t="shared" si="544"/>
        <v>1</v>
      </c>
      <c r="EX77">
        <f t="shared" si="544"/>
        <v>1</v>
      </c>
      <c r="EY77">
        <f t="shared" si="544"/>
        <v>1</v>
      </c>
      <c r="EZ77">
        <f t="shared" si="544"/>
        <v>1</v>
      </c>
      <c r="FA77">
        <f t="shared" si="544"/>
        <v>1</v>
      </c>
      <c r="FB77">
        <f t="shared" si="544"/>
        <v>1</v>
      </c>
      <c r="FC77">
        <f t="shared" si="544"/>
        <v>1</v>
      </c>
      <c r="FD77">
        <f t="shared" si="544"/>
        <v>1</v>
      </c>
      <c r="FE77">
        <f t="shared" si="544"/>
        <v>1</v>
      </c>
      <c r="FF77">
        <f t="shared" si="544"/>
        <v>1</v>
      </c>
      <c r="FG77">
        <f t="shared" si="544"/>
        <v>0</v>
      </c>
      <c r="FH77">
        <f t="shared" si="544"/>
        <v>1</v>
      </c>
      <c r="FI77">
        <f t="shared" si="544"/>
        <v>1</v>
      </c>
      <c r="FJ77">
        <f t="shared" si="544"/>
        <v>1</v>
      </c>
      <c r="FK77">
        <f t="shared" si="544"/>
        <v>1</v>
      </c>
      <c r="FL77">
        <f t="shared" si="544"/>
        <v>1</v>
      </c>
      <c r="FM77">
        <f t="shared" si="544"/>
        <v>1</v>
      </c>
      <c r="FN77">
        <f t="shared" si="544"/>
        <v>1</v>
      </c>
      <c r="FO77">
        <f t="shared" si="544"/>
        <v>1</v>
      </c>
      <c r="FP77">
        <f t="shared" si="544"/>
        <v>1</v>
      </c>
      <c r="FQ77">
        <f t="shared" si="544"/>
        <v>1</v>
      </c>
      <c r="FR77">
        <f t="shared" si="544"/>
        <v>1</v>
      </c>
      <c r="FS77">
        <f t="shared" si="544"/>
        <v>1</v>
      </c>
      <c r="FT77">
        <f t="shared" si="544"/>
        <v>1</v>
      </c>
      <c r="FU77">
        <f t="shared" si="544"/>
        <v>0</v>
      </c>
      <c r="FV77" s="18">
        <f t="shared" si="538"/>
        <v>0.84766214177978882</v>
      </c>
    </row>
    <row r="78" spans="1:178" ht="14.25" customHeight="1" x14ac:dyDescent="0.25">
      <c r="A78" s="86" t="s">
        <v>273</v>
      </c>
      <c r="B78">
        <v>9</v>
      </c>
      <c r="C78">
        <v>100</v>
      </c>
      <c r="D78" s="19" t="s">
        <v>10</v>
      </c>
      <c r="E78" s="17" t="s">
        <v>14</v>
      </c>
      <c r="F78" s="8" t="s">
        <v>197</v>
      </c>
      <c r="G78" s="8" t="s">
        <v>201</v>
      </c>
      <c r="H78" s="8" t="s">
        <v>194</v>
      </c>
      <c r="I78">
        <v>1</v>
      </c>
      <c r="J78">
        <v>1</v>
      </c>
      <c r="K78">
        <v>1</v>
      </c>
      <c r="V78">
        <v>1</v>
      </c>
      <c r="W78">
        <v>1</v>
      </c>
      <c r="AI78">
        <v>1</v>
      </c>
      <c r="AK78">
        <v>1</v>
      </c>
      <c r="FV78" s="18">
        <f t="shared" si="538"/>
        <v>3.7707390648567117E-2</v>
      </c>
    </row>
    <row r="79" spans="1:178" ht="14.25" customHeight="1" x14ac:dyDescent="0.25">
      <c r="A79" s="86" t="s">
        <v>273</v>
      </c>
      <c r="B79">
        <v>9</v>
      </c>
      <c r="C79">
        <v>100</v>
      </c>
      <c r="D79" s="19" t="s">
        <v>10</v>
      </c>
      <c r="E79" s="17" t="s">
        <v>14</v>
      </c>
      <c r="F79" s="8" t="s">
        <v>197</v>
      </c>
      <c r="G79" s="8" t="s">
        <v>201</v>
      </c>
      <c r="H79" s="17" t="s">
        <v>220</v>
      </c>
      <c r="N79">
        <v>1</v>
      </c>
      <c r="R79">
        <v>1</v>
      </c>
      <c r="S79">
        <v>1</v>
      </c>
      <c r="T79">
        <v>1</v>
      </c>
      <c r="U79">
        <v>1</v>
      </c>
      <c r="AW79">
        <v>1</v>
      </c>
      <c r="BI79">
        <v>1</v>
      </c>
      <c r="DR79">
        <v>1</v>
      </c>
      <c r="EF79">
        <v>1</v>
      </c>
      <c r="FV79" s="18">
        <f t="shared" si="538"/>
        <v>3.9215686274509803E-2</v>
      </c>
    </row>
    <row r="80" spans="1:178" ht="14.25" customHeight="1" x14ac:dyDescent="0.25">
      <c r="A80" s="86" t="s">
        <v>273</v>
      </c>
      <c r="B80">
        <v>9</v>
      </c>
      <c r="C80">
        <v>100</v>
      </c>
      <c r="D80" s="19" t="s">
        <v>10</v>
      </c>
      <c r="E80" s="17" t="s">
        <v>14</v>
      </c>
      <c r="F80" s="8" t="s">
        <v>197</v>
      </c>
      <c r="G80" s="8" t="s">
        <v>201</v>
      </c>
      <c r="H80" s="8" t="s">
        <v>195</v>
      </c>
      <c r="L80">
        <v>1</v>
      </c>
      <c r="M80">
        <v>1</v>
      </c>
      <c r="X80">
        <v>1</v>
      </c>
      <c r="Y80">
        <v>1</v>
      </c>
      <c r="Z80">
        <v>1</v>
      </c>
      <c r="AJ80">
        <v>1</v>
      </c>
      <c r="AL80">
        <v>1</v>
      </c>
      <c r="AM80">
        <v>1</v>
      </c>
      <c r="AV80">
        <v>1</v>
      </c>
      <c r="AY80">
        <v>1</v>
      </c>
      <c r="AZ80">
        <v>1</v>
      </c>
      <c r="BA80">
        <v>1</v>
      </c>
      <c r="BM80">
        <v>1</v>
      </c>
      <c r="BN80">
        <v>1</v>
      </c>
      <c r="CA80">
        <v>1</v>
      </c>
      <c r="CB80">
        <v>1</v>
      </c>
      <c r="CO80">
        <v>1</v>
      </c>
      <c r="CP80">
        <v>1</v>
      </c>
      <c r="DC80">
        <v>1</v>
      </c>
      <c r="DD80">
        <v>1</v>
      </c>
      <c r="DQ80">
        <v>1</v>
      </c>
      <c r="EE80">
        <v>1</v>
      </c>
      <c r="ES80">
        <v>1</v>
      </c>
      <c r="FG80">
        <v>1</v>
      </c>
      <c r="FU80">
        <v>1</v>
      </c>
      <c r="FV80" s="18">
        <f t="shared" si="538"/>
        <v>0.10256410256410256</v>
      </c>
    </row>
    <row r="81" spans="1:178" ht="14.25" customHeight="1" x14ac:dyDescent="0.25">
      <c r="A81" s="86" t="s">
        <v>273</v>
      </c>
      <c r="B81">
        <v>9</v>
      </c>
      <c r="C81">
        <v>100</v>
      </c>
      <c r="D81" s="19" t="s">
        <v>10</v>
      </c>
      <c r="E81" s="17" t="s">
        <v>13</v>
      </c>
      <c r="F81" s="8" t="s">
        <v>197</v>
      </c>
      <c r="G81" s="8" t="s">
        <v>201</v>
      </c>
      <c r="H81" s="8" t="s">
        <v>194</v>
      </c>
      <c r="I81">
        <v>1</v>
      </c>
      <c r="J81">
        <v>1</v>
      </c>
      <c r="K81">
        <v>1</v>
      </c>
      <c r="V81">
        <v>1</v>
      </c>
      <c r="W81">
        <v>1</v>
      </c>
      <c r="AI81">
        <v>1</v>
      </c>
      <c r="AK81">
        <v>1</v>
      </c>
      <c r="FV81" s="18">
        <f t="shared" si="538"/>
        <v>3.7707390648567117E-2</v>
      </c>
    </row>
    <row r="82" spans="1:178" ht="14.25" customHeight="1" x14ac:dyDescent="0.25">
      <c r="A82" s="86" t="s">
        <v>273</v>
      </c>
      <c r="B82">
        <v>9</v>
      </c>
      <c r="C82">
        <v>100</v>
      </c>
      <c r="D82" s="19" t="s">
        <v>10</v>
      </c>
      <c r="E82" s="17" t="s">
        <v>13</v>
      </c>
      <c r="F82" s="8" t="s">
        <v>197</v>
      </c>
      <c r="G82" s="8" t="s">
        <v>201</v>
      </c>
      <c r="H82" s="17" t="s">
        <v>220</v>
      </c>
      <c r="O82">
        <v>1</v>
      </c>
      <c r="P82">
        <v>1</v>
      </c>
      <c r="Q82">
        <v>1</v>
      </c>
      <c r="R82">
        <v>1</v>
      </c>
      <c r="S82">
        <v>1</v>
      </c>
      <c r="T82">
        <v>1</v>
      </c>
      <c r="U82">
        <v>1</v>
      </c>
      <c r="AW82">
        <v>1</v>
      </c>
      <c r="BI82">
        <v>1</v>
      </c>
      <c r="DR82">
        <v>1</v>
      </c>
      <c r="EF82">
        <v>1</v>
      </c>
      <c r="FV82" s="18">
        <f t="shared" si="538"/>
        <v>4.5248868778280542E-2</v>
      </c>
    </row>
    <row r="83" spans="1:178" ht="14.25" customHeight="1" x14ac:dyDescent="0.25">
      <c r="A83" s="86" t="s">
        <v>273</v>
      </c>
      <c r="B83">
        <v>9</v>
      </c>
      <c r="C83">
        <v>100</v>
      </c>
      <c r="D83" s="19" t="s">
        <v>10</v>
      </c>
      <c r="E83" s="17" t="s">
        <v>13</v>
      </c>
      <c r="F83" s="8" t="s">
        <v>197</v>
      </c>
      <c r="G83" s="8" t="s">
        <v>201</v>
      </c>
      <c r="H83" s="8" t="s">
        <v>195</v>
      </c>
      <c r="L83">
        <v>1</v>
      </c>
      <c r="M83">
        <v>1</v>
      </c>
      <c r="N83">
        <v>1</v>
      </c>
      <c r="X83">
        <v>1</v>
      </c>
      <c r="Y83">
        <v>1</v>
      </c>
      <c r="Z83">
        <v>1</v>
      </c>
      <c r="AJ83">
        <v>1</v>
      </c>
      <c r="AL83">
        <v>1</v>
      </c>
      <c r="AM83">
        <v>1</v>
      </c>
      <c r="AV83">
        <v>1</v>
      </c>
      <c r="AY83">
        <v>1</v>
      </c>
      <c r="AZ83">
        <v>1</v>
      </c>
      <c r="BA83">
        <v>1</v>
      </c>
      <c r="BM83">
        <v>1</v>
      </c>
      <c r="BN83">
        <v>1</v>
      </c>
      <c r="CA83">
        <v>1</v>
      </c>
      <c r="CB83">
        <v>1</v>
      </c>
      <c r="CO83">
        <v>1</v>
      </c>
      <c r="CP83">
        <v>1</v>
      </c>
      <c r="DC83">
        <v>1</v>
      </c>
      <c r="DD83">
        <v>1</v>
      </c>
      <c r="DQ83">
        <v>1</v>
      </c>
      <c r="EE83">
        <v>1</v>
      </c>
      <c r="ES83">
        <v>1</v>
      </c>
      <c r="FG83">
        <v>1</v>
      </c>
      <c r="FU83">
        <v>1</v>
      </c>
      <c r="FV83" s="18">
        <f t="shared" si="538"/>
        <v>0.10558069381598793</v>
      </c>
    </row>
    <row r="84" spans="1:178" ht="14.25" customHeight="1" x14ac:dyDescent="0.25">
      <c r="A84" s="86" t="s">
        <v>273</v>
      </c>
      <c r="B84">
        <v>9</v>
      </c>
      <c r="C84">
        <v>100</v>
      </c>
      <c r="D84" s="19" t="s">
        <v>10</v>
      </c>
      <c r="E84" s="19" t="s">
        <v>12</v>
      </c>
      <c r="F84" s="8" t="s">
        <v>197</v>
      </c>
      <c r="G84" s="8" t="s">
        <v>201</v>
      </c>
      <c r="H84" s="8" t="s">
        <v>194</v>
      </c>
      <c r="I84">
        <v>1</v>
      </c>
      <c r="J84">
        <v>1</v>
      </c>
      <c r="K84">
        <v>1</v>
      </c>
      <c r="L84">
        <v>1</v>
      </c>
      <c r="V84">
        <v>1</v>
      </c>
      <c r="W84">
        <v>1</v>
      </c>
      <c r="AI84">
        <v>1</v>
      </c>
      <c r="AK84">
        <v>1</v>
      </c>
      <c r="FV84" s="18">
        <f t="shared" ref="FV84:FV86" si="545">SUMPRODUCT(I84:FU84,$I$1:$FU$1)/(SUM($I$1:$FU$1))</f>
        <v>4.072398190045249E-2</v>
      </c>
    </row>
    <row r="85" spans="1:178" ht="14.25" customHeight="1" x14ac:dyDescent="0.25">
      <c r="A85" s="86" t="s">
        <v>273</v>
      </c>
      <c r="B85">
        <v>9</v>
      </c>
      <c r="C85">
        <v>100</v>
      </c>
      <c r="D85" s="19" t="s">
        <v>10</v>
      </c>
      <c r="E85" s="19" t="s">
        <v>12</v>
      </c>
      <c r="F85" s="8" t="s">
        <v>197</v>
      </c>
      <c r="G85" s="8" t="s">
        <v>201</v>
      </c>
      <c r="H85" s="17" t="s">
        <v>220</v>
      </c>
      <c r="O85">
        <v>1</v>
      </c>
      <c r="P85">
        <v>1</v>
      </c>
      <c r="Q85">
        <v>1</v>
      </c>
      <c r="R85">
        <v>1</v>
      </c>
      <c r="S85">
        <v>1</v>
      </c>
      <c r="T85">
        <v>1</v>
      </c>
      <c r="U85">
        <v>1</v>
      </c>
      <c r="AW85">
        <v>1</v>
      </c>
      <c r="BI85">
        <v>1</v>
      </c>
      <c r="CQ85">
        <v>1</v>
      </c>
      <c r="DE85" s="19">
        <v>1</v>
      </c>
      <c r="DR85">
        <v>1</v>
      </c>
      <c r="EF85">
        <v>1</v>
      </c>
      <c r="FV85" s="18">
        <f t="shared" si="545"/>
        <v>5.128205128205128E-2</v>
      </c>
    </row>
    <row r="86" spans="1:178" ht="14.25" customHeight="1" x14ac:dyDescent="0.25">
      <c r="A86" s="86" t="s">
        <v>273</v>
      </c>
      <c r="B86">
        <v>9</v>
      </c>
      <c r="C86">
        <v>100</v>
      </c>
      <c r="D86" s="19" t="s">
        <v>10</v>
      </c>
      <c r="E86" s="19" t="s">
        <v>12</v>
      </c>
      <c r="F86" s="8" t="s">
        <v>197</v>
      </c>
      <c r="G86" s="8" t="s">
        <v>201</v>
      </c>
      <c r="H86" s="8" t="s">
        <v>195</v>
      </c>
      <c r="M86">
        <v>1</v>
      </c>
      <c r="N86">
        <v>1</v>
      </c>
      <c r="X86">
        <v>1</v>
      </c>
      <c r="Y86">
        <v>1</v>
      </c>
      <c r="Z86">
        <v>1</v>
      </c>
      <c r="AA86">
        <v>1</v>
      </c>
      <c r="AJ86">
        <v>1</v>
      </c>
      <c r="AL86">
        <v>1</v>
      </c>
      <c r="AM86">
        <v>1</v>
      </c>
      <c r="AN86">
        <v>1</v>
      </c>
      <c r="AV86">
        <v>1</v>
      </c>
      <c r="AY86">
        <v>1</v>
      </c>
      <c r="AZ86">
        <v>1</v>
      </c>
      <c r="BA86">
        <v>1</v>
      </c>
      <c r="BM86">
        <v>1</v>
      </c>
      <c r="BN86">
        <v>1</v>
      </c>
      <c r="BO86">
        <v>1</v>
      </c>
      <c r="CA86">
        <v>1</v>
      </c>
      <c r="CB86">
        <v>1</v>
      </c>
      <c r="CC86">
        <v>1</v>
      </c>
      <c r="CO86">
        <v>1</v>
      </c>
      <c r="CP86">
        <v>1</v>
      </c>
      <c r="DC86">
        <v>1</v>
      </c>
      <c r="DD86">
        <v>1</v>
      </c>
      <c r="DQ86">
        <v>1</v>
      </c>
      <c r="EE86">
        <v>1</v>
      </c>
      <c r="ES86">
        <v>1</v>
      </c>
      <c r="FG86">
        <v>1</v>
      </c>
      <c r="FU86">
        <v>1</v>
      </c>
      <c r="FV86" s="18">
        <f t="shared" si="545"/>
        <v>0.11463046757164404</v>
      </c>
    </row>
    <row r="87" spans="1:178" ht="14.25" customHeight="1" x14ac:dyDescent="0.25">
      <c r="A87" s="86" t="s">
        <v>273</v>
      </c>
      <c r="B87">
        <v>9</v>
      </c>
      <c r="C87">
        <v>100</v>
      </c>
      <c r="D87" s="19" t="s">
        <v>10</v>
      </c>
      <c r="E87" s="19" t="s">
        <v>11</v>
      </c>
      <c r="F87" s="8" t="s">
        <v>197</v>
      </c>
      <c r="G87" s="8" t="s">
        <v>201</v>
      </c>
      <c r="H87" s="8" t="s">
        <v>194</v>
      </c>
      <c r="I87">
        <v>1</v>
      </c>
      <c r="J87">
        <v>1</v>
      </c>
      <c r="K87">
        <v>1</v>
      </c>
      <c r="L87">
        <v>1</v>
      </c>
      <c r="V87">
        <v>1</v>
      </c>
      <c r="W87">
        <v>1</v>
      </c>
      <c r="AI87">
        <v>1</v>
      </c>
      <c r="AK87">
        <v>1</v>
      </c>
      <c r="FV87" s="18">
        <f t="shared" ref="FV87:FV111" si="546">SUMPRODUCT(I87:FU87,$I$1:$FU$1)/(SUM($I$1:$FU$1))</f>
        <v>4.072398190045249E-2</v>
      </c>
    </row>
    <row r="88" spans="1:178" ht="14.25" customHeight="1" x14ac:dyDescent="0.25">
      <c r="A88" s="86" t="s">
        <v>273</v>
      </c>
      <c r="B88">
        <v>9</v>
      </c>
      <c r="C88">
        <v>100</v>
      </c>
      <c r="D88" s="19" t="s">
        <v>10</v>
      </c>
      <c r="E88" s="19" t="s">
        <v>11</v>
      </c>
      <c r="F88" s="8" t="s">
        <v>197</v>
      </c>
      <c r="G88" s="8" t="s">
        <v>201</v>
      </c>
      <c r="H88" s="17" t="s">
        <v>220</v>
      </c>
      <c r="O88">
        <v>1</v>
      </c>
      <c r="P88">
        <v>1</v>
      </c>
      <c r="Q88">
        <v>1</v>
      </c>
      <c r="T88">
        <v>1</v>
      </c>
      <c r="U88">
        <v>1</v>
      </c>
      <c r="AB88">
        <v>1</v>
      </c>
      <c r="AO88">
        <v>1</v>
      </c>
      <c r="AX88">
        <v>1</v>
      </c>
      <c r="BB88">
        <v>1</v>
      </c>
      <c r="BJ88">
        <v>1</v>
      </c>
      <c r="BV88">
        <v>1</v>
      </c>
      <c r="CQ88">
        <v>1</v>
      </c>
      <c r="DE88" s="19">
        <v>1</v>
      </c>
      <c r="DR88">
        <v>1</v>
      </c>
      <c r="DS88">
        <v>1</v>
      </c>
      <c r="EF88">
        <v>1</v>
      </c>
      <c r="ET88">
        <v>1</v>
      </c>
      <c r="FV88" s="18">
        <f t="shared" si="546"/>
        <v>6.9381598793363503E-2</v>
      </c>
    </row>
    <row r="89" spans="1:178" ht="14.25" customHeight="1" x14ac:dyDescent="0.25">
      <c r="A89" s="86" t="s">
        <v>273</v>
      </c>
      <c r="B89">
        <v>9</v>
      </c>
      <c r="C89">
        <v>100</v>
      </c>
      <c r="D89" s="19" t="s">
        <v>10</v>
      </c>
      <c r="E89" s="19" t="s">
        <v>11</v>
      </c>
      <c r="F89" s="8" t="s">
        <v>197</v>
      </c>
      <c r="G89" s="8" t="s">
        <v>201</v>
      </c>
      <c r="H89" s="8" t="s">
        <v>195</v>
      </c>
      <c r="M89">
        <v>1</v>
      </c>
      <c r="N89">
        <v>1</v>
      </c>
      <c r="R89">
        <v>1</v>
      </c>
      <c r="S89">
        <v>1</v>
      </c>
      <c r="X89">
        <v>1</v>
      </c>
      <c r="Y89">
        <v>1</v>
      </c>
      <c r="Z89">
        <v>1</v>
      </c>
      <c r="AA89">
        <v>1</v>
      </c>
      <c r="AJ89">
        <v>1</v>
      </c>
      <c r="AL89">
        <v>1</v>
      </c>
      <c r="AM89">
        <v>1</v>
      </c>
      <c r="AN89">
        <v>1</v>
      </c>
      <c r="AV89">
        <v>1</v>
      </c>
      <c r="AW89">
        <v>1</v>
      </c>
      <c r="AY89">
        <v>1</v>
      </c>
      <c r="AZ89">
        <v>1</v>
      </c>
      <c r="BA89">
        <v>1</v>
      </c>
      <c r="BI89">
        <v>1</v>
      </c>
      <c r="BM89">
        <v>1</v>
      </c>
      <c r="BN89">
        <v>1</v>
      </c>
      <c r="BO89">
        <v>1</v>
      </c>
      <c r="CA89">
        <v>1</v>
      </c>
      <c r="CB89">
        <v>1</v>
      </c>
      <c r="CC89">
        <v>1</v>
      </c>
      <c r="CO89">
        <v>1</v>
      </c>
      <c r="CP89">
        <v>1</v>
      </c>
      <c r="DC89">
        <v>1</v>
      </c>
      <c r="DD89">
        <v>1</v>
      </c>
      <c r="DQ89">
        <v>1</v>
      </c>
      <c r="EE89">
        <v>1</v>
      </c>
      <c r="ES89">
        <v>1</v>
      </c>
      <c r="FG89">
        <v>1</v>
      </c>
      <c r="FU89">
        <v>1</v>
      </c>
      <c r="FV89" s="18">
        <f t="shared" si="546"/>
        <v>0.13876319758672701</v>
      </c>
    </row>
    <row r="90" spans="1:178" ht="14.25" customHeight="1" x14ac:dyDescent="0.25">
      <c r="A90" s="86" t="s">
        <v>273</v>
      </c>
      <c r="B90">
        <v>9</v>
      </c>
      <c r="C90">
        <v>100</v>
      </c>
      <c r="D90" s="19" t="s">
        <v>9</v>
      </c>
      <c r="E90" s="17" t="s">
        <v>15</v>
      </c>
      <c r="F90" s="8" t="s">
        <v>197</v>
      </c>
      <c r="G90" s="8" t="s">
        <v>201</v>
      </c>
      <c r="H90" s="8" t="s">
        <v>194</v>
      </c>
      <c r="I90">
        <v>1</v>
      </c>
      <c r="J90">
        <v>1</v>
      </c>
      <c r="W90">
        <v>1</v>
      </c>
      <c r="AK90">
        <v>1</v>
      </c>
      <c r="FV90" s="18">
        <f t="shared" si="546"/>
        <v>1.6591251885369532E-2</v>
      </c>
    </row>
    <row r="91" spans="1:178" ht="14.25" customHeight="1" x14ac:dyDescent="0.25">
      <c r="A91" s="86" t="s">
        <v>273</v>
      </c>
      <c r="B91">
        <v>9</v>
      </c>
      <c r="C91">
        <v>100</v>
      </c>
      <c r="D91" s="19" t="s">
        <v>9</v>
      </c>
      <c r="E91" s="17" t="s">
        <v>15</v>
      </c>
      <c r="F91" s="8" t="s">
        <v>197</v>
      </c>
      <c r="G91" s="8" t="s">
        <v>201</v>
      </c>
      <c r="H91" s="17" t="s">
        <v>220</v>
      </c>
      <c r="R91">
        <v>1</v>
      </c>
      <c r="CB91">
        <v>1</v>
      </c>
      <c r="CP91">
        <v>1</v>
      </c>
      <c r="FV91" s="18">
        <f t="shared" si="546"/>
        <v>9.0497737556561094E-3</v>
      </c>
    </row>
    <row r="92" spans="1:178" ht="14.25" customHeight="1" x14ac:dyDescent="0.25">
      <c r="A92" s="86" t="s">
        <v>273</v>
      </c>
      <c r="B92">
        <v>9</v>
      </c>
      <c r="C92">
        <v>100</v>
      </c>
      <c r="D92" s="19" t="s">
        <v>9</v>
      </c>
      <c r="E92" s="17" t="s">
        <v>15</v>
      </c>
      <c r="F92" s="8" t="s">
        <v>197</v>
      </c>
      <c r="G92" s="8" t="s">
        <v>201</v>
      </c>
      <c r="H92" s="8" t="s">
        <v>195</v>
      </c>
      <c r="K92">
        <v>1</v>
      </c>
      <c r="L92">
        <v>1</v>
      </c>
      <c r="M92">
        <v>1</v>
      </c>
      <c r="V92">
        <v>1</v>
      </c>
      <c r="X92">
        <v>1</v>
      </c>
      <c r="Y92">
        <v>1</v>
      </c>
      <c r="AI92">
        <v>1</v>
      </c>
      <c r="AL92">
        <v>1</v>
      </c>
      <c r="AY92">
        <v>1</v>
      </c>
      <c r="AZ92">
        <v>1</v>
      </c>
      <c r="BM92">
        <v>1</v>
      </c>
      <c r="BN92">
        <v>1</v>
      </c>
      <c r="CA92">
        <v>1</v>
      </c>
      <c r="CO92">
        <v>1</v>
      </c>
      <c r="DC92">
        <v>1</v>
      </c>
      <c r="FV92" s="18">
        <f t="shared" si="546"/>
        <v>6.485671191553545E-2</v>
      </c>
    </row>
    <row r="93" spans="1:178" ht="14.25" customHeight="1" x14ac:dyDescent="0.25">
      <c r="A93" s="86" t="s">
        <v>273</v>
      </c>
      <c r="B93">
        <v>9</v>
      </c>
      <c r="C93">
        <v>100</v>
      </c>
      <c r="D93" s="19" t="s">
        <v>9</v>
      </c>
      <c r="E93" s="17" t="s">
        <v>242</v>
      </c>
      <c r="F93" s="8" t="s">
        <v>197</v>
      </c>
      <c r="G93" s="8" t="s">
        <v>201</v>
      </c>
      <c r="H93" s="8" t="s">
        <v>194</v>
      </c>
      <c r="I93">
        <v>1</v>
      </c>
      <c r="J93">
        <v>1</v>
      </c>
      <c r="W93">
        <v>1</v>
      </c>
      <c r="AK93">
        <v>1</v>
      </c>
      <c r="FV93" s="18">
        <f t="shared" ref="FV93:FV95" si="547">SUMPRODUCT(I93:FU93,$I$1:$FU$1)/(SUM($I$1:$FU$1))</f>
        <v>1.6591251885369532E-2</v>
      </c>
    </row>
    <row r="94" spans="1:178" ht="14.25" customHeight="1" x14ac:dyDescent="0.25">
      <c r="A94" s="86" t="s">
        <v>273</v>
      </c>
      <c r="B94">
        <v>9</v>
      </c>
      <c r="C94">
        <v>100</v>
      </c>
      <c r="D94" s="19" t="s">
        <v>9</v>
      </c>
      <c r="E94" s="17" t="s">
        <v>242</v>
      </c>
      <c r="F94" s="8" t="s">
        <v>197</v>
      </c>
      <c r="G94" s="8" t="s">
        <v>201</v>
      </c>
      <c r="H94" s="17" t="s">
        <v>220</v>
      </c>
      <c r="R94">
        <v>1</v>
      </c>
      <c r="CB94">
        <v>1</v>
      </c>
      <c r="CP94">
        <v>1</v>
      </c>
      <c r="FV94" s="18">
        <f t="shared" si="547"/>
        <v>9.0497737556561094E-3</v>
      </c>
    </row>
    <row r="95" spans="1:178" ht="14.25" customHeight="1" x14ac:dyDescent="0.25">
      <c r="A95" s="86" t="s">
        <v>273</v>
      </c>
      <c r="B95">
        <v>9</v>
      </c>
      <c r="C95">
        <v>100</v>
      </c>
      <c r="D95" s="19" t="s">
        <v>9</v>
      </c>
      <c r="E95" s="17" t="s">
        <v>242</v>
      </c>
      <c r="F95" s="8" t="s">
        <v>197</v>
      </c>
      <c r="G95" s="8" t="s">
        <v>201</v>
      </c>
      <c r="H95" s="8" t="s">
        <v>195</v>
      </c>
      <c r="K95">
        <v>1</v>
      </c>
      <c r="L95">
        <v>1</v>
      </c>
      <c r="M95">
        <v>1</v>
      </c>
      <c r="V95">
        <v>1</v>
      </c>
      <c r="X95">
        <v>1</v>
      </c>
      <c r="Y95">
        <v>1</v>
      </c>
      <c r="AI95">
        <v>1</v>
      </c>
      <c r="AL95">
        <v>1</v>
      </c>
      <c r="AY95">
        <v>1</v>
      </c>
      <c r="AZ95">
        <v>1</v>
      </c>
      <c r="BM95">
        <v>1</v>
      </c>
      <c r="BN95">
        <v>1</v>
      </c>
      <c r="CA95">
        <v>1</v>
      </c>
      <c r="CO95">
        <v>1</v>
      </c>
      <c r="DC95">
        <v>1</v>
      </c>
      <c r="FV95" s="18">
        <f t="shared" si="547"/>
        <v>6.485671191553545E-2</v>
      </c>
    </row>
    <row r="96" spans="1:178" ht="14.25" customHeight="1" x14ac:dyDescent="0.25">
      <c r="A96" s="86" t="s">
        <v>273</v>
      </c>
      <c r="B96">
        <v>9</v>
      </c>
      <c r="C96">
        <v>100</v>
      </c>
      <c r="D96" s="19" t="s">
        <v>9</v>
      </c>
      <c r="E96" s="17" t="s">
        <v>14</v>
      </c>
      <c r="F96" s="8" t="s">
        <v>197</v>
      </c>
      <c r="G96" s="8" t="s">
        <v>201</v>
      </c>
      <c r="H96" s="8" t="s">
        <v>194</v>
      </c>
      <c r="I96">
        <v>1</v>
      </c>
      <c r="J96">
        <v>1</v>
      </c>
      <c r="K96">
        <v>1</v>
      </c>
      <c r="V96">
        <v>1</v>
      </c>
      <c r="W96">
        <v>1</v>
      </c>
      <c r="AK96">
        <v>1</v>
      </c>
      <c r="FV96" s="18">
        <f t="shared" si="546"/>
        <v>2.8657616892911009E-2</v>
      </c>
    </row>
    <row r="97" spans="1:178" ht="14.25" customHeight="1" x14ac:dyDescent="0.25">
      <c r="A97" s="86" t="s">
        <v>273</v>
      </c>
      <c r="B97">
        <v>9</v>
      </c>
      <c r="C97">
        <v>100</v>
      </c>
      <c r="D97" s="19" t="s">
        <v>9</v>
      </c>
      <c r="E97" s="17" t="s">
        <v>14</v>
      </c>
      <c r="F97" s="8" t="s">
        <v>197</v>
      </c>
      <c r="G97" s="8" t="s">
        <v>201</v>
      </c>
      <c r="H97" s="17" t="s">
        <v>220</v>
      </c>
      <c r="R97">
        <v>1</v>
      </c>
      <c r="S97">
        <v>1</v>
      </c>
      <c r="CP97">
        <v>1</v>
      </c>
      <c r="DD97">
        <v>1</v>
      </c>
      <c r="FV97" s="18">
        <f t="shared" si="546"/>
        <v>1.2066365007541479E-2</v>
      </c>
    </row>
    <row r="98" spans="1:178" ht="14.25" customHeight="1" x14ac:dyDescent="0.25">
      <c r="A98" s="86" t="s">
        <v>273</v>
      </c>
      <c r="B98">
        <v>9</v>
      </c>
      <c r="C98">
        <v>100</v>
      </c>
      <c r="D98" s="19" t="s">
        <v>9</v>
      </c>
      <c r="E98" s="17" t="s">
        <v>14</v>
      </c>
      <c r="F98" s="8" t="s">
        <v>197</v>
      </c>
      <c r="G98" s="8" t="s">
        <v>201</v>
      </c>
      <c r="H98" s="8" t="s">
        <v>195</v>
      </c>
      <c r="L98">
        <v>1</v>
      </c>
      <c r="M98">
        <v>1</v>
      </c>
      <c r="X98">
        <v>1</v>
      </c>
      <c r="Y98">
        <v>1</v>
      </c>
      <c r="Z98">
        <v>1</v>
      </c>
      <c r="AI98">
        <v>1</v>
      </c>
      <c r="AL98">
        <v>1</v>
      </c>
      <c r="AM98">
        <v>1</v>
      </c>
      <c r="AY98">
        <v>1</v>
      </c>
      <c r="AZ98">
        <v>1</v>
      </c>
      <c r="BM98">
        <v>1</v>
      </c>
      <c r="BN98">
        <v>1</v>
      </c>
      <c r="CA98">
        <v>1</v>
      </c>
      <c r="CB98">
        <v>1</v>
      </c>
      <c r="CO98">
        <v>1</v>
      </c>
      <c r="DC98">
        <v>1</v>
      </c>
      <c r="DQ98">
        <v>1</v>
      </c>
      <c r="FV98" s="18">
        <f t="shared" si="546"/>
        <v>6.636500754147813E-2</v>
      </c>
    </row>
    <row r="99" spans="1:178" ht="14.25" customHeight="1" x14ac:dyDescent="0.25">
      <c r="A99" s="86" t="s">
        <v>273</v>
      </c>
      <c r="B99">
        <v>9</v>
      </c>
      <c r="C99">
        <v>100</v>
      </c>
      <c r="D99" s="19" t="s">
        <v>9</v>
      </c>
      <c r="E99" s="19" t="s">
        <v>13</v>
      </c>
      <c r="F99" s="8" t="s">
        <v>197</v>
      </c>
      <c r="G99" s="8" t="s">
        <v>201</v>
      </c>
      <c r="H99" s="8" t="s">
        <v>194</v>
      </c>
      <c r="I99">
        <v>1</v>
      </c>
      <c r="J99">
        <v>1</v>
      </c>
      <c r="K99">
        <v>1</v>
      </c>
      <c r="V99">
        <v>1</v>
      </c>
      <c r="W99">
        <v>1</v>
      </c>
      <c r="AK99">
        <v>1</v>
      </c>
      <c r="FV99" s="18">
        <f t="shared" ref="FV99:FV101" si="548">SUMPRODUCT(I99:FU99,$I$1:$FU$1)/(SUM($I$1:$FU$1))</f>
        <v>2.8657616892911009E-2</v>
      </c>
    </row>
    <row r="100" spans="1:178" ht="14.25" customHeight="1" x14ac:dyDescent="0.25">
      <c r="A100" s="86" t="s">
        <v>273</v>
      </c>
      <c r="B100">
        <v>9</v>
      </c>
      <c r="C100">
        <v>100</v>
      </c>
      <c r="D100" s="19" t="s">
        <v>9</v>
      </c>
      <c r="E100" s="17" t="s">
        <v>13</v>
      </c>
      <c r="F100" s="8" t="s">
        <v>197</v>
      </c>
      <c r="G100" s="8" t="s">
        <v>201</v>
      </c>
      <c r="H100" s="17" t="s">
        <v>220</v>
      </c>
      <c r="R100">
        <v>1</v>
      </c>
      <c r="S100">
        <v>1</v>
      </c>
      <c r="AV100">
        <v>1</v>
      </c>
      <c r="CP100">
        <v>1</v>
      </c>
      <c r="DD100">
        <v>1</v>
      </c>
      <c r="FV100" s="18">
        <f t="shared" si="548"/>
        <v>2.1116138763197588E-2</v>
      </c>
    </row>
    <row r="101" spans="1:178" ht="14.25" customHeight="1" x14ac:dyDescent="0.25">
      <c r="A101" s="86" t="s">
        <v>273</v>
      </c>
      <c r="B101">
        <v>9</v>
      </c>
      <c r="C101">
        <v>100</v>
      </c>
      <c r="D101" s="19" t="s">
        <v>9</v>
      </c>
      <c r="E101" s="17" t="s">
        <v>13</v>
      </c>
      <c r="F101" s="8" t="s">
        <v>197</v>
      </c>
      <c r="G101" s="8" t="s">
        <v>201</v>
      </c>
      <c r="H101" s="8" t="s">
        <v>195</v>
      </c>
      <c r="L101">
        <v>1</v>
      </c>
      <c r="M101">
        <v>1</v>
      </c>
      <c r="X101">
        <v>1</v>
      </c>
      <c r="Y101">
        <v>1</v>
      </c>
      <c r="Z101">
        <v>1</v>
      </c>
      <c r="AI101">
        <v>1</v>
      </c>
      <c r="AL101">
        <v>1</v>
      </c>
      <c r="AM101">
        <v>1</v>
      </c>
      <c r="AY101">
        <v>1</v>
      </c>
      <c r="AZ101">
        <v>1</v>
      </c>
      <c r="BM101">
        <v>1</v>
      </c>
      <c r="BN101">
        <v>1</v>
      </c>
      <c r="CA101">
        <v>1</v>
      </c>
      <c r="CB101">
        <v>1</v>
      </c>
      <c r="CO101">
        <v>1</v>
      </c>
      <c r="DC101">
        <v>1</v>
      </c>
      <c r="DQ101">
        <v>1</v>
      </c>
      <c r="EE101">
        <v>1</v>
      </c>
      <c r="FV101" s="18">
        <f t="shared" si="548"/>
        <v>7.0889894419306182E-2</v>
      </c>
    </row>
    <row r="102" spans="1:178" ht="14.25" customHeight="1" x14ac:dyDescent="0.25">
      <c r="A102" s="86" t="s">
        <v>273</v>
      </c>
      <c r="B102">
        <v>9</v>
      </c>
      <c r="C102">
        <v>100</v>
      </c>
      <c r="D102" s="19" t="s">
        <v>9</v>
      </c>
      <c r="E102" s="19" t="s">
        <v>12</v>
      </c>
      <c r="F102" s="8" t="s">
        <v>197</v>
      </c>
      <c r="G102" s="8" t="s">
        <v>201</v>
      </c>
      <c r="H102" s="8" t="s">
        <v>194</v>
      </c>
      <c r="I102">
        <v>1</v>
      </c>
      <c r="J102">
        <v>1</v>
      </c>
      <c r="K102">
        <v>1</v>
      </c>
      <c r="V102">
        <v>1</v>
      </c>
      <c r="W102">
        <v>1</v>
      </c>
      <c r="AK102">
        <v>1</v>
      </c>
      <c r="FV102" s="18">
        <f t="shared" ref="FV102:FV104" si="549">SUMPRODUCT(I102:FU102,$I$1:$FU$1)/(SUM($I$1:$FU$1))</f>
        <v>2.8657616892911009E-2</v>
      </c>
    </row>
    <row r="103" spans="1:178" ht="14.25" customHeight="1" x14ac:dyDescent="0.25">
      <c r="A103" s="86" t="s">
        <v>273</v>
      </c>
      <c r="B103">
        <v>9</v>
      </c>
      <c r="C103">
        <v>100</v>
      </c>
      <c r="D103" s="19" t="s">
        <v>9</v>
      </c>
      <c r="E103" s="19" t="s">
        <v>12</v>
      </c>
      <c r="F103" s="8" t="s">
        <v>197</v>
      </c>
      <c r="G103" s="8" t="s">
        <v>201</v>
      </c>
      <c r="H103" s="17" t="s">
        <v>220</v>
      </c>
      <c r="N103">
        <v>1</v>
      </c>
      <c r="R103">
        <v>1</v>
      </c>
      <c r="S103">
        <v>1</v>
      </c>
      <c r="T103">
        <v>1</v>
      </c>
      <c r="AV103">
        <v>1</v>
      </c>
      <c r="DD103">
        <v>1</v>
      </c>
      <c r="DR103">
        <v>1</v>
      </c>
      <c r="EF103">
        <v>1</v>
      </c>
      <c r="FV103" s="18">
        <f t="shared" si="549"/>
        <v>3.0165912518853696E-2</v>
      </c>
    </row>
    <row r="104" spans="1:178" ht="14.25" customHeight="1" x14ac:dyDescent="0.25">
      <c r="A104" s="86" t="s">
        <v>273</v>
      </c>
      <c r="B104">
        <v>9</v>
      </c>
      <c r="C104">
        <v>100</v>
      </c>
      <c r="D104" s="19" t="s">
        <v>9</v>
      </c>
      <c r="E104" s="19" t="s">
        <v>12</v>
      </c>
      <c r="F104" s="8" t="s">
        <v>197</v>
      </c>
      <c r="G104" s="8" t="s">
        <v>201</v>
      </c>
      <c r="H104" s="8" t="s">
        <v>195</v>
      </c>
      <c r="L104">
        <v>1</v>
      </c>
      <c r="M104">
        <v>1</v>
      </c>
      <c r="X104">
        <v>1</v>
      </c>
      <c r="Y104">
        <v>1</v>
      </c>
      <c r="Z104">
        <v>1</v>
      </c>
      <c r="AI104">
        <v>1</v>
      </c>
      <c r="AL104">
        <v>1</v>
      </c>
      <c r="AM104">
        <v>1</v>
      </c>
      <c r="AY104">
        <v>1</v>
      </c>
      <c r="AZ104">
        <v>1</v>
      </c>
      <c r="BM104">
        <v>1</v>
      </c>
      <c r="BN104">
        <v>1</v>
      </c>
      <c r="CA104">
        <v>1</v>
      </c>
      <c r="CB104">
        <v>1</v>
      </c>
      <c r="CO104">
        <v>1</v>
      </c>
      <c r="CP104">
        <v>1</v>
      </c>
      <c r="DC104">
        <v>1</v>
      </c>
      <c r="DQ104">
        <v>1</v>
      </c>
      <c r="EE104">
        <v>1</v>
      </c>
      <c r="ES104">
        <v>1</v>
      </c>
      <c r="FV104" s="18">
        <f t="shared" si="549"/>
        <v>7.8431372549019607E-2</v>
      </c>
    </row>
    <row r="105" spans="1:178" ht="14.25" customHeight="1" x14ac:dyDescent="0.25">
      <c r="A105" s="86" t="s">
        <v>273</v>
      </c>
      <c r="B105">
        <v>9</v>
      </c>
      <c r="C105">
        <v>100</v>
      </c>
      <c r="D105" s="19" t="s">
        <v>9</v>
      </c>
      <c r="E105" s="19" t="s">
        <v>11</v>
      </c>
      <c r="F105" s="8" t="s">
        <v>197</v>
      </c>
      <c r="G105" s="8" t="s">
        <v>201</v>
      </c>
      <c r="H105" s="8" t="s">
        <v>194</v>
      </c>
      <c r="I105">
        <v>1</v>
      </c>
      <c r="J105">
        <v>1</v>
      </c>
      <c r="K105">
        <v>1</v>
      </c>
      <c r="L105">
        <v>1</v>
      </c>
      <c r="M105">
        <v>1</v>
      </c>
      <c r="V105">
        <v>1</v>
      </c>
      <c r="W105">
        <v>1</v>
      </c>
      <c r="X105">
        <v>1</v>
      </c>
      <c r="AI105">
        <v>1</v>
      </c>
      <c r="AK105">
        <v>1</v>
      </c>
      <c r="AY105">
        <v>1</v>
      </c>
      <c r="BM105">
        <v>1</v>
      </c>
      <c r="FV105" s="18">
        <f t="shared" ref="FV105:FV106" si="550">SUMPRODUCT(I105:FU105,$I$1:$FU$1)/(SUM($I$1:$FU$1))</f>
        <v>5.5806938159879339E-2</v>
      </c>
    </row>
    <row r="106" spans="1:178" ht="14.25" customHeight="1" x14ac:dyDescent="0.25">
      <c r="A106" s="86" t="s">
        <v>273</v>
      </c>
      <c r="B106">
        <v>9</v>
      </c>
      <c r="C106">
        <v>100</v>
      </c>
      <c r="D106" s="19" t="s">
        <v>9</v>
      </c>
      <c r="E106" s="19" t="s">
        <v>11</v>
      </c>
      <c r="F106" s="8" t="s">
        <v>197</v>
      </c>
      <c r="G106" s="8" t="s">
        <v>201</v>
      </c>
      <c r="H106" s="17" t="s">
        <v>220</v>
      </c>
      <c r="N106">
        <v>1</v>
      </c>
      <c r="O106">
        <v>1</v>
      </c>
      <c r="P106">
        <v>1</v>
      </c>
      <c r="Q106">
        <v>1</v>
      </c>
      <c r="R106">
        <v>1</v>
      </c>
      <c r="S106">
        <v>1</v>
      </c>
      <c r="T106">
        <v>1</v>
      </c>
      <c r="U106">
        <v>1</v>
      </c>
      <c r="Y106">
        <v>1</v>
      </c>
      <c r="Z106">
        <v>1</v>
      </c>
      <c r="AA106">
        <v>1</v>
      </c>
      <c r="AJ106">
        <v>1</v>
      </c>
      <c r="AL106">
        <v>1</v>
      </c>
      <c r="AM106">
        <v>1</v>
      </c>
      <c r="AN106">
        <v>1</v>
      </c>
      <c r="AV106">
        <v>1</v>
      </c>
      <c r="AZ106">
        <v>1</v>
      </c>
      <c r="BA106">
        <v>1</v>
      </c>
      <c r="BN106">
        <v>1</v>
      </c>
      <c r="CA106">
        <v>1</v>
      </c>
      <c r="CB106">
        <v>1</v>
      </c>
      <c r="CO106">
        <v>1</v>
      </c>
      <c r="CP106">
        <v>1</v>
      </c>
      <c r="DC106">
        <v>1</v>
      </c>
      <c r="DD106">
        <v>1</v>
      </c>
      <c r="DQ106">
        <v>1</v>
      </c>
      <c r="DR106">
        <v>1</v>
      </c>
      <c r="EE106">
        <v>1</v>
      </c>
      <c r="EF106">
        <v>1</v>
      </c>
      <c r="ES106">
        <v>1</v>
      </c>
      <c r="FV106" s="18">
        <f t="shared" si="550"/>
        <v>0.11161387631975868</v>
      </c>
    </row>
    <row r="107" spans="1:178" ht="14.25" customHeight="1" x14ac:dyDescent="0.25">
      <c r="A107" s="86" t="s">
        <v>273</v>
      </c>
      <c r="B107">
        <v>9</v>
      </c>
      <c r="C107">
        <v>100</v>
      </c>
      <c r="D107" s="19" t="s">
        <v>9</v>
      </c>
      <c r="E107" s="19" t="s">
        <v>10</v>
      </c>
      <c r="F107" s="8" t="s">
        <v>197</v>
      </c>
      <c r="G107" s="8" t="s">
        <v>201</v>
      </c>
      <c r="H107" s="8" t="s">
        <v>194</v>
      </c>
      <c r="I107">
        <v>1</v>
      </c>
      <c r="J107">
        <v>1</v>
      </c>
      <c r="K107">
        <v>1</v>
      </c>
      <c r="L107">
        <v>1</v>
      </c>
      <c r="M107">
        <v>1</v>
      </c>
      <c r="V107">
        <v>1</v>
      </c>
      <c r="W107">
        <v>1</v>
      </c>
      <c r="X107">
        <v>1</v>
      </c>
      <c r="Y107">
        <v>1</v>
      </c>
      <c r="AI107">
        <v>1</v>
      </c>
      <c r="AJ107">
        <v>1</v>
      </c>
      <c r="AK107">
        <v>1</v>
      </c>
      <c r="AV107">
        <v>1</v>
      </c>
      <c r="AY107">
        <v>1</v>
      </c>
      <c r="BM107">
        <v>1</v>
      </c>
      <c r="FV107" s="18">
        <f t="shared" ref="FV107:FV108" si="551">SUMPRODUCT(I107:FU107,$I$1:$FU$1)/(SUM($I$1:$FU$1))</f>
        <v>7.6923076923076927E-2</v>
      </c>
    </row>
    <row r="108" spans="1:178" ht="14.25" customHeight="1" x14ac:dyDescent="0.25">
      <c r="A108" s="86" t="s">
        <v>273</v>
      </c>
      <c r="B108">
        <v>9</v>
      </c>
      <c r="C108">
        <v>100</v>
      </c>
      <c r="D108" s="19" t="s">
        <v>9</v>
      </c>
      <c r="E108" s="19" t="s">
        <v>10</v>
      </c>
      <c r="F108" s="8" t="s">
        <v>197</v>
      </c>
      <c r="G108" s="8" t="s">
        <v>201</v>
      </c>
      <c r="H108" s="17" t="s">
        <v>220</v>
      </c>
      <c r="N108">
        <v>1</v>
      </c>
      <c r="O108">
        <v>1</v>
      </c>
      <c r="P108">
        <v>1</v>
      </c>
      <c r="Q108">
        <v>1</v>
      </c>
      <c r="R108">
        <v>1</v>
      </c>
      <c r="S108">
        <v>1</v>
      </c>
      <c r="T108">
        <v>1</v>
      </c>
      <c r="U108">
        <v>1</v>
      </c>
      <c r="Z108">
        <v>1</v>
      </c>
      <c r="AA108">
        <v>1</v>
      </c>
      <c r="AL108">
        <v>1</v>
      </c>
      <c r="AM108">
        <v>1</v>
      </c>
      <c r="AN108">
        <v>1</v>
      </c>
      <c r="AW108">
        <v>1</v>
      </c>
      <c r="AX108">
        <v>1</v>
      </c>
      <c r="AZ108">
        <v>1</v>
      </c>
      <c r="BA108">
        <v>1</v>
      </c>
      <c r="BI108">
        <v>1</v>
      </c>
      <c r="BN108">
        <v>1</v>
      </c>
      <c r="BO108">
        <v>1</v>
      </c>
      <c r="CA108">
        <v>1</v>
      </c>
      <c r="CB108">
        <v>1</v>
      </c>
      <c r="CC108">
        <v>1</v>
      </c>
      <c r="CO108">
        <v>1</v>
      </c>
      <c r="CP108">
        <v>1</v>
      </c>
      <c r="CQ108">
        <v>1</v>
      </c>
      <c r="DC108">
        <v>1</v>
      </c>
      <c r="DD108">
        <v>1</v>
      </c>
      <c r="DQ108">
        <v>1</v>
      </c>
      <c r="DR108">
        <v>1</v>
      </c>
      <c r="EE108">
        <v>1</v>
      </c>
      <c r="EF108">
        <v>1</v>
      </c>
      <c r="ES108">
        <v>1</v>
      </c>
      <c r="FG108">
        <v>1</v>
      </c>
      <c r="FU108">
        <v>1</v>
      </c>
      <c r="FV108" s="18">
        <f t="shared" si="551"/>
        <v>0.13574660633484162</v>
      </c>
    </row>
    <row r="109" spans="1:178" ht="14.25" customHeight="1" x14ac:dyDescent="0.25">
      <c r="A109" s="86" t="s">
        <v>273</v>
      </c>
      <c r="B109">
        <v>9</v>
      </c>
      <c r="C109">
        <v>100</v>
      </c>
      <c r="D109" s="19" t="s">
        <v>8</v>
      </c>
      <c r="E109" s="17" t="s">
        <v>15</v>
      </c>
      <c r="F109" s="8" t="s">
        <v>197</v>
      </c>
      <c r="G109" s="8" t="s">
        <v>201</v>
      </c>
      <c r="H109" s="8" t="s">
        <v>194</v>
      </c>
      <c r="I109">
        <v>1</v>
      </c>
      <c r="J109">
        <v>1</v>
      </c>
      <c r="K109">
        <v>1</v>
      </c>
      <c r="W109">
        <v>1</v>
      </c>
      <c r="AK109">
        <v>1</v>
      </c>
      <c r="FV109" s="18">
        <f t="shared" si="546"/>
        <v>1.9607843137254902E-2</v>
      </c>
    </row>
    <row r="110" spans="1:178" ht="14.25" customHeight="1" x14ac:dyDescent="0.25">
      <c r="A110" s="86" t="s">
        <v>273</v>
      </c>
      <c r="B110">
        <v>9</v>
      </c>
      <c r="C110">
        <v>100</v>
      </c>
      <c r="D110" s="19" t="s">
        <v>8</v>
      </c>
      <c r="E110" s="17" t="s">
        <v>15</v>
      </c>
      <c r="F110" s="8" t="s">
        <v>197</v>
      </c>
      <c r="G110" s="8" t="s">
        <v>201</v>
      </c>
      <c r="H110" s="17" t="s">
        <v>220</v>
      </c>
      <c r="CQ110">
        <v>1</v>
      </c>
      <c r="DD110">
        <v>1</v>
      </c>
      <c r="DE110">
        <v>1</v>
      </c>
      <c r="DR110">
        <v>1</v>
      </c>
      <c r="DS110">
        <v>1</v>
      </c>
      <c r="EF110">
        <v>1</v>
      </c>
      <c r="ET110">
        <v>1</v>
      </c>
      <c r="FV110" s="18">
        <f t="shared" si="546"/>
        <v>2.1116138763197588E-2</v>
      </c>
    </row>
    <row r="111" spans="1:178" ht="14.25" customHeight="1" x14ac:dyDescent="0.25">
      <c r="A111" s="86" t="s">
        <v>273</v>
      </c>
      <c r="B111">
        <v>9</v>
      </c>
      <c r="C111">
        <v>100</v>
      </c>
      <c r="D111" s="19" t="s">
        <v>8</v>
      </c>
      <c r="E111" s="17" t="s">
        <v>15</v>
      </c>
      <c r="F111" s="8" t="s">
        <v>197</v>
      </c>
      <c r="G111" s="8" t="s">
        <v>201</v>
      </c>
      <c r="H111" s="8" t="s">
        <v>195</v>
      </c>
      <c r="L111">
        <v>1</v>
      </c>
      <c r="M111">
        <v>1</v>
      </c>
      <c r="N111">
        <v>1</v>
      </c>
      <c r="O111">
        <v>1</v>
      </c>
      <c r="P111">
        <v>1</v>
      </c>
      <c r="Q111">
        <v>1</v>
      </c>
      <c r="R111">
        <v>1</v>
      </c>
      <c r="S111">
        <v>1</v>
      </c>
      <c r="T111">
        <v>1</v>
      </c>
      <c r="U111">
        <v>1</v>
      </c>
      <c r="V111">
        <v>1</v>
      </c>
      <c r="X111">
        <v>1</v>
      </c>
      <c r="Y111">
        <v>1</v>
      </c>
      <c r="Z111">
        <v>1</v>
      </c>
      <c r="AA111">
        <v>1</v>
      </c>
      <c r="AB111">
        <v>1</v>
      </c>
      <c r="AC111">
        <v>1</v>
      </c>
      <c r="AD111">
        <v>1</v>
      </c>
      <c r="AE111">
        <v>1</v>
      </c>
      <c r="AI111">
        <v>1</v>
      </c>
      <c r="AJ111">
        <v>1</v>
      </c>
      <c r="AL111">
        <v>1</v>
      </c>
      <c r="AM111">
        <v>1</v>
      </c>
      <c r="AN111">
        <v>1</v>
      </c>
      <c r="AO111">
        <v>1</v>
      </c>
      <c r="AP111">
        <v>1</v>
      </c>
      <c r="AV111">
        <v>1</v>
      </c>
      <c r="AW111">
        <v>1</v>
      </c>
      <c r="AX111">
        <v>1</v>
      </c>
      <c r="AY111">
        <v>1</v>
      </c>
      <c r="AZ111">
        <v>1</v>
      </c>
      <c r="BA111">
        <v>1</v>
      </c>
      <c r="BB111">
        <v>1</v>
      </c>
      <c r="BC111">
        <v>1</v>
      </c>
      <c r="BI111">
        <v>1</v>
      </c>
      <c r="BJ111">
        <v>1</v>
      </c>
      <c r="BK111">
        <v>1</v>
      </c>
      <c r="BL111">
        <v>1</v>
      </c>
      <c r="BM111">
        <v>1</v>
      </c>
      <c r="BN111">
        <v>1</v>
      </c>
      <c r="BO111">
        <v>1</v>
      </c>
      <c r="BP111">
        <v>1</v>
      </c>
      <c r="CA111">
        <v>1</v>
      </c>
      <c r="CB111">
        <v>1</v>
      </c>
      <c r="CC111">
        <v>1</v>
      </c>
      <c r="CD111">
        <v>1</v>
      </c>
      <c r="CO111">
        <v>1</v>
      </c>
      <c r="CP111">
        <v>1</v>
      </c>
      <c r="DC111">
        <v>1</v>
      </c>
      <c r="DQ111">
        <v>1</v>
      </c>
      <c r="EE111">
        <v>1</v>
      </c>
      <c r="ES111">
        <v>1</v>
      </c>
      <c r="FG111">
        <v>1</v>
      </c>
      <c r="FU111">
        <v>1</v>
      </c>
      <c r="FV111" s="18">
        <f t="shared" si="546"/>
        <v>0.23831070889894421</v>
      </c>
    </row>
    <row r="112" spans="1:178" ht="14.25" customHeight="1" x14ac:dyDescent="0.25">
      <c r="A112" s="86" t="s">
        <v>273</v>
      </c>
      <c r="B112">
        <v>9</v>
      </c>
      <c r="C112">
        <v>100</v>
      </c>
      <c r="D112" s="19" t="s">
        <v>8</v>
      </c>
      <c r="E112" s="17" t="s">
        <v>242</v>
      </c>
      <c r="F112" s="8" t="s">
        <v>197</v>
      </c>
      <c r="G112" s="8" t="s">
        <v>201</v>
      </c>
      <c r="H112" s="8" t="s">
        <v>194</v>
      </c>
      <c r="I112">
        <v>1</v>
      </c>
      <c r="J112">
        <v>1</v>
      </c>
      <c r="K112">
        <v>1</v>
      </c>
      <c r="W112">
        <v>1</v>
      </c>
      <c r="AK112">
        <v>1</v>
      </c>
      <c r="FV112" s="18">
        <f t="shared" ref="FV112:FV117" si="552">SUMPRODUCT(I112:FU112,$I$1:$FU$1)/(SUM($I$1:$FU$1))</f>
        <v>1.9607843137254902E-2</v>
      </c>
    </row>
    <row r="113" spans="1:178" ht="14.25" customHeight="1" x14ac:dyDescent="0.25">
      <c r="A113" s="86" t="s">
        <v>273</v>
      </c>
      <c r="B113">
        <v>9</v>
      </c>
      <c r="C113">
        <v>100</v>
      </c>
      <c r="D113" s="19" t="s">
        <v>8</v>
      </c>
      <c r="E113" s="17" t="s">
        <v>242</v>
      </c>
      <c r="F113" s="8" t="s">
        <v>197</v>
      </c>
      <c r="G113" s="8" t="s">
        <v>201</v>
      </c>
      <c r="H113" s="17" t="s">
        <v>220</v>
      </c>
      <c r="CQ113">
        <v>1</v>
      </c>
      <c r="DD113">
        <v>1</v>
      </c>
      <c r="DE113">
        <v>1</v>
      </c>
      <c r="DR113">
        <v>1</v>
      </c>
      <c r="DS113">
        <v>1</v>
      </c>
      <c r="EF113">
        <v>1</v>
      </c>
      <c r="ET113">
        <v>1</v>
      </c>
      <c r="FV113" s="18">
        <f t="shared" si="552"/>
        <v>2.1116138763197588E-2</v>
      </c>
    </row>
    <row r="114" spans="1:178" ht="14.25" customHeight="1" x14ac:dyDescent="0.25">
      <c r="A114" s="86" t="s">
        <v>273</v>
      </c>
      <c r="B114">
        <v>9</v>
      </c>
      <c r="C114">
        <v>100</v>
      </c>
      <c r="D114" s="19" t="s">
        <v>8</v>
      </c>
      <c r="E114" s="17" t="s">
        <v>242</v>
      </c>
      <c r="F114" s="8" t="s">
        <v>197</v>
      </c>
      <c r="G114" s="8" t="s">
        <v>201</v>
      </c>
      <c r="H114" s="8" t="s">
        <v>195</v>
      </c>
      <c r="L114">
        <v>1</v>
      </c>
      <c r="M114">
        <v>1</v>
      </c>
      <c r="N114">
        <v>1</v>
      </c>
      <c r="O114">
        <v>1</v>
      </c>
      <c r="P114">
        <v>1</v>
      </c>
      <c r="Q114">
        <v>1</v>
      </c>
      <c r="R114">
        <v>1</v>
      </c>
      <c r="S114">
        <v>1</v>
      </c>
      <c r="T114">
        <v>1</v>
      </c>
      <c r="U114">
        <v>1</v>
      </c>
      <c r="V114">
        <v>1</v>
      </c>
      <c r="X114">
        <v>1</v>
      </c>
      <c r="Y114">
        <v>1</v>
      </c>
      <c r="Z114">
        <v>1</v>
      </c>
      <c r="AA114">
        <v>1</v>
      </c>
      <c r="AB114">
        <v>1</v>
      </c>
      <c r="AC114">
        <v>1</v>
      </c>
      <c r="AD114">
        <v>1</v>
      </c>
      <c r="AE114">
        <v>1</v>
      </c>
      <c r="AI114">
        <v>1</v>
      </c>
      <c r="AJ114">
        <v>1</v>
      </c>
      <c r="AL114">
        <v>1</v>
      </c>
      <c r="AM114">
        <v>1</v>
      </c>
      <c r="AN114">
        <v>1</v>
      </c>
      <c r="AO114">
        <v>1</v>
      </c>
      <c r="AP114">
        <v>1</v>
      </c>
      <c r="AV114">
        <v>1</v>
      </c>
      <c r="AW114">
        <v>1</v>
      </c>
      <c r="AX114">
        <v>1</v>
      </c>
      <c r="AY114">
        <v>1</v>
      </c>
      <c r="AZ114">
        <v>1</v>
      </c>
      <c r="BA114">
        <v>1</v>
      </c>
      <c r="BB114">
        <v>1</v>
      </c>
      <c r="BC114">
        <v>1</v>
      </c>
      <c r="BI114">
        <v>1</v>
      </c>
      <c r="BJ114">
        <v>1</v>
      </c>
      <c r="BK114">
        <v>1</v>
      </c>
      <c r="BL114">
        <v>1</v>
      </c>
      <c r="BM114">
        <v>1</v>
      </c>
      <c r="BN114">
        <v>1</v>
      </c>
      <c r="BO114">
        <v>1</v>
      </c>
      <c r="BP114">
        <v>1</v>
      </c>
      <c r="CA114">
        <v>1</v>
      </c>
      <c r="CB114">
        <v>1</v>
      </c>
      <c r="CC114">
        <v>1</v>
      </c>
      <c r="CD114">
        <v>1</v>
      </c>
      <c r="CO114">
        <v>1</v>
      </c>
      <c r="CP114">
        <v>1</v>
      </c>
      <c r="DC114">
        <v>1</v>
      </c>
      <c r="DQ114">
        <v>1</v>
      </c>
      <c r="EE114">
        <v>1</v>
      </c>
      <c r="ES114">
        <v>1</v>
      </c>
      <c r="FG114">
        <v>1</v>
      </c>
      <c r="FU114">
        <v>1</v>
      </c>
      <c r="FV114" s="18">
        <f t="shared" si="552"/>
        <v>0.23831070889894421</v>
      </c>
    </row>
    <row r="115" spans="1:178" ht="14.25" customHeight="1" x14ac:dyDescent="0.25">
      <c r="A115" s="86" t="s">
        <v>273</v>
      </c>
      <c r="B115">
        <v>9</v>
      </c>
      <c r="C115">
        <v>100</v>
      </c>
      <c r="D115" s="19" t="s">
        <v>8</v>
      </c>
      <c r="E115" s="17" t="s">
        <v>14</v>
      </c>
      <c r="F115" s="8" t="s">
        <v>197</v>
      </c>
      <c r="G115" s="8" t="s">
        <v>201</v>
      </c>
      <c r="H115" s="8" t="s">
        <v>194</v>
      </c>
      <c r="I115">
        <v>1</v>
      </c>
      <c r="J115">
        <v>1</v>
      </c>
      <c r="K115">
        <v>1</v>
      </c>
      <c r="V115">
        <v>1</v>
      </c>
      <c r="W115">
        <v>1</v>
      </c>
      <c r="AK115">
        <v>1</v>
      </c>
      <c r="AY115">
        <v>1</v>
      </c>
      <c r="FV115" s="18">
        <f t="shared" si="552"/>
        <v>3.3182503770739065E-2</v>
      </c>
    </row>
    <row r="116" spans="1:178" ht="14.25" customHeight="1" x14ac:dyDescent="0.25">
      <c r="A116" s="86" t="s">
        <v>273</v>
      </c>
      <c r="B116">
        <v>9</v>
      </c>
      <c r="C116">
        <v>100</v>
      </c>
      <c r="D116" s="19" t="s">
        <v>8</v>
      </c>
      <c r="E116" s="17" t="s">
        <v>14</v>
      </c>
      <c r="F116" s="8" t="s">
        <v>197</v>
      </c>
      <c r="G116" s="8" t="s">
        <v>201</v>
      </c>
      <c r="H116" s="17" t="s">
        <v>220</v>
      </c>
      <c r="CQ116">
        <v>1</v>
      </c>
      <c r="CR116">
        <v>1</v>
      </c>
      <c r="DD116">
        <v>1</v>
      </c>
      <c r="DE116">
        <v>1</v>
      </c>
      <c r="DF116">
        <v>1</v>
      </c>
      <c r="DR116">
        <v>1</v>
      </c>
      <c r="DS116">
        <v>1</v>
      </c>
      <c r="EF116">
        <v>1</v>
      </c>
      <c r="EG116">
        <v>1</v>
      </c>
      <c r="ET116">
        <v>1</v>
      </c>
      <c r="FV116" s="18">
        <f t="shared" si="552"/>
        <v>3.0165912518853696E-2</v>
      </c>
    </row>
    <row r="117" spans="1:178" ht="14.25" customHeight="1" x14ac:dyDescent="0.25">
      <c r="A117" s="86" t="s">
        <v>273</v>
      </c>
      <c r="B117">
        <v>9</v>
      </c>
      <c r="C117">
        <v>100</v>
      </c>
      <c r="D117" s="19" t="s">
        <v>8</v>
      </c>
      <c r="E117" s="17" t="s">
        <v>14</v>
      </c>
      <c r="F117" s="8" t="s">
        <v>197</v>
      </c>
      <c r="G117" s="8" t="s">
        <v>201</v>
      </c>
      <c r="H117" s="8" t="s">
        <v>195</v>
      </c>
      <c r="L117">
        <v>1</v>
      </c>
      <c r="M117">
        <v>1</v>
      </c>
      <c r="N117">
        <v>1</v>
      </c>
      <c r="O117">
        <v>1</v>
      </c>
      <c r="P117">
        <v>1</v>
      </c>
      <c r="Q117">
        <v>1</v>
      </c>
      <c r="R117">
        <v>1</v>
      </c>
      <c r="S117">
        <v>1</v>
      </c>
      <c r="T117">
        <v>1</v>
      </c>
      <c r="U117">
        <v>1</v>
      </c>
      <c r="X117">
        <v>1</v>
      </c>
      <c r="Y117">
        <v>1</v>
      </c>
      <c r="Z117">
        <v>1</v>
      </c>
      <c r="AA117">
        <v>1</v>
      </c>
      <c r="AB117">
        <v>1</v>
      </c>
      <c r="AC117">
        <v>1</v>
      </c>
      <c r="AD117">
        <v>1</v>
      </c>
      <c r="AE117">
        <v>1</v>
      </c>
      <c r="AF117">
        <v>1</v>
      </c>
      <c r="AI117">
        <v>1</v>
      </c>
      <c r="AJ117">
        <v>1</v>
      </c>
      <c r="AL117">
        <v>1</v>
      </c>
      <c r="AM117">
        <v>1</v>
      </c>
      <c r="AN117">
        <v>1</v>
      </c>
      <c r="AO117">
        <v>1</v>
      </c>
      <c r="AP117">
        <v>1</v>
      </c>
      <c r="AQ117">
        <v>1</v>
      </c>
      <c r="AV117">
        <v>1</v>
      </c>
      <c r="AW117">
        <v>1</v>
      </c>
      <c r="AX117">
        <v>1</v>
      </c>
      <c r="AZ117">
        <v>1</v>
      </c>
      <c r="BA117">
        <v>1</v>
      </c>
      <c r="BB117">
        <v>1</v>
      </c>
      <c r="BC117">
        <v>1</v>
      </c>
      <c r="BD117">
        <v>1</v>
      </c>
      <c r="BI117">
        <v>1</v>
      </c>
      <c r="BJ117">
        <v>1</v>
      </c>
      <c r="BK117">
        <v>1</v>
      </c>
      <c r="BL117">
        <v>1</v>
      </c>
      <c r="BM117">
        <v>1</v>
      </c>
      <c r="BN117">
        <v>1</v>
      </c>
      <c r="BO117">
        <v>1</v>
      </c>
      <c r="BP117">
        <v>1</v>
      </c>
      <c r="BQ117">
        <v>1</v>
      </c>
      <c r="CA117">
        <v>1</v>
      </c>
      <c r="CB117">
        <v>1</v>
      </c>
      <c r="CC117">
        <v>1</v>
      </c>
      <c r="CD117">
        <v>1</v>
      </c>
      <c r="CO117">
        <v>1</v>
      </c>
      <c r="CP117">
        <v>1</v>
      </c>
      <c r="DC117">
        <v>1</v>
      </c>
      <c r="DQ117">
        <v>1</v>
      </c>
      <c r="EE117">
        <v>1</v>
      </c>
      <c r="ES117">
        <v>1</v>
      </c>
      <c r="FG117">
        <v>1</v>
      </c>
      <c r="FU117">
        <v>1</v>
      </c>
      <c r="FV117" s="18">
        <f t="shared" si="552"/>
        <v>0.2368024132730015</v>
      </c>
    </row>
    <row r="118" spans="1:178" ht="14.25" customHeight="1" x14ac:dyDescent="0.25">
      <c r="A118" s="86" t="s">
        <v>273</v>
      </c>
      <c r="B118">
        <v>9</v>
      </c>
      <c r="C118">
        <v>100</v>
      </c>
      <c r="D118" s="19" t="s">
        <v>8</v>
      </c>
      <c r="E118" s="17" t="s">
        <v>13</v>
      </c>
      <c r="F118" s="8" t="s">
        <v>197</v>
      </c>
      <c r="G118" s="8" t="s">
        <v>201</v>
      </c>
      <c r="H118" s="8" t="s">
        <v>194</v>
      </c>
      <c r="I118">
        <v>1</v>
      </c>
      <c r="J118">
        <v>1</v>
      </c>
      <c r="K118">
        <v>1</v>
      </c>
      <c r="L118">
        <v>1</v>
      </c>
      <c r="V118">
        <v>1</v>
      </c>
      <c r="W118">
        <v>1</v>
      </c>
      <c r="X118">
        <v>1</v>
      </c>
      <c r="AK118">
        <v>1</v>
      </c>
      <c r="AY118">
        <v>1</v>
      </c>
      <c r="BM118">
        <v>1</v>
      </c>
      <c r="FV118" s="18">
        <f t="shared" ref="FV118:FV120" si="553">SUMPRODUCT(I118:FU118,$I$1:$FU$1)/(SUM($I$1:$FU$1))</f>
        <v>4.3740573152337855E-2</v>
      </c>
    </row>
    <row r="119" spans="1:178" ht="14.25" customHeight="1" x14ac:dyDescent="0.25">
      <c r="A119" s="86" t="s">
        <v>273</v>
      </c>
      <c r="B119">
        <v>9</v>
      </c>
      <c r="C119">
        <v>100</v>
      </c>
      <c r="D119" s="19" t="s">
        <v>8</v>
      </c>
      <c r="E119" s="17" t="s">
        <v>13</v>
      </c>
      <c r="F119" s="8" t="s">
        <v>197</v>
      </c>
      <c r="G119" s="8" t="s">
        <v>201</v>
      </c>
      <c r="H119" s="17" t="s">
        <v>220</v>
      </c>
      <c r="BV119">
        <v>1</v>
      </c>
      <c r="CR119">
        <v>1</v>
      </c>
      <c r="DE119">
        <v>1</v>
      </c>
      <c r="DF119">
        <v>1</v>
      </c>
      <c r="DR119">
        <v>1</v>
      </c>
      <c r="DS119">
        <v>1</v>
      </c>
      <c r="EF119">
        <v>1</v>
      </c>
      <c r="EG119">
        <v>1</v>
      </c>
      <c r="ET119">
        <v>1</v>
      </c>
      <c r="FV119" s="18">
        <f t="shared" si="553"/>
        <v>3.3182503770739065E-2</v>
      </c>
    </row>
    <row r="120" spans="1:178" ht="14.25" customHeight="1" x14ac:dyDescent="0.25">
      <c r="A120" s="86" t="s">
        <v>273</v>
      </c>
      <c r="B120">
        <v>9</v>
      </c>
      <c r="C120">
        <v>100</v>
      </c>
      <c r="D120" s="19" t="s">
        <v>8</v>
      </c>
      <c r="E120" s="17" t="s">
        <v>13</v>
      </c>
      <c r="F120" s="8" t="s">
        <v>197</v>
      </c>
      <c r="G120" s="8" t="s">
        <v>201</v>
      </c>
      <c r="H120" s="8" t="s">
        <v>195</v>
      </c>
      <c r="M120">
        <v>1</v>
      </c>
      <c r="N120">
        <v>1</v>
      </c>
      <c r="O120">
        <v>1</v>
      </c>
      <c r="P120">
        <v>1</v>
      </c>
      <c r="Q120">
        <v>1</v>
      </c>
      <c r="R120">
        <v>1</v>
      </c>
      <c r="S120">
        <v>1</v>
      </c>
      <c r="T120">
        <v>1</v>
      </c>
      <c r="U120">
        <v>1</v>
      </c>
      <c r="Y120">
        <v>1</v>
      </c>
      <c r="Z120">
        <v>1</v>
      </c>
      <c r="AA120">
        <v>1</v>
      </c>
      <c r="AB120">
        <v>1</v>
      </c>
      <c r="AC120">
        <v>1</v>
      </c>
      <c r="AD120">
        <v>1</v>
      </c>
      <c r="AE120">
        <v>1</v>
      </c>
      <c r="AF120">
        <v>1</v>
      </c>
      <c r="AG120">
        <v>1</v>
      </c>
      <c r="AH120">
        <v>1</v>
      </c>
      <c r="AI120">
        <v>1</v>
      </c>
      <c r="AJ120">
        <v>1</v>
      </c>
      <c r="AL120">
        <v>1</v>
      </c>
      <c r="AM120">
        <v>1</v>
      </c>
      <c r="AN120">
        <v>1</v>
      </c>
      <c r="AO120">
        <v>1</v>
      </c>
      <c r="AP120">
        <v>1</v>
      </c>
      <c r="AQ120">
        <v>1</v>
      </c>
      <c r="AR120">
        <v>1</v>
      </c>
      <c r="AS120">
        <v>1</v>
      </c>
      <c r="AV120">
        <v>1</v>
      </c>
      <c r="AW120">
        <v>1</v>
      </c>
      <c r="AX120">
        <v>1</v>
      </c>
      <c r="AZ120">
        <v>1</v>
      </c>
      <c r="BA120">
        <v>1</v>
      </c>
      <c r="BB120">
        <v>1</v>
      </c>
      <c r="BC120">
        <v>1</v>
      </c>
      <c r="BD120">
        <v>1</v>
      </c>
      <c r="BE120">
        <v>1</v>
      </c>
      <c r="BI120">
        <v>1</v>
      </c>
      <c r="BJ120">
        <v>1</v>
      </c>
      <c r="BK120">
        <v>1</v>
      </c>
      <c r="BL120">
        <v>1</v>
      </c>
      <c r="BN120">
        <v>1</v>
      </c>
      <c r="BO120">
        <v>1</v>
      </c>
      <c r="BP120">
        <v>1</v>
      </c>
      <c r="BQ120">
        <v>1</v>
      </c>
      <c r="BR120">
        <v>1</v>
      </c>
      <c r="CA120">
        <v>1</v>
      </c>
      <c r="CB120">
        <v>1</v>
      </c>
      <c r="CC120">
        <v>1</v>
      </c>
      <c r="CD120">
        <v>1</v>
      </c>
      <c r="CE120">
        <v>1</v>
      </c>
      <c r="CO120">
        <v>1</v>
      </c>
      <c r="CP120">
        <v>1</v>
      </c>
      <c r="CQ120">
        <v>1</v>
      </c>
      <c r="DC120">
        <v>1</v>
      </c>
      <c r="DD120">
        <v>1</v>
      </c>
      <c r="DQ120">
        <v>1</v>
      </c>
      <c r="EE120">
        <v>1</v>
      </c>
      <c r="ES120">
        <v>1</v>
      </c>
      <c r="FG120">
        <v>1</v>
      </c>
      <c r="FU120">
        <v>1</v>
      </c>
      <c r="FV120" s="18">
        <f t="shared" si="553"/>
        <v>0.25339366515837103</v>
      </c>
    </row>
    <row r="121" spans="1:178" ht="14.25" customHeight="1" x14ac:dyDescent="0.25">
      <c r="A121" s="86" t="s">
        <v>273</v>
      </c>
      <c r="B121">
        <v>9</v>
      </c>
      <c r="C121">
        <v>100</v>
      </c>
      <c r="D121" s="19" t="s">
        <v>8</v>
      </c>
      <c r="E121" s="19" t="s">
        <v>12</v>
      </c>
      <c r="F121" s="8" t="s">
        <v>197</v>
      </c>
      <c r="G121" s="8" t="s">
        <v>201</v>
      </c>
      <c r="H121" s="8" t="s">
        <v>194</v>
      </c>
      <c r="I121">
        <v>1</v>
      </c>
      <c r="J121">
        <v>1</v>
      </c>
      <c r="K121">
        <v>1</v>
      </c>
      <c r="L121">
        <v>1</v>
      </c>
      <c r="V121">
        <v>1</v>
      </c>
      <c r="W121">
        <v>1</v>
      </c>
      <c r="X121">
        <v>1</v>
      </c>
      <c r="AI121">
        <v>1</v>
      </c>
      <c r="AK121">
        <v>1</v>
      </c>
      <c r="AY121">
        <v>1</v>
      </c>
      <c r="BM121">
        <v>1</v>
      </c>
      <c r="FV121" s="18">
        <f t="shared" ref="FV121:FV123" si="554">SUMPRODUCT(I121:FU121,$I$1:$FU$1)/(SUM($I$1:$FU$1))</f>
        <v>5.2790346907993967E-2</v>
      </c>
    </row>
    <row r="122" spans="1:178" ht="14.25" customHeight="1" x14ac:dyDescent="0.25">
      <c r="A122" s="86" t="s">
        <v>273</v>
      </c>
      <c r="B122">
        <v>9</v>
      </c>
      <c r="C122">
        <v>100</v>
      </c>
      <c r="D122" s="19" t="s">
        <v>8</v>
      </c>
      <c r="E122" s="19" t="s">
        <v>12</v>
      </c>
      <c r="F122" s="8" t="s">
        <v>197</v>
      </c>
      <c r="G122" s="8" t="s">
        <v>201</v>
      </c>
      <c r="H122" s="17" t="s">
        <v>220</v>
      </c>
      <c r="BV122">
        <v>1</v>
      </c>
      <c r="CR122">
        <v>1</v>
      </c>
      <c r="DD122">
        <v>1</v>
      </c>
      <c r="DE122">
        <v>1</v>
      </c>
      <c r="DF122">
        <v>1</v>
      </c>
      <c r="DR122">
        <v>1</v>
      </c>
      <c r="DS122">
        <v>1</v>
      </c>
      <c r="DT122">
        <v>1</v>
      </c>
      <c r="EF122">
        <v>1</v>
      </c>
      <c r="EG122">
        <v>1</v>
      </c>
      <c r="ET122">
        <v>1</v>
      </c>
      <c r="FH122">
        <v>1</v>
      </c>
      <c r="FV122" s="18">
        <f t="shared" si="554"/>
        <v>4.2232277526395176E-2</v>
      </c>
    </row>
    <row r="123" spans="1:178" ht="14.25" customHeight="1" x14ac:dyDescent="0.25">
      <c r="A123" s="86" t="s">
        <v>273</v>
      </c>
      <c r="B123">
        <v>9</v>
      </c>
      <c r="C123">
        <v>100</v>
      </c>
      <c r="D123" s="19" t="s">
        <v>8</v>
      </c>
      <c r="E123" s="19" t="s">
        <v>12</v>
      </c>
      <c r="F123" s="8" t="s">
        <v>197</v>
      </c>
      <c r="G123" s="8" t="s">
        <v>201</v>
      </c>
      <c r="H123" s="8" t="s">
        <v>195</v>
      </c>
      <c r="M123">
        <v>1</v>
      </c>
      <c r="N123">
        <v>1</v>
      </c>
      <c r="O123">
        <v>1</v>
      </c>
      <c r="P123">
        <v>1</v>
      </c>
      <c r="Q123">
        <v>1</v>
      </c>
      <c r="R123">
        <v>1</v>
      </c>
      <c r="S123">
        <v>1</v>
      </c>
      <c r="T123">
        <v>1</v>
      </c>
      <c r="U123">
        <v>1</v>
      </c>
      <c r="Y123">
        <v>1</v>
      </c>
      <c r="Z123">
        <v>1</v>
      </c>
      <c r="AA123">
        <v>1</v>
      </c>
      <c r="AB123">
        <v>1</v>
      </c>
      <c r="AC123">
        <v>1</v>
      </c>
      <c r="AD123">
        <v>1</v>
      </c>
      <c r="AE123">
        <v>1</v>
      </c>
      <c r="AF123">
        <v>1</v>
      </c>
      <c r="AG123">
        <v>1</v>
      </c>
      <c r="AH123">
        <v>1</v>
      </c>
      <c r="AJ123">
        <v>1</v>
      </c>
      <c r="AL123">
        <v>1</v>
      </c>
      <c r="AM123">
        <v>1</v>
      </c>
      <c r="AN123">
        <v>1</v>
      </c>
      <c r="AO123">
        <v>1</v>
      </c>
      <c r="AP123">
        <v>1</v>
      </c>
      <c r="AQ123">
        <v>1</v>
      </c>
      <c r="AR123">
        <v>1</v>
      </c>
      <c r="AS123">
        <v>1</v>
      </c>
      <c r="AV123">
        <v>1</v>
      </c>
      <c r="AW123">
        <v>1</v>
      </c>
      <c r="AX123">
        <v>1</v>
      </c>
      <c r="AZ123">
        <v>1</v>
      </c>
      <c r="BA123">
        <v>1</v>
      </c>
      <c r="BB123">
        <v>1</v>
      </c>
      <c r="BC123">
        <v>1</v>
      </c>
      <c r="BD123">
        <v>1</v>
      </c>
      <c r="BE123">
        <v>1</v>
      </c>
      <c r="BI123">
        <v>1</v>
      </c>
      <c r="BJ123">
        <v>1</v>
      </c>
      <c r="BK123">
        <v>1</v>
      </c>
      <c r="BL123">
        <v>1</v>
      </c>
      <c r="BN123">
        <v>1</v>
      </c>
      <c r="BO123">
        <v>1</v>
      </c>
      <c r="BP123">
        <v>1</v>
      </c>
      <c r="BQ123">
        <v>1</v>
      </c>
      <c r="BR123">
        <v>1</v>
      </c>
      <c r="CA123">
        <v>1</v>
      </c>
      <c r="CB123">
        <v>1</v>
      </c>
      <c r="CC123">
        <v>1</v>
      </c>
      <c r="CD123">
        <v>1</v>
      </c>
      <c r="CE123">
        <v>1</v>
      </c>
      <c r="CO123">
        <v>1</v>
      </c>
      <c r="CP123">
        <v>1</v>
      </c>
      <c r="CQ123">
        <v>1</v>
      </c>
      <c r="DC123">
        <v>1</v>
      </c>
      <c r="DQ123">
        <v>1</v>
      </c>
      <c r="EE123">
        <v>1</v>
      </c>
      <c r="ES123">
        <v>1</v>
      </c>
      <c r="FG123">
        <v>1</v>
      </c>
      <c r="FU123">
        <v>1</v>
      </c>
      <c r="FV123" s="18">
        <f t="shared" si="554"/>
        <v>0.24132730015082957</v>
      </c>
    </row>
    <row r="124" spans="1:178" ht="14.25" customHeight="1" x14ac:dyDescent="0.25">
      <c r="A124" s="86" t="s">
        <v>273</v>
      </c>
      <c r="B124">
        <v>9</v>
      </c>
      <c r="C124">
        <v>100</v>
      </c>
      <c r="D124" s="19" t="s">
        <v>8</v>
      </c>
      <c r="E124" s="19" t="s">
        <v>11</v>
      </c>
      <c r="F124" s="8" t="s">
        <v>197</v>
      </c>
      <c r="G124" s="8" t="s">
        <v>201</v>
      </c>
      <c r="H124" s="8" t="s">
        <v>194</v>
      </c>
      <c r="I124">
        <v>1</v>
      </c>
      <c r="J124">
        <v>1</v>
      </c>
      <c r="K124">
        <v>1</v>
      </c>
      <c r="L124">
        <v>1</v>
      </c>
      <c r="M124">
        <v>1</v>
      </c>
      <c r="V124">
        <v>1</v>
      </c>
      <c r="W124">
        <v>1</v>
      </c>
      <c r="X124">
        <v>1</v>
      </c>
      <c r="Y124">
        <v>1</v>
      </c>
      <c r="AI124">
        <v>1</v>
      </c>
      <c r="AJ124">
        <v>1</v>
      </c>
      <c r="AK124">
        <v>1</v>
      </c>
      <c r="AL124">
        <v>1</v>
      </c>
      <c r="AV124">
        <v>1</v>
      </c>
      <c r="AY124">
        <v>1</v>
      </c>
      <c r="BM124">
        <v>1</v>
      </c>
      <c r="FV124" s="18">
        <f t="shared" ref="FV124:FV126" si="555">SUMPRODUCT(I124:FU124,$I$1:$FU$1)/(SUM($I$1:$FU$1))</f>
        <v>7.9939668174962286E-2</v>
      </c>
    </row>
    <row r="125" spans="1:178" ht="14.25" customHeight="1" x14ac:dyDescent="0.25">
      <c r="A125" s="86" t="s">
        <v>273</v>
      </c>
      <c r="B125">
        <v>9</v>
      </c>
      <c r="C125">
        <v>100</v>
      </c>
      <c r="D125" s="19" t="s">
        <v>8</v>
      </c>
      <c r="E125" s="19" t="s">
        <v>11</v>
      </c>
      <c r="F125" s="8" t="s">
        <v>197</v>
      </c>
      <c r="G125" s="8" t="s">
        <v>201</v>
      </c>
      <c r="H125" s="17" t="s">
        <v>220</v>
      </c>
      <c r="CR125">
        <v>1</v>
      </c>
      <c r="CS125">
        <v>1</v>
      </c>
      <c r="DD125">
        <v>1</v>
      </c>
      <c r="DE125">
        <v>1</v>
      </c>
      <c r="DF125">
        <v>1</v>
      </c>
      <c r="DG125">
        <v>1</v>
      </c>
      <c r="DR125">
        <v>1</v>
      </c>
      <c r="DS125">
        <v>1</v>
      </c>
      <c r="DT125">
        <v>1</v>
      </c>
      <c r="EF125">
        <v>1</v>
      </c>
      <c r="EG125">
        <v>1</v>
      </c>
      <c r="EH125">
        <v>1</v>
      </c>
      <c r="EI125">
        <v>1</v>
      </c>
      <c r="ET125">
        <v>1</v>
      </c>
      <c r="EU125">
        <v>1</v>
      </c>
      <c r="EV125">
        <v>1</v>
      </c>
      <c r="FH125">
        <v>1</v>
      </c>
      <c r="FV125" s="18">
        <f t="shared" si="555"/>
        <v>6.3348416289592757E-2</v>
      </c>
    </row>
    <row r="126" spans="1:178" ht="14.25" customHeight="1" x14ac:dyDescent="0.25">
      <c r="A126" s="86" t="s">
        <v>273</v>
      </c>
      <c r="B126">
        <v>9</v>
      </c>
      <c r="C126">
        <v>100</v>
      </c>
      <c r="D126" s="19" t="s">
        <v>8</v>
      </c>
      <c r="E126" s="19" t="s">
        <v>11</v>
      </c>
      <c r="F126" s="8" t="s">
        <v>197</v>
      </c>
      <c r="G126" s="8" t="s">
        <v>201</v>
      </c>
      <c r="H126" s="8" t="s">
        <v>195</v>
      </c>
      <c r="N126">
        <v>1</v>
      </c>
      <c r="O126">
        <v>1</v>
      </c>
      <c r="P126">
        <v>1</v>
      </c>
      <c r="Q126">
        <v>1</v>
      </c>
      <c r="R126">
        <v>1</v>
      </c>
      <c r="S126">
        <v>1</v>
      </c>
      <c r="T126">
        <v>1</v>
      </c>
      <c r="U126">
        <v>1</v>
      </c>
      <c r="Z126">
        <v>1</v>
      </c>
      <c r="AA126">
        <v>1</v>
      </c>
      <c r="AB126">
        <v>1</v>
      </c>
      <c r="AC126">
        <v>1</v>
      </c>
      <c r="AD126">
        <v>1</v>
      </c>
      <c r="AE126">
        <v>1</v>
      </c>
      <c r="AF126">
        <v>1</v>
      </c>
      <c r="AG126">
        <v>1</v>
      </c>
      <c r="AH126">
        <v>1</v>
      </c>
      <c r="AM126">
        <v>1</v>
      </c>
      <c r="AN126">
        <v>1</v>
      </c>
      <c r="AO126">
        <v>1</v>
      </c>
      <c r="AP126">
        <v>1</v>
      </c>
      <c r="AQ126">
        <v>1</v>
      </c>
      <c r="AR126">
        <v>1</v>
      </c>
      <c r="AS126">
        <v>1</v>
      </c>
      <c r="AW126">
        <v>1</v>
      </c>
      <c r="AX126">
        <v>1</v>
      </c>
      <c r="AZ126">
        <v>1</v>
      </c>
      <c r="BA126">
        <v>1</v>
      </c>
      <c r="BB126">
        <v>1</v>
      </c>
      <c r="BC126">
        <v>1</v>
      </c>
      <c r="BD126">
        <v>1</v>
      </c>
      <c r="BE126">
        <v>1</v>
      </c>
      <c r="BF126">
        <v>1</v>
      </c>
      <c r="BI126">
        <v>1</v>
      </c>
      <c r="BJ126">
        <v>1</v>
      </c>
      <c r="BK126">
        <v>1</v>
      </c>
      <c r="BL126">
        <v>1</v>
      </c>
      <c r="BN126">
        <v>1</v>
      </c>
      <c r="BO126">
        <v>1</v>
      </c>
      <c r="BP126">
        <v>1</v>
      </c>
      <c r="BQ126">
        <v>1</v>
      </c>
      <c r="BR126">
        <v>1</v>
      </c>
      <c r="BS126">
        <v>1</v>
      </c>
      <c r="BV126">
        <v>1</v>
      </c>
      <c r="BW126">
        <v>1</v>
      </c>
      <c r="BX126">
        <v>1</v>
      </c>
      <c r="BY126">
        <v>1</v>
      </c>
      <c r="BZ126">
        <v>1</v>
      </c>
      <c r="CA126">
        <v>1</v>
      </c>
      <c r="CB126">
        <v>1</v>
      </c>
      <c r="CC126">
        <v>1</v>
      </c>
      <c r="CD126">
        <v>1</v>
      </c>
      <c r="CE126">
        <v>1</v>
      </c>
      <c r="CF126">
        <v>1</v>
      </c>
      <c r="CI126">
        <v>1</v>
      </c>
      <c r="CN126">
        <v>1</v>
      </c>
      <c r="CO126">
        <v>1</v>
      </c>
      <c r="CP126">
        <v>1</v>
      </c>
      <c r="CQ126">
        <v>1</v>
      </c>
      <c r="DC126">
        <v>1</v>
      </c>
      <c r="DQ126">
        <v>1</v>
      </c>
      <c r="DV126">
        <v>1</v>
      </c>
      <c r="EE126">
        <v>1</v>
      </c>
      <c r="ES126">
        <v>1</v>
      </c>
      <c r="FG126">
        <v>1</v>
      </c>
      <c r="FU126">
        <v>1</v>
      </c>
      <c r="FV126" s="18">
        <f t="shared" si="555"/>
        <v>0.29562594268476622</v>
      </c>
    </row>
    <row r="127" spans="1:178" ht="14.25" customHeight="1" x14ac:dyDescent="0.25">
      <c r="A127" s="86" t="s">
        <v>273</v>
      </c>
      <c r="B127">
        <v>9</v>
      </c>
      <c r="C127">
        <v>100</v>
      </c>
      <c r="D127" s="19" t="s">
        <v>8</v>
      </c>
      <c r="E127" s="19" t="s">
        <v>10</v>
      </c>
      <c r="F127" s="8" t="s">
        <v>197</v>
      </c>
      <c r="G127" s="8" t="s">
        <v>201</v>
      </c>
      <c r="H127" s="8" t="s">
        <v>194</v>
      </c>
      <c r="I127">
        <v>1</v>
      </c>
      <c r="J127">
        <v>1</v>
      </c>
      <c r="K127">
        <v>1</v>
      </c>
      <c r="L127">
        <v>1</v>
      </c>
      <c r="M127">
        <v>1</v>
      </c>
      <c r="V127">
        <v>1</v>
      </c>
      <c r="W127">
        <v>1</v>
      </c>
      <c r="X127">
        <v>1</v>
      </c>
      <c r="Y127">
        <v>1</v>
      </c>
      <c r="Z127">
        <v>1</v>
      </c>
      <c r="AI127">
        <v>1</v>
      </c>
      <c r="AJ127">
        <v>1</v>
      </c>
      <c r="AK127">
        <v>1</v>
      </c>
      <c r="AL127">
        <v>1</v>
      </c>
      <c r="AM127">
        <v>1</v>
      </c>
      <c r="AV127">
        <v>1</v>
      </c>
      <c r="AY127">
        <v>1</v>
      </c>
      <c r="AZ127">
        <v>1</v>
      </c>
      <c r="BM127">
        <v>1</v>
      </c>
      <c r="CA127">
        <v>1</v>
      </c>
      <c r="FV127" s="18">
        <f t="shared" ref="FV127:FV129" si="556">SUMPRODUCT(I127:FU127,$I$1:$FU$1)/(SUM($I$1:$FU$1))</f>
        <v>9.3514328808446456E-2</v>
      </c>
    </row>
    <row r="128" spans="1:178" ht="14.25" customHeight="1" x14ac:dyDescent="0.25">
      <c r="A128" s="86" t="s">
        <v>273</v>
      </c>
      <c r="B128">
        <v>9</v>
      </c>
      <c r="C128">
        <v>100</v>
      </c>
      <c r="D128" s="19" t="s">
        <v>8</v>
      </c>
      <c r="E128" s="19" t="s">
        <v>10</v>
      </c>
      <c r="F128" s="8" t="s">
        <v>197</v>
      </c>
      <c r="G128" s="8" t="s">
        <v>201</v>
      </c>
      <c r="H128" s="17" t="s">
        <v>220</v>
      </c>
      <c r="DD128">
        <v>1</v>
      </c>
      <c r="DE128">
        <v>1</v>
      </c>
      <c r="DF128">
        <v>1</v>
      </c>
      <c r="DG128">
        <v>1</v>
      </c>
      <c r="DK128">
        <v>1</v>
      </c>
      <c r="DR128">
        <v>1</v>
      </c>
      <c r="DS128">
        <v>1</v>
      </c>
      <c r="DT128">
        <v>1</v>
      </c>
      <c r="DW128">
        <v>1</v>
      </c>
      <c r="DX128">
        <v>1</v>
      </c>
      <c r="EC128">
        <v>1</v>
      </c>
      <c r="ED128">
        <v>1</v>
      </c>
      <c r="EF128">
        <v>1</v>
      </c>
      <c r="EG128">
        <v>1</v>
      </c>
      <c r="EH128">
        <v>1</v>
      </c>
      <c r="EJ128">
        <v>1</v>
      </c>
      <c r="ET128">
        <v>1</v>
      </c>
      <c r="EU128">
        <v>1</v>
      </c>
      <c r="EV128">
        <v>1</v>
      </c>
      <c r="EW128">
        <v>1</v>
      </c>
      <c r="FH128">
        <v>1</v>
      </c>
      <c r="FI128">
        <v>1</v>
      </c>
      <c r="FJ128">
        <v>1</v>
      </c>
      <c r="FV128" s="18">
        <f t="shared" si="556"/>
        <v>0.1297134238310709</v>
      </c>
    </row>
    <row r="129" spans="1:178" ht="14.25" customHeight="1" x14ac:dyDescent="0.25">
      <c r="A129" s="86" t="s">
        <v>273</v>
      </c>
      <c r="B129">
        <v>9</v>
      </c>
      <c r="C129">
        <v>100</v>
      </c>
      <c r="D129" s="19" t="s">
        <v>8</v>
      </c>
      <c r="E129" s="19" t="s">
        <v>10</v>
      </c>
      <c r="F129" s="8" t="s">
        <v>197</v>
      </c>
      <c r="G129" s="8" t="s">
        <v>201</v>
      </c>
      <c r="H129" s="8" t="s">
        <v>195</v>
      </c>
      <c r="N129">
        <v>1</v>
      </c>
      <c r="O129">
        <v>1</v>
      </c>
      <c r="P129">
        <v>1</v>
      </c>
      <c r="Q129">
        <v>1</v>
      </c>
      <c r="R129">
        <v>1</v>
      </c>
      <c r="S129">
        <v>1</v>
      </c>
      <c r="T129">
        <v>1</v>
      </c>
      <c r="U129">
        <v>1</v>
      </c>
      <c r="AA129">
        <v>1</v>
      </c>
      <c r="AB129">
        <v>1</v>
      </c>
      <c r="AC129">
        <v>1</v>
      </c>
      <c r="AD129">
        <v>1</v>
      </c>
      <c r="AE129">
        <v>1</v>
      </c>
      <c r="AF129">
        <v>1</v>
      </c>
      <c r="AG129">
        <v>1</v>
      </c>
      <c r="AH129">
        <v>1</v>
      </c>
      <c r="AN129">
        <v>1</v>
      </c>
      <c r="AO129">
        <v>1</v>
      </c>
      <c r="AP129">
        <v>1</v>
      </c>
      <c r="AQ129">
        <v>1</v>
      </c>
      <c r="AR129">
        <v>1</v>
      </c>
      <c r="AS129">
        <v>1</v>
      </c>
      <c r="AT129">
        <v>1</v>
      </c>
      <c r="AU129">
        <v>1</v>
      </c>
      <c r="AW129">
        <v>1</v>
      </c>
      <c r="AX129">
        <v>1</v>
      </c>
      <c r="BA129">
        <v>1</v>
      </c>
      <c r="BB129">
        <v>1</v>
      </c>
      <c r="BC129">
        <v>1</v>
      </c>
      <c r="BD129">
        <v>1</v>
      </c>
      <c r="BE129">
        <v>1</v>
      </c>
      <c r="BF129">
        <v>1</v>
      </c>
      <c r="BG129">
        <v>1</v>
      </c>
      <c r="BH129">
        <v>1</v>
      </c>
      <c r="BI129">
        <v>1</v>
      </c>
      <c r="BJ129">
        <v>1</v>
      </c>
      <c r="BK129">
        <v>1</v>
      </c>
      <c r="BL129">
        <v>1</v>
      </c>
      <c r="BN129">
        <v>1</v>
      </c>
      <c r="BO129">
        <v>1</v>
      </c>
      <c r="BP129">
        <v>1</v>
      </c>
      <c r="BQ129">
        <v>1</v>
      </c>
      <c r="BR129">
        <v>1</v>
      </c>
      <c r="BS129">
        <v>1</v>
      </c>
      <c r="BT129">
        <v>1</v>
      </c>
      <c r="BU129">
        <v>1</v>
      </c>
      <c r="BV129">
        <v>1</v>
      </c>
      <c r="BW129">
        <v>1</v>
      </c>
      <c r="BX129">
        <v>1</v>
      </c>
      <c r="BY129">
        <v>1</v>
      </c>
      <c r="BZ129">
        <v>1</v>
      </c>
      <c r="CB129">
        <v>1</v>
      </c>
      <c r="CC129">
        <v>1</v>
      </c>
      <c r="CD129">
        <v>1</v>
      </c>
      <c r="CE129">
        <v>1</v>
      </c>
      <c r="CF129">
        <v>1</v>
      </c>
      <c r="CG129">
        <v>1</v>
      </c>
      <c r="CH129">
        <v>1</v>
      </c>
      <c r="CI129">
        <v>1</v>
      </c>
      <c r="CJ129">
        <v>1</v>
      </c>
      <c r="CK129">
        <v>1</v>
      </c>
      <c r="CL129">
        <v>1</v>
      </c>
      <c r="CM129">
        <v>1</v>
      </c>
      <c r="CN129">
        <v>1</v>
      </c>
      <c r="CO129">
        <v>1</v>
      </c>
      <c r="CP129">
        <v>1</v>
      </c>
      <c r="CQ129">
        <v>1</v>
      </c>
      <c r="CR129">
        <v>1</v>
      </c>
      <c r="CS129">
        <v>1</v>
      </c>
      <c r="CT129">
        <v>1</v>
      </c>
      <c r="CU129">
        <v>1</v>
      </c>
      <c r="CV129">
        <v>1</v>
      </c>
      <c r="CW129">
        <v>1</v>
      </c>
      <c r="CX129">
        <v>1</v>
      </c>
      <c r="CY129">
        <v>1</v>
      </c>
      <c r="CZ129">
        <v>1</v>
      </c>
      <c r="DA129">
        <v>1</v>
      </c>
      <c r="DB129">
        <v>1</v>
      </c>
      <c r="DC129">
        <v>1</v>
      </c>
      <c r="DH129">
        <v>1</v>
      </c>
      <c r="DI129">
        <v>1</v>
      </c>
      <c r="DJ129">
        <v>1</v>
      </c>
      <c r="DL129">
        <v>1</v>
      </c>
      <c r="DM129">
        <v>1</v>
      </c>
      <c r="DN129">
        <v>1</v>
      </c>
      <c r="DO129">
        <v>1</v>
      </c>
      <c r="DP129">
        <v>1</v>
      </c>
      <c r="DQ129">
        <v>1</v>
      </c>
      <c r="DU129">
        <v>1</v>
      </c>
      <c r="DV129">
        <v>1</v>
      </c>
      <c r="EE129">
        <v>1</v>
      </c>
      <c r="EI129">
        <v>1</v>
      </c>
      <c r="ES129">
        <v>1</v>
      </c>
      <c r="FG129">
        <v>1</v>
      </c>
      <c r="FU129">
        <v>1</v>
      </c>
      <c r="FV129" s="18">
        <f t="shared" si="556"/>
        <v>0.4962292609351433</v>
      </c>
    </row>
    <row r="130" spans="1:178" ht="14.25" customHeight="1" x14ac:dyDescent="0.25">
      <c r="A130" s="86" t="s">
        <v>273</v>
      </c>
      <c r="B130">
        <v>9</v>
      </c>
      <c r="C130">
        <v>100</v>
      </c>
      <c r="D130" s="19" t="s">
        <v>8</v>
      </c>
      <c r="E130" s="19" t="s">
        <v>9</v>
      </c>
      <c r="F130" s="8" t="s">
        <v>197</v>
      </c>
      <c r="G130" s="8" t="s">
        <v>201</v>
      </c>
      <c r="H130" s="8" t="s">
        <v>194</v>
      </c>
      <c r="I130">
        <v>1</v>
      </c>
      <c r="J130">
        <v>1</v>
      </c>
      <c r="K130">
        <v>1</v>
      </c>
      <c r="L130">
        <v>1</v>
      </c>
      <c r="M130">
        <v>1</v>
      </c>
      <c r="V130">
        <v>1</v>
      </c>
      <c r="W130">
        <v>1</v>
      </c>
      <c r="X130">
        <v>1</v>
      </c>
      <c r="Y130">
        <v>1</v>
      </c>
      <c r="Z130">
        <v>1</v>
      </c>
      <c r="AI130">
        <v>1</v>
      </c>
      <c r="AJ130">
        <v>1</v>
      </c>
      <c r="AK130">
        <v>1</v>
      </c>
      <c r="AL130">
        <v>1</v>
      </c>
      <c r="AM130">
        <v>1</v>
      </c>
      <c r="AV130">
        <v>1</v>
      </c>
      <c r="AY130">
        <v>1</v>
      </c>
      <c r="AZ130">
        <v>1</v>
      </c>
      <c r="BM130">
        <v>1</v>
      </c>
      <c r="CA130">
        <v>1</v>
      </c>
      <c r="FV130" s="18">
        <f t="shared" ref="FV130:FV133" si="557">SUMPRODUCT(I130:FU130,$I$1:$FU$1)/(SUM($I$1:$FU$1))</f>
        <v>9.3514328808446456E-2</v>
      </c>
    </row>
    <row r="131" spans="1:178" ht="14.25" customHeight="1" x14ac:dyDescent="0.25">
      <c r="A131" s="86" t="s">
        <v>273</v>
      </c>
      <c r="B131">
        <v>9</v>
      </c>
      <c r="C131">
        <v>100</v>
      </c>
      <c r="D131" s="19" t="s">
        <v>8</v>
      </c>
      <c r="E131" s="19" t="s">
        <v>9</v>
      </c>
      <c r="F131" s="8" t="s">
        <v>197</v>
      </c>
      <c r="G131" s="8" t="s">
        <v>201</v>
      </c>
      <c r="H131" s="17" t="s">
        <v>220</v>
      </c>
      <c r="BA131">
        <v>1</v>
      </c>
      <c r="BN131">
        <v>1</v>
      </c>
      <c r="BO131">
        <v>1</v>
      </c>
      <c r="CB131">
        <v>1</v>
      </c>
      <c r="CP131">
        <v>1</v>
      </c>
      <c r="DD131">
        <v>1</v>
      </c>
      <c r="DP131">
        <v>1</v>
      </c>
      <c r="DR131">
        <v>1</v>
      </c>
      <c r="DY131">
        <v>1</v>
      </c>
      <c r="DZ131">
        <v>1</v>
      </c>
      <c r="EC131">
        <v>1</v>
      </c>
      <c r="ED131">
        <v>1</v>
      </c>
      <c r="EF131">
        <v>1</v>
      </c>
      <c r="EK131">
        <v>1</v>
      </c>
      <c r="EQ131">
        <v>1</v>
      </c>
      <c r="ER131">
        <v>1</v>
      </c>
      <c r="EW131">
        <v>1</v>
      </c>
      <c r="EX131">
        <v>1</v>
      </c>
      <c r="FI131">
        <v>1</v>
      </c>
      <c r="FJ131">
        <v>1</v>
      </c>
      <c r="FK131">
        <v>1</v>
      </c>
      <c r="FV131" s="18">
        <f t="shared" si="557"/>
        <v>0.14177978883861236</v>
      </c>
    </row>
    <row r="132" spans="1:178" ht="14.25" customHeight="1" x14ac:dyDescent="0.25">
      <c r="A132" s="86" t="s">
        <v>273</v>
      </c>
      <c r="B132">
        <v>9</v>
      </c>
      <c r="C132">
        <v>100</v>
      </c>
      <c r="D132" s="19" t="s">
        <v>8</v>
      </c>
      <c r="E132" s="19" t="s">
        <v>9</v>
      </c>
      <c r="F132" s="8" t="s">
        <v>197</v>
      </c>
      <c r="G132" s="8" t="s">
        <v>201</v>
      </c>
      <c r="H132" s="8" t="s">
        <v>195</v>
      </c>
      <c r="N132">
        <v>1</v>
      </c>
      <c r="O132">
        <v>1</v>
      </c>
      <c r="P132">
        <v>1</v>
      </c>
      <c r="Q132">
        <v>1</v>
      </c>
      <c r="R132">
        <v>1</v>
      </c>
      <c r="S132">
        <v>1</v>
      </c>
      <c r="T132">
        <v>1</v>
      </c>
      <c r="U132">
        <v>1</v>
      </c>
      <c r="AA132">
        <v>1</v>
      </c>
      <c r="AB132">
        <v>1</v>
      </c>
      <c r="AC132">
        <v>1</v>
      </c>
      <c r="AD132">
        <v>1</v>
      </c>
      <c r="AE132">
        <v>1</v>
      </c>
      <c r="AF132">
        <v>1</v>
      </c>
      <c r="AG132">
        <v>1</v>
      </c>
      <c r="AH132">
        <v>1</v>
      </c>
      <c r="AN132">
        <v>1</v>
      </c>
      <c r="AO132">
        <v>1</v>
      </c>
      <c r="AP132">
        <v>1</v>
      </c>
      <c r="AQ132">
        <v>1</v>
      </c>
      <c r="AR132">
        <v>1</v>
      </c>
      <c r="AS132">
        <v>1</v>
      </c>
      <c r="AT132">
        <v>1</v>
      </c>
      <c r="AU132">
        <v>1</v>
      </c>
      <c r="AW132">
        <v>1</v>
      </c>
      <c r="AX132">
        <v>1</v>
      </c>
      <c r="BB132">
        <v>1</v>
      </c>
      <c r="BC132">
        <v>1</v>
      </c>
      <c r="BD132">
        <v>1</v>
      </c>
      <c r="BE132">
        <v>1</v>
      </c>
      <c r="BF132">
        <v>1</v>
      </c>
      <c r="BG132">
        <v>1</v>
      </c>
      <c r="BH132">
        <v>1</v>
      </c>
      <c r="BI132">
        <v>1</v>
      </c>
      <c r="BJ132">
        <v>1</v>
      </c>
      <c r="BK132">
        <v>1</v>
      </c>
      <c r="BL132">
        <v>1</v>
      </c>
      <c r="BP132">
        <v>1</v>
      </c>
      <c r="BQ132">
        <v>1</v>
      </c>
      <c r="BR132">
        <v>1</v>
      </c>
      <c r="BS132">
        <v>1</v>
      </c>
      <c r="BT132">
        <v>1</v>
      </c>
      <c r="BU132">
        <v>1</v>
      </c>
      <c r="BV132">
        <v>1</v>
      </c>
      <c r="BW132">
        <v>1</v>
      </c>
      <c r="BX132">
        <v>1</v>
      </c>
      <c r="BY132">
        <v>1</v>
      </c>
      <c r="BZ132">
        <v>1</v>
      </c>
      <c r="CC132">
        <v>1</v>
      </c>
      <c r="CD132">
        <v>1</v>
      </c>
      <c r="CE132">
        <v>1</v>
      </c>
      <c r="CF132">
        <v>1</v>
      </c>
      <c r="CG132">
        <v>1</v>
      </c>
      <c r="CH132">
        <v>1</v>
      </c>
      <c r="CI132">
        <v>1</v>
      </c>
      <c r="CJ132">
        <v>1</v>
      </c>
      <c r="CK132">
        <v>1</v>
      </c>
      <c r="CL132">
        <v>1</v>
      </c>
      <c r="CM132">
        <v>1</v>
      </c>
      <c r="CN132">
        <v>1</v>
      </c>
      <c r="CO132">
        <v>1</v>
      </c>
      <c r="CQ132">
        <v>1</v>
      </c>
      <c r="CR132">
        <v>1</v>
      </c>
      <c r="CS132">
        <v>1</v>
      </c>
      <c r="CT132">
        <v>1</v>
      </c>
      <c r="CU132">
        <v>1</v>
      </c>
      <c r="CV132">
        <v>1</v>
      </c>
      <c r="CW132">
        <v>1</v>
      </c>
      <c r="CX132">
        <v>1</v>
      </c>
      <c r="CY132">
        <v>1</v>
      </c>
      <c r="CZ132">
        <v>1</v>
      </c>
      <c r="DA132">
        <v>1</v>
      </c>
      <c r="DB132">
        <v>1</v>
      </c>
      <c r="DC132">
        <v>1</v>
      </c>
      <c r="DE132">
        <v>1</v>
      </c>
      <c r="DF132">
        <v>1</v>
      </c>
      <c r="DG132">
        <v>1</v>
      </c>
      <c r="DH132">
        <v>1</v>
      </c>
      <c r="DI132">
        <v>1</v>
      </c>
      <c r="DJ132">
        <v>1</v>
      </c>
      <c r="DK132">
        <v>1</v>
      </c>
      <c r="DL132">
        <v>1</v>
      </c>
      <c r="DM132">
        <v>1</v>
      </c>
      <c r="DN132">
        <v>1</v>
      </c>
      <c r="DO132">
        <v>1</v>
      </c>
      <c r="DQ132">
        <v>1</v>
      </c>
      <c r="DS132">
        <v>1</v>
      </c>
      <c r="DT132">
        <v>1</v>
      </c>
      <c r="DU132">
        <v>1</v>
      </c>
      <c r="DV132">
        <v>1</v>
      </c>
      <c r="DW132">
        <v>1</v>
      </c>
      <c r="DX132">
        <v>1</v>
      </c>
      <c r="EE132">
        <v>1</v>
      </c>
      <c r="EG132">
        <v>1</v>
      </c>
      <c r="EH132">
        <v>1</v>
      </c>
      <c r="EI132">
        <v>1</v>
      </c>
      <c r="EJ132">
        <v>1</v>
      </c>
      <c r="ES132">
        <v>1</v>
      </c>
      <c r="ET132">
        <v>1</v>
      </c>
      <c r="EU132">
        <v>1</v>
      </c>
      <c r="EV132">
        <v>1</v>
      </c>
      <c r="FG132">
        <v>1</v>
      </c>
      <c r="FH132">
        <v>1</v>
      </c>
      <c r="FU132">
        <v>1</v>
      </c>
      <c r="FV132" s="18">
        <f t="shared" si="557"/>
        <v>0.54751131221719462</v>
      </c>
    </row>
    <row r="133" spans="1:178" ht="14.25" customHeight="1" x14ac:dyDescent="0.25">
      <c r="A133" s="86" t="s">
        <v>273</v>
      </c>
      <c r="B133">
        <v>9</v>
      </c>
      <c r="C133">
        <v>100</v>
      </c>
      <c r="D133" s="20" t="s">
        <v>15</v>
      </c>
      <c r="E133" s="20" t="s">
        <v>15</v>
      </c>
      <c r="F133" s="20" t="s">
        <v>242</v>
      </c>
      <c r="G133" s="20" t="s">
        <v>231</v>
      </c>
      <c r="H133" s="20" t="s">
        <v>194</v>
      </c>
      <c r="I133">
        <v>1</v>
      </c>
      <c r="J133">
        <v>1</v>
      </c>
      <c r="V133">
        <v>1</v>
      </c>
      <c r="W133">
        <v>1</v>
      </c>
      <c r="FV133" s="18">
        <f t="shared" si="557"/>
        <v>2.1116138763197588E-2</v>
      </c>
    </row>
    <row r="134" spans="1:178" ht="14.25" customHeight="1" x14ac:dyDescent="0.25">
      <c r="A134" s="86" t="s">
        <v>273</v>
      </c>
      <c r="B134">
        <v>9</v>
      </c>
      <c r="C134">
        <v>100</v>
      </c>
      <c r="D134" s="20" t="s">
        <v>15</v>
      </c>
      <c r="E134" s="20" t="s">
        <v>15</v>
      </c>
      <c r="F134" s="20" t="s">
        <v>242</v>
      </c>
      <c r="G134" s="20" t="s">
        <v>231</v>
      </c>
      <c r="H134" s="20" t="s">
        <v>220</v>
      </c>
      <c r="M134">
        <v>1</v>
      </c>
      <c r="AI134">
        <v>1</v>
      </c>
      <c r="FV134" s="18">
        <f t="shared" ref="FV134:FV170" si="558">SUMPRODUCT(I134:FU134,$I$1:$FU$1)/(SUM($I$1:$FU$1))</f>
        <v>1.2066365007541479E-2</v>
      </c>
    </row>
    <row r="135" spans="1:178" ht="14.25" customHeight="1" x14ac:dyDescent="0.25">
      <c r="A135" s="86" t="s">
        <v>273</v>
      </c>
      <c r="B135">
        <v>9</v>
      </c>
      <c r="C135">
        <v>100</v>
      </c>
      <c r="D135" s="20" t="s">
        <v>15</v>
      </c>
      <c r="E135" s="20" t="s">
        <v>15</v>
      </c>
      <c r="F135" s="20" t="s">
        <v>242</v>
      </c>
      <c r="G135" s="20" t="s">
        <v>231</v>
      </c>
      <c r="H135" s="20" t="s">
        <v>195</v>
      </c>
      <c r="K135">
        <v>1</v>
      </c>
      <c r="L135">
        <v>1</v>
      </c>
      <c r="X135">
        <v>1</v>
      </c>
      <c r="AK135">
        <v>1</v>
      </c>
      <c r="AL135">
        <v>1</v>
      </c>
      <c r="AY135">
        <v>1</v>
      </c>
      <c r="AZ135">
        <v>1</v>
      </c>
      <c r="BM135">
        <v>1</v>
      </c>
      <c r="CA135">
        <v>1</v>
      </c>
      <c r="FV135" s="18">
        <f t="shared" si="558"/>
        <v>3.3182503770739065E-2</v>
      </c>
    </row>
    <row r="136" spans="1:178" ht="14.25" customHeight="1" x14ac:dyDescent="0.25">
      <c r="A136" s="86" t="s">
        <v>273</v>
      </c>
      <c r="B136">
        <v>9</v>
      </c>
      <c r="C136">
        <v>100</v>
      </c>
      <c r="D136" s="20" t="s">
        <v>15</v>
      </c>
      <c r="E136" s="20" t="s">
        <v>15</v>
      </c>
      <c r="F136" s="20" t="s">
        <v>242</v>
      </c>
      <c r="G136" s="20" t="s">
        <v>231</v>
      </c>
      <c r="H136" s="20" t="s">
        <v>196</v>
      </c>
      <c r="N136">
        <v>1</v>
      </c>
      <c r="R136">
        <v>1</v>
      </c>
      <c r="Y136">
        <v>1</v>
      </c>
      <c r="Z136">
        <v>1</v>
      </c>
      <c r="AM136">
        <v>1</v>
      </c>
      <c r="BN136">
        <v>1</v>
      </c>
      <c r="CB136">
        <v>1</v>
      </c>
      <c r="CO136">
        <v>1</v>
      </c>
      <c r="DC136">
        <v>1</v>
      </c>
      <c r="DQ136">
        <v>1</v>
      </c>
      <c r="FV136" s="18">
        <f t="shared" si="558"/>
        <v>3.4690799396681751E-2</v>
      </c>
    </row>
    <row r="137" spans="1:178" ht="14.25" customHeight="1" x14ac:dyDescent="0.25">
      <c r="A137" s="86" t="s">
        <v>273</v>
      </c>
      <c r="B137">
        <v>9</v>
      </c>
      <c r="C137">
        <v>100</v>
      </c>
      <c r="D137" s="20" t="s">
        <v>15</v>
      </c>
      <c r="E137" s="20" t="s">
        <v>15</v>
      </c>
      <c r="F137" s="20" t="s">
        <v>14</v>
      </c>
      <c r="G137" s="20" t="s">
        <v>231</v>
      </c>
      <c r="H137" s="20" t="s">
        <v>194</v>
      </c>
      <c r="I137">
        <v>1</v>
      </c>
      <c r="J137">
        <v>1</v>
      </c>
      <c r="V137">
        <v>1</v>
      </c>
      <c r="W137">
        <v>1</v>
      </c>
      <c r="FV137" s="18">
        <f t="shared" si="558"/>
        <v>2.1116138763197588E-2</v>
      </c>
    </row>
    <row r="138" spans="1:178" ht="14.25" customHeight="1" x14ac:dyDescent="0.25">
      <c r="A138" s="86" t="s">
        <v>273</v>
      </c>
      <c r="B138">
        <v>9</v>
      </c>
      <c r="C138">
        <v>100</v>
      </c>
      <c r="D138" s="20" t="s">
        <v>15</v>
      </c>
      <c r="E138" s="20" t="s">
        <v>15</v>
      </c>
      <c r="F138" s="20" t="s">
        <v>14</v>
      </c>
      <c r="G138" s="20" t="s">
        <v>231</v>
      </c>
      <c r="H138" s="20" t="s">
        <v>220</v>
      </c>
      <c r="M138">
        <v>1</v>
      </c>
      <c r="N138">
        <v>1</v>
      </c>
      <c r="AI138">
        <v>1</v>
      </c>
      <c r="FV138" s="18">
        <f t="shared" ref="FV138:FV141" si="559">SUMPRODUCT(I138:FU138,$I$1:$FU$1)/(SUM($I$1:$FU$1))</f>
        <v>1.5082956259426848E-2</v>
      </c>
    </row>
    <row r="139" spans="1:178" ht="14.25" customHeight="1" x14ac:dyDescent="0.25">
      <c r="A139" s="86" t="s">
        <v>273</v>
      </c>
      <c r="B139">
        <v>9</v>
      </c>
      <c r="C139">
        <v>100</v>
      </c>
      <c r="D139" s="20" t="s">
        <v>15</v>
      </c>
      <c r="E139" s="20" t="s">
        <v>15</v>
      </c>
      <c r="F139" s="20" t="s">
        <v>14</v>
      </c>
      <c r="G139" s="20" t="s">
        <v>231</v>
      </c>
      <c r="H139" s="20" t="s">
        <v>195</v>
      </c>
      <c r="K139">
        <v>1</v>
      </c>
      <c r="L139">
        <v>1</v>
      </c>
      <c r="X139">
        <v>1</v>
      </c>
      <c r="AK139">
        <v>1</v>
      </c>
      <c r="AL139">
        <v>1</v>
      </c>
      <c r="AY139">
        <v>1</v>
      </c>
      <c r="AZ139">
        <v>1</v>
      </c>
      <c r="BM139">
        <v>1</v>
      </c>
      <c r="CA139">
        <v>1</v>
      </c>
      <c r="CO139">
        <v>1</v>
      </c>
      <c r="FV139" s="18">
        <f t="shared" si="559"/>
        <v>3.7707390648567117E-2</v>
      </c>
    </row>
    <row r="140" spans="1:178" ht="14.25" customHeight="1" x14ac:dyDescent="0.25">
      <c r="A140" s="86" t="s">
        <v>273</v>
      </c>
      <c r="B140">
        <v>9</v>
      </c>
      <c r="C140">
        <v>100</v>
      </c>
      <c r="D140" s="20" t="s">
        <v>15</v>
      </c>
      <c r="E140" s="20" t="s">
        <v>15</v>
      </c>
      <c r="F140" s="20" t="s">
        <v>14</v>
      </c>
      <c r="G140" s="20" t="s">
        <v>231</v>
      </c>
      <c r="H140" s="20" t="s">
        <v>196</v>
      </c>
      <c r="R140">
        <v>1</v>
      </c>
      <c r="Y140">
        <v>1</v>
      </c>
      <c r="Z140">
        <v>1</v>
      </c>
      <c r="AM140">
        <v>1</v>
      </c>
      <c r="BN140">
        <v>1</v>
      </c>
      <c r="CB140">
        <v>1</v>
      </c>
      <c r="DC140">
        <v>1</v>
      </c>
      <c r="DQ140">
        <v>1</v>
      </c>
      <c r="FV140" s="18">
        <f t="shared" si="559"/>
        <v>2.7149321266968326E-2</v>
      </c>
    </row>
    <row r="141" spans="1:178" ht="14.25" customHeight="1" x14ac:dyDescent="0.25">
      <c r="A141" s="86" t="s">
        <v>273</v>
      </c>
      <c r="B141">
        <v>9</v>
      </c>
      <c r="C141">
        <v>100</v>
      </c>
      <c r="D141" s="20" t="s">
        <v>15</v>
      </c>
      <c r="E141" s="20" t="s">
        <v>15</v>
      </c>
      <c r="F141" s="20" t="s">
        <v>13</v>
      </c>
      <c r="G141" s="20" t="s">
        <v>231</v>
      </c>
      <c r="H141" s="20" t="s">
        <v>194</v>
      </c>
      <c r="I141">
        <v>1</v>
      </c>
      <c r="J141">
        <v>1</v>
      </c>
      <c r="V141">
        <v>1</v>
      </c>
      <c r="W141">
        <v>1</v>
      </c>
      <c r="FV141" s="18">
        <f t="shared" si="559"/>
        <v>2.1116138763197588E-2</v>
      </c>
    </row>
    <row r="142" spans="1:178" ht="14.25" customHeight="1" x14ac:dyDescent="0.25">
      <c r="A142" s="86" t="s">
        <v>273</v>
      </c>
      <c r="B142">
        <v>9</v>
      </c>
      <c r="C142">
        <v>100</v>
      </c>
      <c r="D142" s="20" t="s">
        <v>15</v>
      </c>
      <c r="E142" s="20" t="s">
        <v>15</v>
      </c>
      <c r="F142" s="20" t="s">
        <v>13</v>
      </c>
      <c r="G142" s="20" t="s">
        <v>231</v>
      </c>
      <c r="H142" s="20" t="s">
        <v>220</v>
      </c>
      <c r="M142">
        <v>1</v>
      </c>
      <c r="N142">
        <v>1</v>
      </c>
      <c r="AI142">
        <v>1</v>
      </c>
      <c r="FV142" s="18">
        <f t="shared" ref="FV142:FV145" si="560">SUMPRODUCT(I142:FU142,$I$1:$FU$1)/(SUM($I$1:$FU$1))</f>
        <v>1.5082956259426848E-2</v>
      </c>
    </row>
    <row r="143" spans="1:178" ht="14.25" customHeight="1" x14ac:dyDescent="0.25">
      <c r="A143" s="86" t="s">
        <v>273</v>
      </c>
      <c r="B143">
        <v>9</v>
      </c>
      <c r="C143">
        <v>100</v>
      </c>
      <c r="D143" s="20" t="s">
        <v>15</v>
      </c>
      <c r="E143" s="20" t="s">
        <v>15</v>
      </c>
      <c r="F143" s="20" t="s">
        <v>13</v>
      </c>
      <c r="G143" s="20" t="s">
        <v>231</v>
      </c>
      <c r="H143" s="20" t="s">
        <v>195</v>
      </c>
      <c r="K143">
        <v>1</v>
      </c>
      <c r="L143">
        <v>1</v>
      </c>
      <c r="X143">
        <v>1</v>
      </c>
      <c r="AK143">
        <v>1</v>
      </c>
      <c r="AL143">
        <v>1</v>
      </c>
      <c r="AY143">
        <v>1</v>
      </c>
      <c r="AZ143">
        <v>1</v>
      </c>
      <c r="BM143">
        <v>1</v>
      </c>
      <c r="BN143">
        <v>1</v>
      </c>
      <c r="CA143">
        <v>1</v>
      </c>
      <c r="CO143">
        <v>1</v>
      </c>
      <c r="FV143" s="18">
        <f t="shared" si="560"/>
        <v>4.072398190045249E-2</v>
      </c>
    </row>
    <row r="144" spans="1:178" ht="14.25" customHeight="1" x14ac:dyDescent="0.25">
      <c r="A144" s="86" t="s">
        <v>273</v>
      </c>
      <c r="B144">
        <v>9</v>
      </c>
      <c r="C144">
        <v>100</v>
      </c>
      <c r="D144" s="20" t="s">
        <v>15</v>
      </c>
      <c r="E144" s="20" t="s">
        <v>15</v>
      </c>
      <c r="F144" s="20" t="s">
        <v>13</v>
      </c>
      <c r="G144" s="20" t="s">
        <v>231</v>
      </c>
      <c r="H144" s="20" t="s">
        <v>196</v>
      </c>
      <c r="R144">
        <v>1</v>
      </c>
      <c r="Y144">
        <v>1</v>
      </c>
      <c r="Z144">
        <v>1</v>
      </c>
      <c r="AM144">
        <v>1</v>
      </c>
      <c r="CB144">
        <v>1</v>
      </c>
      <c r="DC144">
        <v>1</v>
      </c>
      <c r="DQ144">
        <v>1</v>
      </c>
      <c r="FV144" s="18">
        <f t="shared" si="560"/>
        <v>2.4132730015082957E-2</v>
      </c>
    </row>
    <row r="145" spans="1:178" ht="14.25" customHeight="1" x14ac:dyDescent="0.25">
      <c r="A145" s="86" t="s">
        <v>273</v>
      </c>
      <c r="B145">
        <v>9</v>
      </c>
      <c r="C145">
        <v>100</v>
      </c>
      <c r="D145" s="20" t="s">
        <v>15</v>
      </c>
      <c r="E145" s="20" t="s">
        <v>15</v>
      </c>
      <c r="F145" s="20" t="s">
        <v>12</v>
      </c>
      <c r="G145" s="20" t="s">
        <v>231</v>
      </c>
      <c r="H145" s="20" t="s">
        <v>194</v>
      </c>
      <c r="I145">
        <v>1</v>
      </c>
      <c r="J145">
        <v>1</v>
      </c>
      <c r="V145">
        <v>1</v>
      </c>
      <c r="W145">
        <v>1</v>
      </c>
      <c r="AK145">
        <v>1</v>
      </c>
      <c r="FV145" s="18">
        <f t="shared" si="560"/>
        <v>2.564102564102564E-2</v>
      </c>
    </row>
    <row r="146" spans="1:178" ht="14.25" customHeight="1" x14ac:dyDescent="0.25">
      <c r="A146" s="86" t="s">
        <v>273</v>
      </c>
      <c r="B146">
        <v>9</v>
      </c>
      <c r="C146">
        <v>100</v>
      </c>
      <c r="D146" s="20" t="s">
        <v>15</v>
      </c>
      <c r="E146" s="20" t="s">
        <v>15</v>
      </c>
      <c r="F146" s="20" t="s">
        <v>12</v>
      </c>
      <c r="G146" s="20" t="s">
        <v>231</v>
      </c>
      <c r="H146" s="20" t="s">
        <v>220</v>
      </c>
      <c r="M146">
        <v>1</v>
      </c>
      <c r="N146">
        <v>1</v>
      </c>
      <c r="R146">
        <v>1</v>
      </c>
      <c r="AI146">
        <v>1</v>
      </c>
      <c r="FV146" s="18">
        <f t="shared" ref="FV146:FV149" si="561">SUMPRODUCT(I146:FU146,$I$1:$FU$1)/(SUM($I$1:$FU$1))</f>
        <v>1.8099547511312219E-2</v>
      </c>
    </row>
    <row r="147" spans="1:178" ht="14.25" customHeight="1" x14ac:dyDescent="0.25">
      <c r="A147" s="86" t="s">
        <v>273</v>
      </c>
      <c r="B147">
        <v>9</v>
      </c>
      <c r="C147">
        <v>100</v>
      </c>
      <c r="D147" s="20" t="s">
        <v>15</v>
      </c>
      <c r="E147" s="20" t="s">
        <v>15</v>
      </c>
      <c r="F147" s="20" t="s">
        <v>12</v>
      </c>
      <c r="G147" s="20" t="s">
        <v>231</v>
      </c>
      <c r="H147" s="20" t="s">
        <v>195</v>
      </c>
      <c r="K147">
        <v>1</v>
      </c>
      <c r="L147">
        <v>1</v>
      </c>
      <c r="X147">
        <v>1</v>
      </c>
      <c r="Y147">
        <v>1</v>
      </c>
      <c r="AL147">
        <v>1</v>
      </c>
      <c r="AY147">
        <v>1</v>
      </c>
      <c r="AZ147">
        <v>1</v>
      </c>
      <c r="BM147">
        <v>1</v>
      </c>
      <c r="BN147">
        <v>1</v>
      </c>
      <c r="CA147">
        <v>1</v>
      </c>
      <c r="CO147">
        <v>1</v>
      </c>
      <c r="DC147">
        <v>1</v>
      </c>
      <c r="FV147" s="18">
        <f t="shared" si="561"/>
        <v>4.3740573152337855E-2</v>
      </c>
    </row>
    <row r="148" spans="1:178" ht="14.25" customHeight="1" x14ac:dyDescent="0.25">
      <c r="A148" s="86" t="s">
        <v>273</v>
      </c>
      <c r="B148">
        <v>9</v>
      </c>
      <c r="C148">
        <v>100</v>
      </c>
      <c r="D148" s="20" t="s">
        <v>15</v>
      </c>
      <c r="E148" s="20" t="s">
        <v>15</v>
      </c>
      <c r="F148" s="20" t="s">
        <v>12</v>
      </c>
      <c r="G148" s="20" t="s">
        <v>231</v>
      </c>
      <c r="H148" s="20" t="s">
        <v>196</v>
      </c>
      <c r="Z148">
        <v>1</v>
      </c>
      <c r="AM148">
        <v>1</v>
      </c>
      <c r="CB148">
        <v>1</v>
      </c>
      <c r="DQ148">
        <v>1</v>
      </c>
      <c r="FV148" s="18">
        <f t="shared" si="561"/>
        <v>1.3574660633484163E-2</v>
      </c>
    </row>
    <row r="149" spans="1:178" ht="14.25" customHeight="1" x14ac:dyDescent="0.25">
      <c r="A149" s="86" t="s">
        <v>273</v>
      </c>
      <c r="B149">
        <v>9</v>
      </c>
      <c r="C149">
        <v>100</v>
      </c>
      <c r="D149" s="20" t="s">
        <v>15</v>
      </c>
      <c r="E149" s="20" t="s">
        <v>15</v>
      </c>
      <c r="F149" s="20" t="s">
        <v>11</v>
      </c>
      <c r="G149" s="20" t="s">
        <v>231</v>
      </c>
      <c r="H149" s="20" t="s">
        <v>194</v>
      </c>
      <c r="I149">
        <v>1</v>
      </c>
      <c r="J149">
        <v>1</v>
      </c>
      <c r="V149">
        <v>1</v>
      </c>
      <c r="W149">
        <v>1</v>
      </c>
      <c r="AK149">
        <v>1</v>
      </c>
      <c r="FV149" s="18">
        <f t="shared" si="561"/>
        <v>2.564102564102564E-2</v>
      </c>
    </row>
    <row r="150" spans="1:178" ht="14.25" customHeight="1" x14ac:dyDescent="0.25">
      <c r="A150" s="86" t="s">
        <v>273</v>
      </c>
      <c r="B150">
        <v>9</v>
      </c>
      <c r="C150">
        <v>100</v>
      </c>
      <c r="D150" s="20" t="s">
        <v>15</v>
      </c>
      <c r="E150" s="20" t="s">
        <v>15</v>
      </c>
      <c r="F150" s="20" t="s">
        <v>11</v>
      </c>
      <c r="G150" s="20" t="s">
        <v>231</v>
      </c>
      <c r="H150" s="20" t="s">
        <v>220</v>
      </c>
      <c r="N150">
        <v>1</v>
      </c>
      <c r="R150">
        <v>1</v>
      </c>
      <c r="Z150">
        <v>1</v>
      </c>
      <c r="AM150">
        <v>1</v>
      </c>
      <c r="CB150">
        <v>1</v>
      </c>
      <c r="FV150" s="18">
        <f t="shared" ref="FV150:FV153" si="562">SUMPRODUCT(I150:FU150,$I$1:$FU$1)/(SUM($I$1:$FU$1))</f>
        <v>1.5082956259426848E-2</v>
      </c>
    </row>
    <row r="151" spans="1:178" ht="14.25" customHeight="1" x14ac:dyDescent="0.25">
      <c r="A151" s="86" t="s">
        <v>273</v>
      </c>
      <c r="B151">
        <v>9</v>
      </c>
      <c r="C151">
        <v>100</v>
      </c>
      <c r="D151" s="20" t="s">
        <v>15</v>
      </c>
      <c r="E151" s="20" t="s">
        <v>15</v>
      </c>
      <c r="F151" s="20" t="s">
        <v>11</v>
      </c>
      <c r="G151" s="20" t="s">
        <v>231</v>
      </c>
      <c r="H151" s="20" t="s">
        <v>195</v>
      </c>
      <c r="K151">
        <v>1</v>
      </c>
      <c r="L151">
        <v>1</v>
      </c>
      <c r="M151">
        <v>1</v>
      </c>
      <c r="X151">
        <v>1</v>
      </c>
      <c r="Y151">
        <v>1</v>
      </c>
      <c r="AI151">
        <v>1</v>
      </c>
      <c r="AL151">
        <v>1</v>
      </c>
      <c r="AY151">
        <v>1</v>
      </c>
      <c r="AZ151">
        <v>1</v>
      </c>
      <c r="BM151">
        <v>1</v>
      </c>
      <c r="BN151">
        <v>1</v>
      </c>
      <c r="CA151">
        <v>1</v>
      </c>
      <c r="CO151">
        <v>1</v>
      </c>
      <c r="DC151">
        <v>1</v>
      </c>
      <c r="FV151" s="18">
        <f t="shared" si="562"/>
        <v>5.5806938159879339E-2</v>
      </c>
    </row>
    <row r="152" spans="1:178" ht="14.25" customHeight="1" x14ac:dyDescent="0.25">
      <c r="A152" s="86" t="s">
        <v>273</v>
      </c>
      <c r="B152">
        <v>9</v>
      </c>
      <c r="C152">
        <v>100</v>
      </c>
      <c r="D152" s="20" t="s">
        <v>15</v>
      </c>
      <c r="E152" s="20" t="s">
        <v>15</v>
      </c>
      <c r="F152" s="20" t="s">
        <v>11</v>
      </c>
      <c r="G152" s="20" t="s">
        <v>231</v>
      </c>
      <c r="H152" s="20" t="s">
        <v>196</v>
      </c>
      <c r="DQ152">
        <v>1</v>
      </c>
      <c r="FV152" s="18">
        <f t="shared" si="562"/>
        <v>4.5248868778280547E-3</v>
      </c>
    </row>
    <row r="153" spans="1:178" ht="14.25" customHeight="1" x14ac:dyDescent="0.25">
      <c r="A153" s="86" t="s">
        <v>273</v>
      </c>
      <c r="B153">
        <v>9</v>
      </c>
      <c r="C153">
        <v>100</v>
      </c>
      <c r="D153" s="20" t="s">
        <v>15</v>
      </c>
      <c r="E153" s="20" t="s">
        <v>15</v>
      </c>
      <c r="F153" s="20" t="s">
        <v>10</v>
      </c>
      <c r="G153" s="20" t="s">
        <v>231</v>
      </c>
      <c r="H153" s="20" t="s">
        <v>194</v>
      </c>
      <c r="I153">
        <v>1</v>
      </c>
      <c r="J153">
        <v>1</v>
      </c>
      <c r="V153">
        <v>1</v>
      </c>
      <c r="W153">
        <v>1</v>
      </c>
      <c r="AK153">
        <v>1</v>
      </c>
      <c r="FV153" s="18">
        <f t="shared" si="562"/>
        <v>2.564102564102564E-2</v>
      </c>
    </row>
    <row r="154" spans="1:178" ht="14.25" customHeight="1" x14ac:dyDescent="0.25">
      <c r="A154" s="86" t="s">
        <v>273</v>
      </c>
      <c r="B154">
        <v>9</v>
      </c>
      <c r="C154">
        <v>100</v>
      </c>
      <c r="D154" s="20" t="s">
        <v>15</v>
      </c>
      <c r="E154" s="20" t="s">
        <v>15</v>
      </c>
      <c r="F154" s="20" t="s">
        <v>10</v>
      </c>
      <c r="G154" s="20" t="s">
        <v>231</v>
      </c>
      <c r="H154" s="20" t="s">
        <v>220</v>
      </c>
      <c r="N154">
        <v>1</v>
      </c>
      <c r="R154">
        <v>1</v>
      </c>
      <c r="Z154">
        <v>1</v>
      </c>
      <c r="AM154">
        <v>1</v>
      </c>
      <c r="CB154">
        <v>1</v>
      </c>
      <c r="FV154" s="18">
        <f t="shared" ref="FV154:FV156" si="563">SUMPRODUCT(I154:FU154,$I$1:$FU$1)/(SUM($I$1:$FU$1))</f>
        <v>1.5082956259426848E-2</v>
      </c>
    </row>
    <row r="155" spans="1:178" ht="14.25" customHeight="1" x14ac:dyDescent="0.25">
      <c r="A155" s="86" t="s">
        <v>273</v>
      </c>
      <c r="B155">
        <v>9</v>
      </c>
      <c r="C155">
        <v>100</v>
      </c>
      <c r="D155" s="20" t="s">
        <v>15</v>
      </c>
      <c r="E155" s="20" t="s">
        <v>15</v>
      </c>
      <c r="F155" s="20" t="s">
        <v>10</v>
      </c>
      <c r="G155" s="20" t="s">
        <v>231</v>
      </c>
      <c r="H155" s="20" t="s">
        <v>195</v>
      </c>
      <c r="K155">
        <v>1</v>
      </c>
      <c r="L155">
        <v>1</v>
      </c>
      <c r="M155">
        <v>1</v>
      </c>
      <c r="X155">
        <v>1</v>
      </c>
      <c r="Y155">
        <v>1</v>
      </c>
      <c r="AI155">
        <v>1</v>
      </c>
      <c r="AL155">
        <v>1</v>
      </c>
      <c r="AY155">
        <v>1</v>
      </c>
      <c r="AZ155">
        <v>1</v>
      </c>
      <c r="BM155">
        <v>1</v>
      </c>
      <c r="BN155">
        <v>1</v>
      </c>
      <c r="CA155">
        <v>1</v>
      </c>
      <c r="CO155">
        <v>1</v>
      </c>
      <c r="DC155">
        <v>1</v>
      </c>
      <c r="FV155" s="18">
        <f t="shared" si="563"/>
        <v>5.5806938159879339E-2</v>
      </c>
    </row>
    <row r="156" spans="1:178" ht="14.25" customHeight="1" x14ac:dyDescent="0.25">
      <c r="A156" s="86" t="s">
        <v>273</v>
      </c>
      <c r="B156">
        <v>9</v>
      </c>
      <c r="C156">
        <v>100</v>
      </c>
      <c r="D156" s="20" t="s">
        <v>15</v>
      </c>
      <c r="E156" s="20" t="s">
        <v>15</v>
      </c>
      <c r="F156" s="20" t="s">
        <v>10</v>
      </c>
      <c r="G156" s="20" t="s">
        <v>231</v>
      </c>
      <c r="H156" s="20" t="s">
        <v>196</v>
      </c>
      <c r="DQ156">
        <v>1</v>
      </c>
      <c r="FV156" s="18">
        <f t="shared" si="563"/>
        <v>4.5248868778280547E-3</v>
      </c>
    </row>
    <row r="157" spans="1:178" ht="14.25" customHeight="1" x14ac:dyDescent="0.25">
      <c r="A157" s="86" t="s">
        <v>273</v>
      </c>
      <c r="B157">
        <v>9</v>
      </c>
      <c r="C157">
        <v>100</v>
      </c>
      <c r="D157" s="20" t="s">
        <v>15</v>
      </c>
      <c r="E157" s="20" t="s">
        <v>15</v>
      </c>
      <c r="F157" s="20" t="s">
        <v>9</v>
      </c>
      <c r="G157" s="20" t="s">
        <v>231</v>
      </c>
      <c r="H157" s="20" t="s">
        <v>194</v>
      </c>
      <c r="I157">
        <v>1</v>
      </c>
      <c r="J157">
        <v>1</v>
      </c>
      <c r="V157">
        <v>1</v>
      </c>
      <c r="W157">
        <v>1</v>
      </c>
      <c r="AK157">
        <v>1</v>
      </c>
      <c r="FV157" s="18">
        <f t="shared" ref="FV157" si="564">SUMPRODUCT(I157:FU157,$I$1:$FU$1)/(SUM($I$1:$FU$1))</f>
        <v>2.564102564102564E-2</v>
      </c>
    </row>
    <row r="158" spans="1:178" ht="14.25" customHeight="1" x14ac:dyDescent="0.25">
      <c r="A158" s="86" t="s">
        <v>273</v>
      </c>
      <c r="B158">
        <v>9</v>
      </c>
      <c r="C158">
        <v>100</v>
      </c>
      <c r="D158" s="20" t="s">
        <v>15</v>
      </c>
      <c r="E158" s="20" t="s">
        <v>15</v>
      </c>
      <c r="F158" s="20" t="s">
        <v>9</v>
      </c>
      <c r="G158" s="20" t="s">
        <v>231</v>
      </c>
      <c r="H158" s="20" t="s">
        <v>220</v>
      </c>
      <c r="N158">
        <v>1</v>
      </c>
      <c r="R158">
        <v>1</v>
      </c>
      <c r="Z158">
        <v>1</v>
      </c>
      <c r="AM158">
        <v>1</v>
      </c>
      <c r="CB158">
        <v>1</v>
      </c>
      <c r="FV158" s="18">
        <f t="shared" ref="FV158:FV160" si="565">SUMPRODUCT(I158:FU158,$I$1:$FU$1)/(SUM($I$1:$FU$1))</f>
        <v>1.5082956259426848E-2</v>
      </c>
    </row>
    <row r="159" spans="1:178" ht="14.25" customHeight="1" x14ac:dyDescent="0.25">
      <c r="A159" s="86" t="s">
        <v>273</v>
      </c>
      <c r="B159">
        <v>9</v>
      </c>
      <c r="C159">
        <v>100</v>
      </c>
      <c r="D159" s="20" t="s">
        <v>15</v>
      </c>
      <c r="E159" s="20" t="s">
        <v>15</v>
      </c>
      <c r="F159" s="20" t="s">
        <v>9</v>
      </c>
      <c r="G159" s="20" t="s">
        <v>231</v>
      </c>
      <c r="H159" s="20" t="s">
        <v>195</v>
      </c>
      <c r="K159">
        <v>1</v>
      </c>
      <c r="L159">
        <v>1</v>
      </c>
      <c r="M159">
        <v>1</v>
      </c>
      <c r="X159">
        <v>1</v>
      </c>
      <c r="Y159">
        <v>1</v>
      </c>
      <c r="AI159">
        <v>1</v>
      </c>
      <c r="AL159">
        <v>1</v>
      </c>
      <c r="AY159">
        <v>1</v>
      </c>
      <c r="AZ159">
        <v>1</v>
      </c>
      <c r="BM159">
        <v>1</v>
      </c>
      <c r="BN159">
        <v>1</v>
      </c>
      <c r="CA159">
        <v>1</v>
      </c>
      <c r="CO159">
        <v>1</v>
      </c>
      <c r="DC159">
        <v>1</v>
      </c>
      <c r="DQ159">
        <v>1</v>
      </c>
      <c r="FV159" s="18">
        <f t="shared" si="565"/>
        <v>6.0331825037707391E-2</v>
      </c>
    </row>
    <row r="160" spans="1:178" ht="14.25" customHeight="1" x14ac:dyDescent="0.25">
      <c r="A160" s="86" t="s">
        <v>273</v>
      </c>
      <c r="B160">
        <v>9</v>
      </c>
      <c r="C160">
        <v>100</v>
      </c>
      <c r="D160" s="20" t="s">
        <v>15</v>
      </c>
      <c r="E160" s="20" t="s">
        <v>15</v>
      </c>
      <c r="F160" s="20" t="s">
        <v>8</v>
      </c>
      <c r="G160" s="20" t="s">
        <v>231</v>
      </c>
      <c r="H160" s="20" t="s">
        <v>194</v>
      </c>
      <c r="I160">
        <v>1</v>
      </c>
      <c r="J160">
        <v>1</v>
      </c>
      <c r="V160">
        <v>1</v>
      </c>
      <c r="W160">
        <v>1</v>
      </c>
      <c r="AK160">
        <v>1</v>
      </c>
      <c r="FV160" s="18">
        <f t="shared" si="565"/>
        <v>2.564102564102564E-2</v>
      </c>
    </row>
    <row r="161" spans="1:178" ht="14.25" customHeight="1" x14ac:dyDescent="0.25">
      <c r="A161" s="86" t="s">
        <v>273</v>
      </c>
      <c r="B161">
        <v>9</v>
      </c>
      <c r="C161">
        <v>100</v>
      </c>
      <c r="D161" s="20" t="s">
        <v>15</v>
      </c>
      <c r="E161" s="20" t="s">
        <v>15</v>
      </c>
      <c r="F161" s="20" t="s">
        <v>8</v>
      </c>
      <c r="G161" s="20" t="s">
        <v>231</v>
      </c>
      <c r="H161" s="20" t="s">
        <v>220</v>
      </c>
      <c r="N161">
        <v>1</v>
      </c>
      <c r="R161">
        <v>1</v>
      </c>
      <c r="Z161">
        <v>1</v>
      </c>
      <c r="AM161">
        <v>1</v>
      </c>
      <c r="CB161">
        <v>1</v>
      </c>
      <c r="FV161" s="18">
        <f t="shared" ref="FV161:FV162" si="566">SUMPRODUCT(I161:FU161,$I$1:$FU$1)/(SUM($I$1:$FU$1))</f>
        <v>1.5082956259426848E-2</v>
      </c>
    </row>
    <row r="162" spans="1:178" ht="14.25" customHeight="1" x14ac:dyDescent="0.25">
      <c r="A162" s="86" t="s">
        <v>273</v>
      </c>
      <c r="B162">
        <v>9</v>
      </c>
      <c r="C162">
        <v>100</v>
      </c>
      <c r="D162" s="20" t="s">
        <v>15</v>
      </c>
      <c r="E162" s="20" t="s">
        <v>15</v>
      </c>
      <c r="F162" s="20" t="s">
        <v>8</v>
      </c>
      <c r="G162" s="20" t="s">
        <v>231</v>
      </c>
      <c r="H162" s="20" t="s">
        <v>195</v>
      </c>
      <c r="K162">
        <v>1</v>
      </c>
      <c r="L162">
        <v>1</v>
      </c>
      <c r="M162">
        <v>1</v>
      </c>
      <c r="X162">
        <v>1</v>
      </c>
      <c r="Y162">
        <v>1</v>
      </c>
      <c r="AI162">
        <v>1</v>
      </c>
      <c r="AL162">
        <v>1</v>
      </c>
      <c r="AY162">
        <v>1</v>
      </c>
      <c r="AZ162">
        <v>1</v>
      </c>
      <c r="BM162">
        <v>1</v>
      </c>
      <c r="BN162">
        <v>1</v>
      </c>
      <c r="CA162">
        <v>1</v>
      </c>
      <c r="CO162">
        <v>1</v>
      </c>
      <c r="DC162">
        <v>1</v>
      </c>
      <c r="DQ162">
        <v>1</v>
      </c>
      <c r="FV162" s="18">
        <f t="shared" si="566"/>
        <v>6.0331825037707391E-2</v>
      </c>
    </row>
    <row r="163" spans="1:178" ht="14.25" customHeight="1" x14ac:dyDescent="0.25">
      <c r="A163" s="86" t="s">
        <v>273</v>
      </c>
      <c r="B163">
        <v>9</v>
      </c>
      <c r="C163">
        <v>100</v>
      </c>
      <c r="D163" s="20" t="s">
        <v>242</v>
      </c>
      <c r="E163" s="20" t="s">
        <v>242</v>
      </c>
      <c r="F163" s="20" t="s">
        <v>14</v>
      </c>
      <c r="G163" s="20" t="s">
        <v>231</v>
      </c>
      <c r="H163" s="20" t="s">
        <v>194</v>
      </c>
      <c r="I163">
        <v>1</v>
      </c>
      <c r="J163">
        <v>1</v>
      </c>
      <c r="V163">
        <v>1</v>
      </c>
      <c r="W163">
        <v>1</v>
      </c>
      <c r="FV163" s="18">
        <f t="shared" ref="FV163:FV166" si="567">SUMPRODUCT(I163:FU163,$I$1:$FU$1)/(SUM($I$1:$FU$1))</f>
        <v>2.1116138763197588E-2</v>
      </c>
    </row>
    <row r="164" spans="1:178" ht="14.25" customHeight="1" x14ac:dyDescent="0.25">
      <c r="A164" s="86" t="s">
        <v>273</v>
      </c>
      <c r="B164">
        <v>9</v>
      </c>
      <c r="C164">
        <v>100</v>
      </c>
      <c r="D164" s="20" t="s">
        <v>242</v>
      </c>
      <c r="E164" s="20" t="s">
        <v>242</v>
      </c>
      <c r="F164" s="20" t="s">
        <v>14</v>
      </c>
      <c r="G164" s="20" t="s">
        <v>231</v>
      </c>
      <c r="H164" s="20" t="s">
        <v>220</v>
      </c>
      <c r="M164">
        <v>1</v>
      </c>
      <c r="N164">
        <v>1</v>
      </c>
      <c r="R164">
        <v>1</v>
      </c>
      <c r="AI164">
        <v>1</v>
      </c>
      <c r="AV164">
        <v>1</v>
      </c>
      <c r="FV164" s="18">
        <f t="shared" si="567"/>
        <v>2.7149321266968326E-2</v>
      </c>
    </row>
    <row r="165" spans="1:178" ht="14.25" customHeight="1" x14ac:dyDescent="0.25">
      <c r="A165" s="86" t="s">
        <v>273</v>
      </c>
      <c r="B165">
        <v>9</v>
      </c>
      <c r="C165">
        <v>100</v>
      </c>
      <c r="D165" s="20" t="s">
        <v>242</v>
      </c>
      <c r="E165" s="20" t="s">
        <v>242</v>
      </c>
      <c r="F165" s="20" t="s">
        <v>14</v>
      </c>
      <c r="G165" s="20" t="s">
        <v>231</v>
      </c>
      <c r="H165" s="20" t="s">
        <v>195</v>
      </c>
      <c r="K165">
        <v>1</v>
      </c>
      <c r="L165">
        <v>1</v>
      </c>
      <c r="X165">
        <v>1</v>
      </c>
      <c r="Y165">
        <v>1</v>
      </c>
      <c r="AK165">
        <v>1</v>
      </c>
      <c r="AL165">
        <v>1</v>
      </c>
      <c r="AY165">
        <v>1</v>
      </c>
      <c r="AZ165">
        <v>1</v>
      </c>
      <c r="BM165">
        <v>1</v>
      </c>
      <c r="BN165">
        <v>1</v>
      </c>
      <c r="CA165">
        <v>1</v>
      </c>
      <c r="CO165">
        <v>1</v>
      </c>
      <c r="DC165">
        <v>1</v>
      </c>
      <c r="FV165" s="18">
        <f t="shared" si="567"/>
        <v>4.8265460030165915E-2</v>
      </c>
    </row>
    <row r="166" spans="1:178" ht="14.25" customHeight="1" x14ac:dyDescent="0.25">
      <c r="A166" s="86" t="s">
        <v>273</v>
      </c>
      <c r="B166">
        <v>9</v>
      </c>
      <c r="C166">
        <v>100</v>
      </c>
      <c r="D166" s="20" t="s">
        <v>242</v>
      </c>
      <c r="E166" s="20" t="s">
        <v>242</v>
      </c>
      <c r="F166" s="20" t="s">
        <v>14</v>
      </c>
      <c r="G166" s="20" t="s">
        <v>231</v>
      </c>
      <c r="H166" s="20" t="s">
        <v>196</v>
      </c>
      <c r="O166">
        <v>1</v>
      </c>
      <c r="P166">
        <v>1</v>
      </c>
      <c r="Q166">
        <v>1</v>
      </c>
      <c r="S166">
        <v>1</v>
      </c>
      <c r="Z166">
        <v>1</v>
      </c>
      <c r="AA166">
        <v>1</v>
      </c>
      <c r="AJ166">
        <v>1</v>
      </c>
      <c r="AM166">
        <v>1</v>
      </c>
      <c r="AN166">
        <v>1</v>
      </c>
      <c r="BA166">
        <v>1</v>
      </c>
      <c r="BI166">
        <v>1</v>
      </c>
      <c r="CB166">
        <v>1</v>
      </c>
      <c r="CP166">
        <v>1</v>
      </c>
      <c r="DQ166">
        <v>1</v>
      </c>
      <c r="FV166" s="18">
        <f t="shared" si="567"/>
        <v>5.5806938159879339E-2</v>
      </c>
    </row>
    <row r="167" spans="1:178" ht="14.25" customHeight="1" x14ac:dyDescent="0.25">
      <c r="A167" s="86" t="s">
        <v>273</v>
      </c>
      <c r="B167">
        <v>9</v>
      </c>
      <c r="C167">
        <v>100</v>
      </c>
      <c r="D167" s="20" t="s">
        <v>242</v>
      </c>
      <c r="E167" s="20" t="s">
        <v>242</v>
      </c>
      <c r="F167" s="20" t="s">
        <v>13</v>
      </c>
      <c r="G167" s="20" t="s">
        <v>231</v>
      </c>
      <c r="H167" s="20" t="s">
        <v>194</v>
      </c>
      <c r="I167">
        <v>1</v>
      </c>
      <c r="J167">
        <v>1</v>
      </c>
      <c r="V167">
        <v>1</v>
      </c>
      <c r="W167">
        <v>1</v>
      </c>
      <c r="FV167" s="18">
        <f t="shared" si="558"/>
        <v>2.1116138763197588E-2</v>
      </c>
    </row>
    <row r="168" spans="1:178" ht="14.25" customHeight="1" x14ac:dyDescent="0.25">
      <c r="A168" s="86" t="s">
        <v>273</v>
      </c>
      <c r="B168">
        <v>9</v>
      </c>
      <c r="C168">
        <v>100</v>
      </c>
      <c r="D168" s="20" t="s">
        <v>242</v>
      </c>
      <c r="E168" s="20" t="s">
        <v>242</v>
      </c>
      <c r="F168" s="20" t="s">
        <v>13</v>
      </c>
      <c r="G168" s="20" t="s">
        <v>231</v>
      </c>
      <c r="H168" s="20" t="s">
        <v>220</v>
      </c>
      <c r="N168">
        <v>1</v>
      </c>
      <c r="R168">
        <v>1</v>
      </c>
      <c r="S168">
        <v>1</v>
      </c>
      <c r="Z168">
        <v>1</v>
      </c>
      <c r="AM168">
        <v>1</v>
      </c>
      <c r="AV168">
        <v>1</v>
      </c>
      <c r="FV168" s="18">
        <f t="shared" si="558"/>
        <v>2.4132730015082957E-2</v>
      </c>
    </row>
    <row r="169" spans="1:178" ht="14.25" customHeight="1" x14ac:dyDescent="0.25">
      <c r="A169" s="86" t="s">
        <v>273</v>
      </c>
      <c r="B169">
        <v>9</v>
      </c>
      <c r="C169">
        <v>100</v>
      </c>
      <c r="D169" s="20" t="s">
        <v>242</v>
      </c>
      <c r="E169" s="20" t="s">
        <v>242</v>
      </c>
      <c r="F169" s="20" t="s">
        <v>13</v>
      </c>
      <c r="G169" s="20" t="s">
        <v>231</v>
      </c>
      <c r="H169" s="20" t="s">
        <v>195</v>
      </c>
      <c r="K169">
        <v>1</v>
      </c>
      <c r="L169">
        <v>1</v>
      </c>
      <c r="M169">
        <v>1</v>
      </c>
      <c r="X169">
        <v>1</v>
      </c>
      <c r="Y169">
        <v>1</v>
      </c>
      <c r="AI169">
        <v>1</v>
      </c>
      <c r="AK169">
        <v>1</v>
      </c>
      <c r="AL169">
        <v>1</v>
      </c>
      <c r="AY169">
        <v>1</v>
      </c>
      <c r="AZ169">
        <v>1</v>
      </c>
      <c r="BM169">
        <v>1</v>
      </c>
      <c r="BN169">
        <v>1</v>
      </c>
      <c r="CA169">
        <v>1</v>
      </c>
      <c r="CO169">
        <v>1</v>
      </c>
      <c r="DC169">
        <v>1</v>
      </c>
      <c r="FV169" s="18">
        <f t="shared" si="558"/>
        <v>6.0331825037707391E-2</v>
      </c>
    </row>
    <row r="170" spans="1:178" ht="14.25" customHeight="1" x14ac:dyDescent="0.25">
      <c r="A170" s="86" t="s">
        <v>273</v>
      </c>
      <c r="B170">
        <v>9</v>
      </c>
      <c r="C170">
        <v>100</v>
      </c>
      <c r="D170" s="20" t="s">
        <v>242</v>
      </c>
      <c r="E170" s="20" t="s">
        <v>242</v>
      </c>
      <c r="F170" s="20" t="s">
        <v>13</v>
      </c>
      <c r="G170" s="20" t="s">
        <v>231</v>
      </c>
      <c r="H170" s="20" t="s">
        <v>196</v>
      </c>
      <c r="O170">
        <v>1</v>
      </c>
      <c r="P170">
        <v>1</v>
      </c>
      <c r="Q170">
        <v>1</v>
      </c>
      <c r="AA170">
        <v>1</v>
      </c>
      <c r="AJ170">
        <v>1</v>
      </c>
      <c r="AN170">
        <v>1</v>
      </c>
      <c r="BA170">
        <v>1</v>
      </c>
      <c r="BI170">
        <v>1</v>
      </c>
      <c r="CB170">
        <v>1</v>
      </c>
      <c r="CP170">
        <v>1</v>
      </c>
      <c r="DQ170">
        <v>1</v>
      </c>
      <c r="FV170" s="18">
        <f t="shared" si="558"/>
        <v>4.6757164404223228E-2</v>
      </c>
    </row>
    <row r="171" spans="1:178" ht="14.25" customHeight="1" x14ac:dyDescent="0.25">
      <c r="A171" s="86" t="s">
        <v>273</v>
      </c>
      <c r="B171">
        <v>9</v>
      </c>
      <c r="C171">
        <v>100</v>
      </c>
      <c r="D171" s="20" t="s">
        <v>242</v>
      </c>
      <c r="E171" s="20" t="s">
        <v>242</v>
      </c>
      <c r="F171" s="20" t="s">
        <v>12</v>
      </c>
      <c r="G171" s="20" t="s">
        <v>231</v>
      </c>
      <c r="H171" s="20" t="s">
        <v>194</v>
      </c>
      <c r="I171">
        <v>1</v>
      </c>
      <c r="J171">
        <v>1</v>
      </c>
      <c r="V171">
        <v>1</v>
      </c>
      <c r="W171">
        <v>1</v>
      </c>
      <c r="FV171" s="18">
        <f t="shared" ref="FV171:FV174" si="568">SUMPRODUCT(I171:FU171,$I$1:$FU$1)/(SUM($I$1:$FU$1))</f>
        <v>2.1116138763197588E-2</v>
      </c>
    </row>
    <row r="172" spans="1:178" ht="14.25" customHeight="1" x14ac:dyDescent="0.25">
      <c r="A172" s="86" t="s">
        <v>273</v>
      </c>
      <c r="B172">
        <v>9</v>
      </c>
      <c r="C172">
        <v>100</v>
      </c>
      <c r="D172" s="20" t="s">
        <v>242</v>
      </c>
      <c r="E172" s="20" t="s">
        <v>242</v>
      </c>
      <c r="F172" s="20" t="s">
        <v>12</v>
      </c>
      <c r="G172" s="20" t="s">
        <v>231</v>
      </c>
      <c r="H172" s="20" t="s">
        <v>220</v>
      </c>
      <c r="N172">
        <v>1</v>
      </c>
      <c r="R172">
        <v>1</v>
      </c>
      <c r="S172">
        <v>1</v>
      </c>
      <c r="Z172">
        <v>1</v>
      </c>
      <c r="AJ172">
        <v>1</v>
      </c>
      <c r="AM172">
        <v>1</v>
      </c>
      <c r="AV172">
        <v>1</v>
      </c>
      <c r="FV172" s="18">
        <f t="shared" si="568"/>
        <v>3.3182503770739065E-2</v>
      </c>
    </row>
    <row r="173" spans="1:178" ht="14.25" customHeight="1" x14ac:dyDescent="0.25">
      <c r="A173" s="86" t="s">
        <v>273</v>
      </c>
      <c r="B173">
        <v>9</v>
      </c>
      <c r="C173">
        <v>100</v>
      </c>
      <c r="D173" s="20" t="s">
        <v>242</v>
      </c>
      <c r="E173" s="20" t="s">
        <v>242</v>
      </c>
      <c r="F173" s="20" t="s">
        <v>12</v>
      </c>
      <c r="G173" s="20" t="s">
        <v>231</v>
      </c>
      <c r="H173" s="20" t="s">
        <v>195</v>
      </c>
      <c r="K173">
        <v>1</v>
      </c>
      <c r="L173">
        <v>1</v>
      </c>
      <c r="M173">
        <v>1</v>
      </c>
      <c r="X173">
        <v>1</v>
      </c>
      <c r="Y173">
        <v>1</v>
      </c>
      <c r="AI173">
        <v>1</v>
      </c>
      <c r="AK173">
        <v>1</v>
      </c>
      <c r="AL173">
        <v>1</v>
      </c>
      <c r="AY173">
        <v>1</v>
      </c>
      <c r="AZ173">
        <v>1</v>
      </c>
      <c r="BM173">
        <v>1</v>
      </c>
      <c r="BN173">
        <v>1</v>
      </c>
      <c r="CA173">
        <v>1</v>
      </c>
      <c r="CB173">
        <v>1</v>
      </c>
      <c r="CO173">
        <v>1</v>
      </c>
      <c r="CP173">
        <v>1</v>
      </c>
      <c r="DC173">
        <v>1</v>
      </c>
      <c r="DQ173">
        <v>1</v>
      </c>
      <c r="FV173" s="18">
        <f t="shared" si="568"/>
        <v>7.0889894419306182E-2</v>
      </c>
    </row>
    <row r="174" spans="1:178" ht="14.25" customHeight="1" x14ac:dyDescent="0.25">
      <c r="A174" s="86" t="s">
        <v>273</v>
      </c>
      <c r="B174">
        <v>9</v>
      </c>
      <c r="C174">
        <v>100</v>
      </c>
      <c r="D174" s="20" t="s">
        <v>242</v>
      </c>
      <c r="E174" s="20" t="s">
        <v>242</v>
      </c>
      <c r="F174" s="20" t="s">
        <v>12</v>
      </c>
      <c r="G174" s="20" t="s">
        <v>231</v>
      </c>
      <c r="H174" s="20" t="s">
        <v>196</v>
      </c>
      <c r="O174">
        <v>1</v>
      </c>
      <c r="P174">
        <v>1</v>
      </c>
      <c r="Q174">
        <v>1</v>
      </c>
      <c r="AA174">
        <v>1</v>
      </c>
      <c r="AN174">
        <v>1</v>
      </c>
      <c r="BA174">
        <v>1</v>
      </c>
      <c r="BI174">
        <v>1</v>
      </c>
      <c r="FV174" s="18">
        <f t="shared" si="568"/>
        <v>2.7149321266968326E-2</v>
      </c>
    </row>
    <row r="175" spans="1:178" ht="14.25" customHeight="1" x14ac:dyDescent="0.25">
      <c r="A175" s="86" t="s">
        <v>273</v>
      </c>
      <c r="B175">
        <v>9</v>
      </c>
      <c r="C175">
        <v>100</v>
      </c>
      <c r="D175" s="20" t="s">
        <v>242</v>
      </c>
      <c r="E175" s="20" t="s">
        <v>242</v>
      </c>
      <c r="F175" s="20" t="s">
        <v>11</v>
      </c>
      <c r="G175" s="20" t="s">
        <v>231</v>
      </c>
      <c r="H175" s="20" t="s">
        <v>194</v>
      </c>
      <c r="I175">
        <v>1</v>
      </c>
      <c r="J175">
        <v>1</v>
      </c>
      <c r="V175">
        <v>1</v>
      </c>
      <c r="W175">
        <v>1</v>
      </c>
      <c r="FV175" s="18">
        <f t="shared" ref="FV175:FV182" si="569">SUMPRODUCT(I175:FU175,$I$1:$FU$1)/(SUM($I$1:$FU$1))</f>
        <v>2.1116138763197588E-2</v>
      </c>
    </row>
    <row r="176" spans="1:178" ht="14.25" customHeight="1" x14ac:dyDescent="0.25">
      <c r="A176" s="86" t="s">
        <v>273</v>
      </c>
      <c r="B176">
        <v>9</v>
      </c>
      <c r="C176">
        <v>100</v>
      </c>
      <c r="D176" s="20" t="s">
        <v>242</v>
      </c>
      <c r="E176" s="20" t="s">
        <v>242</v>
      </c>
      <c r="F176" s="20" t="s">
        <v>11</v>
      </c>
      <c r="G176" s="20" t="s">
        <v>231</v>
      </c>
      <c r="H176" s="20" t="s">
        <v>220</v>
      </c>
      <c r="N176">
        <v>1</v>
      </c>
      <c r="R176">
        <v>1</v>
      </c>
      <c r="S176">
        <v>1</v>
      </c>
      <c r="Z176">
        <v>1</v>
      </c>
      <c r="AJ176">
        <v>1</v>
      </c>
      <c r="AM176">
        <v>1</v>
      </c>
      <c r="AV176">
        <v>1</v>
      </c>
      <c r="FV176" s="18">
        <f t="shared" si="569"/>
        <v>3.3182503770739065E-2</v>
      </c>
    </row>
    <row r="177" spans="1:178" ht="14.25" customHeight="1" x14ac:dyDescent="0.25">
      <c r="A177" s="86" t="s">
        <v>273</v>
      </c>
      <c r="B177">
        <v>9</v>
      </c>
      <c r="C177">
        <v>100</v>
      </c>
      <c r="D177" s="20" t="s">
        <v>242</v>
      </c>
      <c r="E177" s="20" t="s">
        <v>242</v>
      </c>
      <c r="F177" s="20" t="s">
        <v>11</v>
      </c>
      <c r="G177" s="20" t="s">
        <v>231</v>
      </c>
      <c r="H177" s="20" t="s">
        <v>195</v>
      </c>
      <c r="K177">
        <v>1</v>
      </c>
      <c r="L177">
        <v>1</v>
      </c>
      <c r="M177">
        <v>1</v>
      </c>
      <c r="X177">
        <v>1</v>
      </c>
      <c r="Y177">
        <v>1</v>
      </c>
      <c r="AI177">
        <v>1</v>
      </c>
      <c r="AK177">
        <v>1</v>
      </c>
      <c r="AL177">
        <v>1</v>
      </c>
      <c r="AY177">
        <v>1</v>
      </c>
      <c r="AZ177">
        <v>1</v>
      </c>
      <c r="BM177">
        <v>1</v>
      </c>
      <c r="BN177">
        <v>1</v>
      </c>
      <c r="CA177">
        <v>1</v>
      </c>
      <c r="CB177">
        <v>1</v>
      </c>
      <c r="CO177">
        <v>1</v>
      </c>
      <c r="CP177">
        <v>1</v>
      </c>
      <c r="DC177">
        <v>1</v>
      </c>
      <c r="DQ177">
        <v>1</v>
      </c>
      <c r="FV177" s="18">
        <f t="shared" si="569"/>
        <v>7.0889894419306182E-2</v>
      </c>
    </row>
    <row r="178" spans="1:178" ht="14.25" customHeight="1" x14ac:dyDescent="0.25">
      <c r="A178" s="86" t="s">
        <v>273</v>
      </c>
      <c r="B178">
        <v>9</v>
      </c>
      <c r="C178">
        <v>100</v>
      </c>
      <c r="D178" s="20" t="s">
        <v>242</v>
      </c>
      <c r="E178" s="20" t="s">
        <v>242</v>
      </c>
      <c r="F178" s="20" t="s">
        <v>11</v>
      </c>
      <c r="G178" s="20" t="s">
        <v>231</v>
      </c>
      <c r="H178" s="20" t="s">
        <v>196</v>
      </c>
      <c r="O178">
        <v>1</v>
      </c>
      <c r="P178">
        <v>1</v>
      </c>
      <c r="Q178">
        <v>1</v>
      </c>
      <c r="AA178">
        <v>1</v>
      </c>
      <c r="AN178">
        <v>1</v>
      </c>
      <c r="BA178">
        <v>1</v>
      </c>
      <c r="BI178">
        <v>1</v>
      </c>
      <c r="FV178" s="18">
        <f t="shared" si="569"/>
        <v>2.7149321266968326E-2</v>
      </c>
    </row>
    <row r="179" spans="1:178" ht="14.25" customHeight="1" x14ac:dyDescent="0.25">
      <c r="A179" s="86" t="s">
        <v>273</v>
      </c>
      <c r="B179">
        <v>9</v>
      </c>
      <c r="C179">
        <v>100</v>
      </c>
      <c r="D179" s="20" t="s">
        <v>242</v>
      </c>
      <c r="E179" s="20" t="s">
        <v>242</v>
      </c>
      <c r="F179" s="20" t="s">
        <v>10</v>
      </c>
      <c r="G179" s="20" t="s">
        <v>231</v>
      </c>
      <c r="H179" s="20" t="s">
        <v>194</v>
      </c>
      <c r="I179">
        <v>1</v>
      </c>
      <c r="J179">
        <v>1</v>
      </c>
      <c r="V179">
        <v>1</v>
      </c>
      <c r="W179">
        <v>1</v>
      </c>
      <c r="FV179" s="18">
        <f t="shared" si="569"/>
        <v>2.1116138763197588E-2</v>
      </c>
    </row>
    <row r="180" spans="1:178" ht="14.25" customHeight="1" x14ac:dyDescent="0.25">
      <c r="A180" s="86" t="s">
        <v>273</v>
      </c>
      <c r="B180">
        <v>9</v>
      </c>
      <c r="C180">
        <v>100</v>
      </c>
      <c r="D180" s="20" t="s">
        <v>242</v>
      </c>
      <c r="E180" s="20" t="s">
        <v>242</v>
      </c>
      <c r="F180" s="20" t="s">
        <v>10</v>
      </c>
      <c r="G180" s="20" t="s">
        <v>231</v>
      </c>
      <c r="H180" s="20" t="s">
        <v>220</v>
      </c>
      <c r="N180">
        <v>1</v>
      </c>
      <c r="R180">
        <v>1</v>
      </c>
      <c r="S180">
        <v>1</v>
      </c>
      <c r="Z180">
        <v>1</v>
      </c>
      <c r="AJ180">
        <v>1</v>
      </c>
      <c r="AM180">
        <v>1</v>
      </c>
      <c r="BA180">
        <v>1</v>
      </c>
      <c r="BI180">
        <v>1</v>
      </c>
      <c r="FV180" s="18">
        <f t="shared" si="569"/>
        <v>3.6199095022624438E-2</v>
      </c>
    </row>
    <row r="181" spans="1:178" ht="14.25" customHeight="1" x14ac:dyDescent="0.25">
      <c r="A181" s="86" t="s">
        <v>273</v>
      </c>
      <c r="B181">
        <v>9</v>
      </c>
      <c r="C181">
        <v>100</v>
      </c>
      <c r="D181" s="20" t="s">
        <v>242</v>
      </c>
      <c r="E181" s="20" t="s">
        <v>242</v>
      </c>
      <c r="F181" s="20" t="s">
        <v>10</v>
      </c>
      <c r="G181" s="20" t="s">
        <v>231</v>
      </c>
      <c r="H181" s="20" t="s">
        <v>195</v>
      </c>
      <c r="K181">
        <v>1</v>
      </c>
      <c r="L181">
        <v>1</v>
      </c>
      <c r="M181">
        <v>1</v>
      </c>
      <c r="X181">
        <v>1</v>
      </c>
      <c r="Y181">
        <v>1</v>
      </c>
      <c r="AI181">
        <v>1</v>
      </c>
      <c r="AK181">
        <v>1</v>
      </c>
      <c r="AL181">
        <v>1</v>
      </c>
      <c r="AV181">
        <v>1</v>
      </c>
      <c r="AY181">
        <v>1</v>
      </c>
      <c r="AZ181">
        <v>1</v>
      </c>
      <c r="BM181">
        <v>1</v>
      </c>
      <c r="BN181">
        <v>1</v>
      </c>
      <c r="CA181">
        <v>1</v>
      </c>
      <c r="CB181">
        <v>1</v>
      </c>
      <c r="CO181">
        <v>1</v>
      </c>
      <c r="CP181">
        <v>1</v>
      </c>
      <c r="DC181">
        <v>1</v>
      </c>
      <c r="DQ181">
        <v>1</v>
      </c>
      <c r="FV181" s="18">
        <f t="shared" si="569"/>
        <v>7.9939668174962286E-2</v>
      </c>
    </row>
    <row r="182" spans="1:178" ht="14.25" customHeight="1" x14ac:dyDescent="0.25">
      <c r="A182" s="86" t="s">
        <v>273</v>
      </c>
      <c r="B182">
        <v>9</v>
      </c>
      <c r="C182">
        <v>100</v>
      </c>
      <c r="D182" s="20" t="s">
        <v>242</v>
      </c>
      <c r="E182" s="20" t="s">
        <v>242</v>
      </c>
      <c r="F182" s="20" t="s">
        <v>10</v>
      </c>
      <c r="G182" s="20" t="s">
        <v>231</v>
      </c>
      <c r="H182" s="20" t="s">
        <v>196</v>
      </c>
      <c r="O182">
        <v>1</v>
      </c>
      <c r="P182">
        <v>1</v>
      </c>
      <c r="Q182">
        <v>1</v>
      </c>
      <c r="AA182">
        <v>1</v>
      </c>
      <c r="AN182">
        <v>1</v>
      </c>
      <c r="FV182" s="18">
        <f t="shared" si="569"/>
        <v>1.5082956259426848E-2</v>
      </c>
    </row>
    <row r="183" spans="1:178" ht="14.25" customHeight="1" x14ac:dyDescent="0.25">
      <c r="A183" s="86" t="s">
        <v>273</v>
      </c>
      <c r="B183">
        <v>9</v>
      </c>
      <c r="C183">
        <v>100</v>
      </c>
      <c r="D183" s="20" t="s">
        <v>242</v>
      </c>
      <c r="E183" s="20" t="s">
        <v>242</v>
      </c>
      <c r="F183" s="20" t="s">
        <v>9</v>
      </c>
      <c r="G183" s="20" t="s">
        <v>231</v>
      </c>
      <c r="H183" s="20" t="s">
        <v>194</v>
      </c>
      <c r="I183">
        <v>1</v>
      </c>
      <c r="J183">
        <v>1</v>
      </c>
      <c r="V183">
        <v>1</v>
      </c>
      <c r="W183">
        <v>1</v>
      </c>
      <c r="AK183">
        <v>1</v>
      </c>
      <c r="FV183" s="18">
        <f t="shared" ref="FV183:FV186" si="570">SUMPRODUCT(I183:FU183,$I$1:$FU$1)/(SUM($I$1:$FU$1))</f>
        <v>2.564102564102564E-2</v>
      </c>
    </row>
    <row r="184" spans="1:178" ht="14.25" customHeight="1" x14ac:dyDescent="0.25">
      <c r="A184" s="86" t="s">
        <v>273</v>
      </c>
      <c r="B184">
        <v>9</v>
      </c>
      <c r="C184">
        <v>100</v>
      </c>
      <c r="D184" s="20" t="s">
        <v>242</v>
      </c>
      <c r="E184" s="20" t="s">
        <v>242</v>
      </c>
      <c r="F184" s="20" t="s">
        <v>9</v>
      </c>
      <c r="G184" s="20" t="s">
        <v>231</v>
      </c>
      <c r="H184" s="20" t="s">
        <v>220</v>
      </c>
      <c r="N184">
        <v>1</v>
      </c>
      <c r="O184">
        <v>1</v>
      </c>
      <c r="R184">
        <v>1</v>
      </c>
      <c r="S184">
        <v>1</v>
      </c>
      <c r="AA184">
        <v>1</v>
      </c>
      <c r="AJ184">
        <v>1</v>
      </c>
      <c r="BA184">
        <v>1</v>
      </c>
      <c r="BI184">
        <v>1</v>
      </c>
      <c r="FV184" s="18">
        <f t="shared" si="570"/>
        <v>3.6199095022624438E-2</v>
      </c>
    </row>
    <row r="185" spans="1:178" ht="14.25" customHeight="1" x14ac:dyDescent="0.25">
      <c r="A185" s="86" t="s">
        <v>273</v>
      </c>
      <c r="B185">
        <v>9</v>
      </c>
      <c r="C185">
        <v>100</v>
      </c>
      <c r="D185" s="20" t="s">
        <v>242</v>
      </c>
      <c r="E185" s="20" t="s">
        <v>242</v>
      </c>
      <c r="F185" s="20" t="s">
        <v>9</v>
      </c>
      <c r="G185" s="20" t="s">
        <v>231</v>
      </c>
      <c r="H185" s="20" t="s">
        <v>195</v>
      </c>
      <c r="K185">
        <v>1</v>
      </c>
      <c r="L185">
        <v>1</v>
      </c>
      <c r="M185">
        <v>1</v>
      </c>
      <c r="X185">
        <v>1</v>
      </c>
      <c r="Y185">
        <v>1</v>
      </c>
      <c r="Z185">
        <v>1</v>
      </c>
      <c r="AI185">
        <v>1</v>
      </c>
      <c r="AL185">
        <v>1</v>
      </c>
      <c r="AM185">
        <v>1</v>
      </c>
      <c r="AV185">
        <v>1</v>
      </c>
      <c r="AY185">
        <v>1</v>
      </c>
      <c r="AZ185">
        <v>1</v>
      </c>
      <c r="BM185">
        <v>1</v>
      </c>
      <c r="BN185">
        <v>1</v>
      </c>
      <c r="CA185">
        <v>1</v>
      </c>
      <c r="CB185">
        <v>1</v>
      </c>
      <c r="CO185">
        <v>1</v>
      </c>
      <c r="CP185">
        <v>1</v>
      </c>
      <c r="DC185">
        <v>1</v>
      </c>
      <c r="DQ185">
        <v>1</v>
      </c>
      <c r="FV185" s="18">
        <f t="shared" si="570"/>
        <v>8.1447963800904979E-2</v>
      </c>
    </row>
    <row r="186" spans="1:178" ht="14.25" customHeight="1" x14ac:dyDescent="0.25">
      <c r="A186" s="86" t="s">
        <v>273</v>
      </c>
      <c r="B186">
        <v>9</v>
      </c>
      <c r="C186">
        <v>100</v>
      </c>
      <c r="D186" s="20" t="s">
        <v>242</v>
      </c>
      <c r="E186" s="20" t="s">
        <v>242</v>
      </c>
      <c r="F186" s="20" t="s">
        <v>9</v>
      </c>
      <c r="G186" s="20" t="s">
        <v>231</v>
      </c>
      <c r="H186" s="20" t="s">
        <v>196</v>
      </c>
      <c r="P186">
        <v>1</v>
      </c>
      <c r="Q186">
        <v>1</v>
      </c>
      <c r="AN186">
        <v>1</v>
      </c>
      <c r="FV186" s="18">
        <f t="shared" si="570"/>
        <v>9.0497737556561094E-3</v>
      </c>
    </row>
    <row r="187" spans="1:178" ht="14.25" customHeight="1" x14ac:dyDescent="0.25">
      <c r="A187" s="86" t="s">
        <v>273</v>
      </c>
      <c r="B187">
        <v>9</v>
      </c>
      <c r="C187">
        <v>100</v>
      </c>
      <c r="D187" s="20" t="s">
        <v>242</v>
      </c>
      <c r="E187" s="20" t="s">
        <v>242</v>
      </c>
      <c r="F187" s="20" t="s">
        <v>8</v>
      </c>
      <c r="G187" s="20" t="s">
        <v>231</v>
      </c>
      <c r="H187" s="20" t="s">
        <v>194</v>
      </c>
      <c r="I187">
        <v>1</v>
      </c>
      <c r="J187">
        <v>1</v>
      </c>
      <c r="V187">
        <v>1</v>
      </c>
      <c r="W187">
        <v>1</v>
      </c>
      <c r="AK187">
        <v>1</v>
      </c>
      <c r="FV187" s="18">
        <f t="shared" ref="FV187:FV198" si="571">SUMPRODUCT(I187:FU187,$I$1:$FU$1)/(SUM($I$1:$FU$1))</f>
        <v>2.564102564102564E-2</v>
      </c>
    </row>
    <row r="188" spans="1:178" ht="14.25" customHeight="1" x14ac:dyDescent="0.25">
      <c r="A188" s="86" t="s">
        <v>273</v>
      </c>
      <c r="B188">
        <v>9</v>
      </c>
      <c r="C188">
        <v>100</v>
      </c>
      <c r="D188" s="20" t="s">
        <v>242</v>
      </c>
      <c r="E188" s="20" t="s">
        <v>242</v>
      </c>
      <c r="F188" s="20" t="s">
        <v>8</v>
      </c>
      <c r="G188" s="20" t="s">
        <v>231</v>
      </c>
      <c r="H188" s="20" t="s">
        <v>220</v>
      </c>
      <c r="N188">
        <v>1</v>
      </c>
      <c r="O188">
        <v>1</v>
      </c>
      <c r="R188">
        <v>1</v>
      </c>
      <c r="S188">
        <v>1</v>
      </c>
      <c r="AA188">
        <v>1</v>
      </c>
      <c r="AJ188">
        <v>1</v>
      </c>
      <c r="BA188">
        <v>1</v>
      </c>
      <c r="BI188">
        <v>1</v>
      </c>
      <c r="FV188" s="18">
        <f t="shared" si="571"/>
        <v>3.6199095022624438E-2</v>
      </c>
    </row>
    <row r="189" spans="1:178" ht="14.25" customHeight="1" x14ac:dyDescent="0.25">
      <c r="A189" s="86" t="s">
        <v>273</v>
      </c>
      <c r="B189">
        <v>9</v>
      </c>
      <c r="C189">
        <v>100</v>
      </c>
      <c r="D189" s="20" t="s">
        <v>242</v>
      </c>
      <c r="E189" s="20" t="s">
        <v>242</v>
      </c>
      <c r="F189" s="20" t="s">
        <v>8</v>
      </c>
      <c r="G189" s="20" t="s">
        <v>231</v>
      </c>
      <c r="H189" s="20" t="s">
        <v>195</v>
      </c>
      <c r="K189">
        <v>1</v>
      </c>
      <c r="L189">
        <v>1</v>
      </c>
      <c r="M189">
        <v>1</v>
      </c>
      <c r="X189">
        <v>1</v>
      </c>
      <c r="Y189">
        <v>1</v>
      </c>
      <c r="Z189">
        <v>1</v>
      </c>
      <c r="AI189">
        <v>1</v>
      </c>
      <c r="AL189">
        <v>1</v>
      </c>
      <c r="AM189">
        <v>1</v>
      </c>
      <c r="AV189">
        <v>1</v>
      </c>
      <c r="AY189">
        <v>1</v>
      </c>
      <c r="AZ189">
        <v>1</v>
      </c>
      <c r="BM189">
        <v>1</v>
      </c>
      <c r="BN189">
        <v>1</v>
      </c>
      <c r="CA189">
        <v>1</v>
      </c>
      <c r="CB189">
        <v>1</v>
      </c>
      <c r="CO189">
        <v>1</v>
      </c>
      <c r="CP189">
        <v>1</v>
      </c>
      <c r="DC189">
        <v>1</v>
      </c>
      <c r="DQ189">
        <v>1</v>
      </c>
      <c r="FV189" s="18">
        <f t="shared" si="571"/>
        <v>8.1447963800904979E-2</v>
      </c>
    </row>
    <row r="190" spans="1:178" ht="14.25" customHeight="1" x14ac:dyDescent="0.25">
      <c r="A190" s="86" t="s">
        <v>273</v>
      </c>
      <c r="B190">
        <v>9</v>
      </c>
      <c r="C190">
        <v>100</v>
      </c>
      <c r="D190" s="20" t="s">
        <v>242</v>
      </c>
      <c r="E190" s="20" t="s">
        <v>242</v>
      </c>
      <c r="F190" s="20" t="s">
        <v>8</v>
      </c>
      <c r="G190" s="20" t="s">
        <v>231</v>
      </c>
      <c r="H190" s="20" t="s">
        <v>196</v>
      </c>
      <c r="P190">
        <v>1</v>
      </c>
      <c r="Q190">
        <v>1</v>
      </c>
      <c r="AN190">
        <v>1</v>
      </c>
      <c r="FV190" s="18">
        <f t="shared" si="571"/>
        <v>9.0497737556561094E-3</v>
      </c>
    </row>
    <row r="191" spans="1:178" ht="14.25" customHeight="1" x14ac:dyDescent="0.25">
      <c r="A191" s="86" t="s">
        <v>273</v>
      </c>
      <c r="B191">
        <v>9</v>
      </c>
      <c r="C191">
        <v>100</v>
      </c>
      <c r="D191" s="21" t="s">
        <v>14</v>
      </c>
      <c r="E191" s="21" t="s">
        <v>14</v>
      </c>
      <c r="F191" s="20" t="s">
        <v>13</v>
      </c>
      <c r="G191" s="20" t="s">
        <v>231</v>
      </c>
      <c r="H191" s="20" t="s">
        <v>194</v>
      </c>
      <c r="I191">
        <v>1</v>
      </c>
      <c r="J191">
        <v>1</v>
      </c>
      <c r="V191">
        <v>1</v>
      </c>
      <c r="W191">
        <v>1</v>
      </c>
      <c r="FV191" s="18">
        <f t="shared" si="571"/>
        <v>2.1116138763197588E-2</v>
      </c>
    </row>
    <row r="192" spans="1:178" ht="14.25" customHeight="1" x14ac:dyDescent="0.25">
      <c r="A192" s="86" t="s">
        <v>273</v>
      </c>
      <c r="B192">
        <v>9</v>
      </c>
      <c r="C192">
        <v>100</v>
      </c>
      <c r="D192" s="21" t="s">
        <v>14</v>
      </c>
      <c r="E192" s="21" t="s">
        <v>14</v>
      </c>
      <c r="F192" s="20" t="s">
        <v>13</v>
      </c>
      <c r="G192" s="20" t="s">
        <v>231</v>
      </c>
      <c r="H192" s="20" t="s">
        <v>220</v>
      </c>
      <c r="N192">
        <v>1</v>
      </c>
      <c r="R192">
        <v>1</v>
      </c>
      <c r="S192">
        <v>1</v>
      </c>
      <c r="T192">
        <v>1</v>
      </c>
      <c r="U192">
        <v>1</v>
      </c>
      <c r="AJ192">
        <v>1</v>
      </c>
      <c r="AV192">
        <v>1</v>
      </c>
      <c r="FV192" s="18">
        <f t="shared" si="571"/>
        <v>3.3182503770739065E-2</v>
      </c>
    </row>
    <row r="193" spans="1:178" ht="14.25" customHeight="1" x14ac:dyDescent="0.25">
      <c r="A193" s="86" t="s">
        <v>273</v>
      </c>
      <c r="B193">
        <v>9</v>
      </c>
      <c r="C193">
        <v>100</v>
      </c>
      <c r="D193" s="21" t="s">
        <v>14</v>
      </c>
      <c r="E193" s="21" t="s">
        <v>14</v>
      </c>
      <c r="F193" s="20" t="s">
        <v>13</v>
      </c>
      <c r="G193" s="20" t="s">
        <v>231</v>
      </c>
      <c r="H193" s="20" t="s">
        <v>195</v>
      </c>
      <c r="K193">
        <v>1</v>
      </c>
      <c r="L193">
        <v>1</v>
      </c>
      <c r="M193">
        <v>1</v>
      </c>
      <c r="X193">
        <v>1</v>
      </c>
      <c r="Y193">
        <v>1</v>
      </c>
      <c r="AI193">
        <v>1</v>
      </c>
      <c r="AK193">
        <v>1</v>
      </c>
      <c r="AL193">
        <v>1</v>
      </c>
      <c r="AY193">
        <v>1</v>
      </c>
      <c r="AZ193">
        <v>1</v>
      </c>
      <c r="BM193">
        <v>1</v>
      </c>
      <c r="BN193">
        <v>1</v>
      </c>
      <c r="CA193">
        <v>1</v>
      </c>
      <c r="CB193">
        <v>1</v>
      </c>
      <c r="CO193">
        <v>1</v>
      </c>
      <c r="DC193">
        <v>1</v>
      </c>
      <c r="FV193" s="18">
        <f t="shared" si="571"/>
        <v>6.3348416289592757E-2</v>
      </c>
    </row>
    <row r="194" spans="1:178" ht="14.25" customHeight="1" x14ac:dyDescent="0.25">
      <c r="A194" s="86" t="s">
        <v>273</v>
      </c>
      <c r="B194">
        <v>9</v>
      </c>
      <c r="C194">
        <v>100</v>
      </c>
      <c r="D194" s="21" t="s">
        <v>14</v>
      </c>
      <c r="E194" s="21" t="s">
        <v>14</v>
      </c>
      <c r="F194" s="20" t="s">
        <v>13</v>
      </c>
      <c r="G194" s="20" t="s">
        <v>231</v>
      </c>
      <c r="H194" s="20" t="s">
        <v>196</v>
      </c>
      <c r="O194">
        <v>1</v>
      </c>
      <c r="P194">
        <v>1</v>
      </c>
      <c r="Q194">
        <v>1</v>
      </c>
      <c r="Z194">
        <v>1</v>
      </c>
      <c r="AA194">
        <v>1</v>
      </c>
      <c r="AM194">
        <v>1</v>
      </c>
      <c r="AN194">
        <v>1</v>
      </c>
      <c r="BA194">
        <v>1</v>
      </c>
      <c r="CP194">
        <v>1</v>
      </c>
      <c r="DD194">
        <v>1</v>
      </c>
      <c r="DQ194">
        <v>1</v>
      </c>
      <c r="EE194">
        <v>1</v>
      </c>
      <c r="FV194" s="18">
        <f t="shared" si="571"/>
        <v>3.9215686274509803E-2</v>
      </c>
    </row>
    <row r="195" spans="1:178" ht="14.25" customHeight="1" x14ac:dyDescent="0.25">
      <c r="A195" s="86" t="s">
        <v>273</v>
      </c>
      <c r="B195">
        <v>9</v>
      </c>
      <c r="C195">
        <v>100</v>
      </c>
      <c r="D195" s="21" t="s">
        <v>14</v>
      </c>
      <c r="E195" s="21" t="s">
        <v>14</v>
      </c>
      <c r="F195" s="20" t="s">
        <v>12</v>
      </c>
      <c r="G195" s="20" t="s">
        <v>231</v>
      </c>
      <c r="H195" s="20" t="s">
        <v>194</v>
      </c>
      <c r="I195">
        <v>1</v>
      </c>
      <c r="J195">
        <v>1</v>
      </c>
      <c r="V195">
        <v>1</v>
      </c>
      <c r="W195">
        <v>1</v>
      </c>
      <c r="FV195" s="18">
        <f t="shared" si="571"/>
        <v>2.1116138763197588E-2</v>
      </c>
    </row>
    <row r="196" spans="1:178" ht="14.25" customHeight="1" x14ac:dyDescent="0.25">
      <c r="A196" s="86" t="s">
        <v>273</v>
      </c>
      <c r="B196">
        <v>9</v>
      </c>
      <c r="C196">
        <v>100</v>
      </c>
      <c r="D196" s="21" t="s">
        <v>14</v>
      </c>
      <c r="E196" s="21" t="s">
        <v>14</v>
      </c>
      <c r="F196" s="20" t="s">
        <v>12</v>
      </c>
      <c r="G196" s="20" t="s">
        <v>231</v>
      </c>
      <c r="H196" s="20" t="s">
        <v>220</v>
      </c>
      <c r="N196">
        <v>1</v>
      </c>
      <c r="R196">
        <v>1</v>
      </c>
      <c r="S196">
        <v>1</v>
      </c>
      <c r="T196">
        <v>1</v>
      </c>
      <c r="U196">
        <v>1</v>
      </c>
      <c r="AJ196">
        <v>1</v>
      </c>
      <c r="AV196">
        <v>1</v>
      </c>
      <c r="CP196">
        <v>1</v>
      </c>
      <c r="FV196" s="18">
        <f t="shared" si="571"/>
        <v>3.6199095022624438E-2</v>
      </c>
    </row>
    <row r="197" spans="1:178" ht="14.25" customHeight="1" x14ac:dyDescent="0.25">
      <c r="A197" s="86" t="s">
        <v>273</v>
      </c>
      <c r="B197">
        <v>9</v>
      </c>
      <c r="C197">
        <v>100</v>
      </c>
      <c r="D197" s="21" t="s">
        <v>14</v>
      </c>
      <c r="E197" s="21" t="s">
        <v>14</v>
      </c>
      <c r="F197" s="20" t="s">
        <v>12</v>
      </c>
      <c r="G197" s="20" t="s">
        <v>231</v>
      </c>
      <c r="H197" s="20" t="s">
        <v>195</v>
      </c>
      <c r="K197">
        <v>1</v>
      </c>
      <c r="L197">
        <v>1</v>
      </c>
      <c r="M197">
        <v>1</v>
      </c>
      <c r="X197">
        <v>1</v>
      </c>
      <c r="Y197">
        <v>1</v>
      </c>
      <c r="AI197">
        <v>1</v>
      </c>
      <c r="AK197">
        <v>1</v>
      </c>
      <c r="AL197">
        <v>1</v>
      </c>
      <c r="AY197">
        <v>1</v>
      </c>
      <c r="AZ197">
        <v>1</v>
      </c>
      <c r="BM197">
        <v>1</v>
      </c>
      <c r="BN197">
        <v>1</v>
      </c>
      <c r="CA197">
        <v>1</v>
      </c>
      <c r="CB197">
        <v>1</v>
      </c>
      <c r="CO197">
        <v>1</v>
      </c>
      <c r="DC197">
        <v>1</v>
      </c>
      <c r="DQ197">
        <v>1</v>
      </c>
      <c r="FV197" s="18">
        <f t="shared" si="571"/>
        <v>6.7873303167420809E-2</v>
      </c>
    </row>
    <row r="198" spans="1:178" ht="14.25" customHeight="1" x14ac:dyDescent="0.25">
      <c r="A198" s="86" t="s">
        <v>273</v>
      </c>
      <c r="B198">
        <v>9</v>
      </c>
      <c r="C198">
        <v>100</v>
      </c>
      <c r="D198" s="21" t="s">
        <v>14</v>
      </c>
      <c r="E198" s="21" t="s">
        <v>14</v>
      </c>
      <c r="F198" s="20" t="s">
        <v>12</v>
      </c>
      <c r="G198" s="20" t="s">
        <v>231</v>
      </c>
      <c r="H198" s="20" t="s">
        <v>196</v>
      </c>
      <c r="O198">
        <v>1</v>
      </c>
      <c r="P198">
        <v>1</v>
      </c>
      <c r="Q198">
        <v>1</v>
      </c>
      <c r="Z198">
        <v>1</v>
      </c>
      <c r="AA198">
        <v>1</v>
      </c>
      <c r="AM198">
        <v>1</v>
      </c>
      <c r="AN198">
        <v>1</v>
      </c>
      <c r="BA198">
        <v>1</v>
      </c>
      <c r="DD198">
        <v>1</v>
      </c>
      <c r="EE198">
        <v>1</v>
      </c>
      <c r="FV198" s="18">
        <f t="shared" si="571"/>
        <v>3.1674208144796379E-2</v>
      </c>
    </row>
    <row r="199" spans="1:178" ht="14.25" customHeight="1" x14ac:dyDescent="0.25">
      <c r="A199" s="86" t="s">
        <v>273</v>
      </c>
      <c r="B199">
        <v>9</v>
      </c>
      <c r="C199">
        <v>100</v>
      </c>
      <c r="D199" s="21" t="s">
        <v>14</v>
      </c>
      <c r="E199" s="21" t="s">
        <v>14</v>
      </c>
      <c r="F199" s="20" t="s">
        <v>11</v>
      </c>
      <c r="G199" s="20" t="s">
        <v>231</v>
      </c>
      <c r="H199" s="20" t="s">
        <v>194</v>
      </c>
      <c r="I199">
        <v>1</v>
      </c>
      <c r="J199">
        <v>1</v>
      </c>
      <c r="V199">
        <v>1</v>
      </c>
      <c r="W199">
        <v>1</v>
      </c>
      <c r="FV199" s="18">
        <f t="shared" ref="FV199:FV253" si="572">SUMPRODUCT(I199:FU199,$I$1:$FU$1)/(SUM($I$1:$FU$1))</f>
        <v>2.1116138763197588E-2</v>
      </c>
    </row>
    <row r="200" spans="1:178" ht="14.25" customHeight="1" x14ac:dyDescent="0.25">
      <c r="A200" s="86" t="s">
        <v>273</v>
      </c>
      <c r="B200">
        <v>9</v>
      </c>
      <c r="C200">
        <v>100</v>
      </c>
      <c r="D200" s="21" t="s">
        <v>14</v>
      </c>
      <c r="E200" s="21" t="s">
        <v>14</v>
      </c>
      <c r="F200" s="20" t="s">
        <v>11</v>
      </c>
      <c r="G200" s="20" t="s">
        <v>231</v>
      </c>
      <c r="H200" s="20" t="s">
        <v>220</v>
      </c>
      <c r="N200">
        <v>1</v>
      </c>
      <c r="O200">
        <v>1</v>
      </c>
      <c r="R200">
        <v>1</v>
      </c>
      <c r="S200">
        <v>1</v>
      </c>
      <c r="T200">
        <v>1</v>
      </c>
      <c r="U200">
        <v>1</v>
      </c>
      <c r="AJ200">
        <v>1</v>
      </c>
      <c r="AV200">
        <v>1</v>
      </c>
      <c r="FV200" s="18">
        <f t="shared" si="572"/>
        <v>3.6199095022624438E-2</v>
      </c>
    </row>
    <row r="201" spans="1:178" ht="14.25" customHeight="1" x14ac:dyDescent="0.25">
      <c r="A201" s="86" t="s">
        <v>273</v>
      </c>
      <c r="B201">
        <v>9</v>
      </c>
      <c r="C201">
        <v>100</v>
      </c>
      <c r="D201" s="21" t="s">
        <v>14</v>
      </c>
      <c r="E201" s="21" t="s">
        <v>14</v>
      </c>
      <c r="F201" s="20" t="s">
        <v>11</v>
      </c>
      <c r="G201" s="20" t="s">
        <v>231</v>
      </c>
      <c r="H201" s="20" t="s">
        <v>195</v>
      </c>
      <c r="K201">
        <v>1</v>
      </c>
      <c r="L201">
        <v>1</v>
      </c>
      <c r="M201">
        <v>1</v>
      </c>
      <c r="X201">
        <v>1</v>
      </c>
      <c r="Y201">
        <v>1</v>
      </c>
      <c r="Z201">
        <v>1</v>
      </c>
      <c r="AI201">
        <v>1</v>
      </c>
      <c r="AK201">
        <v>1</v>
      </c>
      <c r="AL201">
        <v>1</v>
      </c>
      <c r="AM201">
        <v>1</v>
      </c>
      <c r="AY201">
        <v>1</v>
      </c>
      <c r="AZ201">
        <v>1</v>
      </c>
      <c r="BM201">
        <v>1</v>
      </c>
      <c r="BN201">
        <v>1</v>
      </c>
      <c r="CA201">
        <v>1</v>
      </c>
      <c r="CB201">
        <v>1</v>
      </c>
      <c r="CO201">
        <v>1</v>
      </c>
      <c r="CP201">
        <v>1</v>
      </c>
      <c r="DC201">
        <v>1</v>
      </c>
      <c r="DQ201">
        <v>1</v>
      </c>
      <c r="EE201">
        <v>1</v>
      </c>
      <c r="FV201" s="18">
        <f t="shared" si="572"/>
        <v>8.1447963800904979E-2</v>
      </c>
    </row>
    <row r="202" spans="1:178" ht="14.25" customHeight="1" x14ac:dyDescent="0.25">
      <c r="A202" s="86" t="s">
        <v>273</v>
      </c>
      <c r="B202">
        <v>9</v>
      </c>
      <c r="C202">
        <v>100</v>
      </c>
      <c r="D202" s="21" t="s">
        <v>14</v>
      </c>
      <c r="E202" s="21" t="s">
        <v>14</v>
      </c>
      <c r="F202" s="20" t="s">
        <v>11</v>
      </c>
      <c r="G202" s="20" t="s">
        <v>231</v>
      </c>
      <c r="H202" s="20" t="s">
        <v>196</v>
      </c>
      <c r="P202">
        <v>1</v>
      </c>
      <c r="Q202">
        <v>1</v>
      </c>
      <c r="AA202">
        <v>1</v>
      </c>
      <c r="AN202">
        <v>1</v>
      </c>
      <c r="BA202">
        <v>1</v>
      </c>
      <c r="DD202">
        <v>1</v>
      </c>
      <c r="FV202" s="18">
        <f t="shared" si="572"/>
        <v>1.8099547511312219E-2</v>
      </c>
    </row>
    <row r="203" spans="1:178" ht="14.25" customHeight="1" x14ac:dyDescent="0.25">
      <c r="A203" s="86" t="s">
        <v>273</v>
      </c>
      <c r="B203">
        <v>9</v>
      </c>
      <c r="C203">
        <v>100</v>
      </c>
      <c r="D203" s="21" t="s">
        <v>14</v>
      </c>
      <c r="E203" s="21" t="s">
        <v>14</v>
      </c>
      <c r="F203" s="20" t="s">
        <v>10</v>
      </c>
      <c r="G203" s="20" t="s">
        <v>231</v>
      </c>
      <c r="H203" s="20" t="s">
        <v>194</v>
      </c>
      <c r="I203">
        <v>1</v>
      </c>
      <c r="J203">
        <v>1</v>
      </c>
      <c r="V203">
        <v>1</v>
      </c>
      <c r="W203">
        <v>1</v>
      </c>
      <c r="FV203" s="18">
        <f t="shared" ref="FV203:FV210" si="573">SUMPRODUCT(I203:FU203,$I$1:$FU$1)/(SUM($I$1:$FU$1))</f>
        <v>2.1116138763197588E-2</v>
      </c>
    </row>
    <row r="204" spans="1:178" ht="14.25" customHeight="1" x14ac:dyDescent="0.25">
      <c r="A204" s="86" t="s">
        <v>273</v>
      </c>
      <c r="B204">
        <v>9</v>
      </c>
      <c r="C204">
        <v>100</v>
      </c>
      <c r="D204" s="21" t="s">
        <v>14</v>
      </c>
      <c r="E204" s="21" t="s">
        <v>14</v>
      </c>
      <c r="F204" s="20" t="s">
        <v>10</v>
      </c>
      <c r="G204" s="20" t="s">
        <v>231</v>
      </c>
      <c r="H204" s="20" t="s">
        <v>220</v>
      </c>
      <c r="N204">
        <v>1</v>
      </c>
      <c r="O204">
        <v>1</v>
      </c>
      <c r="R204">
        <v>1</v>
      </c>
      <c r="S204">
        <v>1</v>
      </c>
      <c r="T204">
        <v>1</v>
      </c>
      <c r="U204">
        <v>1</v>
      </c>
      <c r="AJ204">
        <v>1</v>
      </c>
      <c r="AV204">
        <v>1</v>
      </c>
      <c r="FV204" s="18">
        <f t="shared" si="573"/>
        <v>3.6199095022624438E-2</v>
      </c>
    </row>
    <row r="205" spans="1:178" ht="14.25" customHeight="1" x14ac:dyDescent="0.25">
      <c r="A205" s="86" t="s">
        <v>273</v>
      </c>
      <c r="B205">
        <v>9</v>
      </c>
      <c r="C205">
        <v>100</v>
      </c>
      <c r="D205" s="21" t="s">
        <v>14</v>
      </c>
      <c r="E205" s="21" t="s">
        <v>14</v>
      </c>
      <c r="F205" s="20" t="s">
        <v>10</v>
      </c>
      <c r="G205" s="20" t="s">
        <v>231</v>
      </c>
      <c r="H205" s="20" t="s">
        <v>195</v>
      </c>
      <c r="K205">
        <v>1</v>
      </c>
      <c r="L205">
        <v>1</v>
      </c>
      <c r="M205">
        <v>1</v>
      </c>
      <c r="X205">
        <v>1</v>
      </c>
      <c r="Y205">
        <v>1</v>
      </c>
      <c r="Z205">
        <v>1</v>
      </c>
      <c r="AI205">
        <v>1</v>
      </c>
      <c r="AK205">
        <v>1</v>
      </c>
      <c r="AL205">
        <v>1</v>
      </c>
      <c r="AM205">
        <v>1</v>
      </c>
      <c r="AY205">
        <v>1</v>
      </c>
      <c r="AZ205">
        <v>1</v>
      </c>
      <c r="BM205">
        <v>1</v>
      </c>
      <c r="BN205">
        <v>1</v>
      </c>
      <c r="CA205">
        <v>1</v>
      </c>
      <c r="CB205">
        <v>1</v>
      </c>
      <c r="CO205">
        <v>1</v>
      </c>
      <c r="CP205">
        <v>1</v>
      </c>
      <c r="DC205">
        <v>1</v>
      </c>
      <c r="DQ205">
        <v>1</v>
      </c>
      <c r="EE205">
        <v>1</v>
      </c>
      <c r="FV205" s="18">
        <f t="shared" si="573"/>
        <v>8.1447963800904979E-2</v>
      </c>
    </row>
    <row r="206" spans="1:178" ht="14.25" customHeight="1" x14ac:dyDescent="0.25">
      <c r="A206" s="86" t="s">
        <v>273</v>
      </c>
      <c r="B206">
        <v>9</v>
      </c>
      <c r="C206">
        <v>100</v>
      </c>
      <c r="D206" s="21" t="s">
        <v>14</v>
      </c>
      <c r="E206" s="21" t="s">
        <v>14</v>
      </c>
      <c r="F206" s="20" t="s">
        <v>10</v>
      </c>
      <c r="G206" s="20" t="s">
        <v>231</v>
      </c>
      <c r="H206" s="20" t="s">
        <v>196</v>
      </c>
      <c r="P206">
        <v>1</v>
      </c>
      <c r="Q206">
        <v>1</v>
      </c>
      <c r="AA206">
        <v>1</v>
      </c>
      <c r="AN206">
        <v>1</v>
      </c>
      <c r="BA206">
        <v>1</v>
      </c>
      <c r="DD206">
        <v>1</v>
      </c>
      <c r="FV206" s="18">
        <f t="shared" si="573"/>
        <v>1.8099547511312219E-2</v>
      </c>
    </row>
    <row r="207" spans="1:178" ht="14.25" customHeight="1" x14ac:dyDescent="0.25">
      <c r="A207" s="86" t="s">
        <v>273</v>
      </c>
      <c r="B207">
        <v>9</v>
      </c>
      <c r="C207">
        <v>100</v>
      </c>
      <c r="D207" s="21" t="s">
        <v>14</v>
      </c>
      <c r="E207" s="21" t="s">
        <v>14</v>
      </c>
      <c r="F207" s="20" t="s">
        <v>9</v>
      </c>
      <c r="G207" s="20" t="s">
        <v>231</v>
      </c>
      <c r="H207" s="20" t="s">
        <v>194</v>
      </c>
      <c r="I207">
        <v>1</v>
      </c>
      <c r="J207">
        <v>1</v>
      </c>
      <c r="V207">
        <v>1</v>
      </c>
      <c r="W207">
        <v>1</v>
      </c>
      <c r="AK207">
        <v>1</v>
      </c>
      <c r="FV207" s="18">
        <f t="shared" si="573"/>
        <v>2.564102564102564E-2</v>
      </c>
    </row>
    <row r="208" spans="1:178" ht="14.25" customHeight="1" x14ac:dyDescent="0.25">
      <c r="A208" s="86" t="s">
        <v>273</v>
      </c>
      <c r="B208">
        <v>9</v>
      </c>
      <c r="C208">
        <v>100</v>
      </c>
      <c r="D208" s="21" t="s">
        <v>14</v>
      </c>
      <c r="E208" s="21" t="s">
        <v>14</v>
      </c>
      <c r="F208" s="20" t="s">
        <v>9</v>
      </c>
      <c r="G208" s="20" t="s">
        <v>231</v>
      </c>
      <c r="H208" s="20" t="s">
        <v>220</v>
      </c>
      <c r="N208">
        <v>1</v>
      </c>
      <c r="O208">
        <v>1</v>
      </c>
      <c r="R208">
        <v>1</v>
      </c>
      <c r="S208">
        <v>1</v>
      </c>
      <c r="T208">
        <v>1</v>
      </c>
      <c r="U208">
        <v>1</v>
      </c>
      <c r="AJ208">
        <v>1</v>
      </c>
      <c r="AV208">
        <v>1</v>
      </c>
      <c r="FV208" s="18">
        <f t="shared" si="573"/>
        <v>3.6199095022624438E-2</v>
      </c>
    </row>
    <row r="209" spans="1:178" ht="14.25" customHeight="1" x14ac:dyDescent="0.25">
      <c r="A209" s="86" t="s">
        <v>273</v>
      </c>
      <c r="B209">
        <v>9</v>
      </c>
      <c r="C209">
        <v>100</v>
      </c>
      <c r="D209" s="21" t="s">
        <v>14</v>
      </c>
      <c r="E209" s="21" t="s">
        <v>14</v>
      </c>
      <c r="F209" s="20" t="s">
        <v>9</v>
      </c>
      <c r="G209" s="20" t="s">
        <v>231</v>
      </c>
      <c r="H209" s="20" t="s">
        <v>195</v>
      </c>
      <c r="K209">
        <v>1</v>
      </c>
      <c r="L209">
        <v>1</v>
      </c>
      <c r="M209">
        <v>1</v>
      </c>
      <c r="X209">
        <v>1</v>
      </c>
      <c r="Y209">
        <v>1</v>
      </c>
      <c r="Z209">
        <v>1</v>
      </c>
      <c r="AI209">
        <v>1</v>
      </c>
      <c r="AL209">
        <v>1</v>
      </c>
      <c r="AM209">
        <v>1</v>
      </c>
      <c r="AY209">
        <v>1</v>
      </c>
      <c r="AZ209">
        <v>1</v>
      </c>
      <c r="BM209">
        <v>1</v>
      </c>
      <c r="BN209">
        <v>1</v>
      </c>
      <c r="CA209">
        <v>1</v>
      </c>
      <c r="CB209">
        <v>1</v>
      </c>
      <c r="CO209">
        <v>1</v>
      </c>
      <c r="CP209">
        <v>1</v>
      </c>
      <c r="DC209">
        <v>1</v>
      </c>
      <c r="DQ209">
        <v>1</v>
      </c>
      <c r="EE209">
        <v>1</v>
      </c>
      <c r="FV209" s="18">
        <f t="shared" si="573"/>
        <v>7.6923076923076927E-2</v>
      </c>
    </row>
    <row r="210" spans="1:178" ht="14.25" customHeight="1" x14ac:dyDescent="0.25">
      <c r="A210" s="86" t="s">
        <v>273</v>
      </c>
      <c r="B210">
        <v>9</v>
      </c>
      <c r="C210">
        <v>100</v>
      </c>
      <c r="D210" s="21" t="s">
        <v>14</v>
      </c>
      <c r="E210" s="21" t="s">
        <v>14</v>
      </c>
      <c r="F210" s="20" t="s">
        <v>9</v>
      </c>
      <c r="G210" s="20" t="s">
        <v>231</v>
      </c>
      <c r="H210" s="20" t="s">
        <v>196</v>
      </c>
      <c r="P210">
        <v>1</v>
      </c>
      <c r="Q210">
        <v>1</v>
      </c>
      <c r="AA210">
        <v>1</v>
      </c>
      <c r="AN210">
        <v>1</v>
      </c>
      <c r="BA210">
        <v>1</v>
      </c>
      <c r="DD210">
        <v>1</v>
      </c>
      <c r="FV210" s="18">
        <f t="shared" si="573"/>
        <v>1.8099547511312219E-2</v>
      </c>
    </row>
    <row r="211" spans="1:178" ht="14.25" customHeight="1" x14ac:dyDescent="0.25">
      <c r="A211" s="86" t="s">
        <v>273</v>
      </c>
      <c r="B211">
        <v>9</v>
      </c>
      <c r="C211">
        <v>100</v>
      </c>
      <c r="D211" s="21" t="s">
        <v>14</v>
      </c>
      <c r="E211" s="21" t="s">
        <v>14</v>
      </c>
      <c r="F211" s="20" t="s">
        <v>8</v>
      </c>
      <c r="G211" s="20" t="s">
        <v>231</v>
      </c>
      <c r="H211" s="20" t="s">
        <v>194</v>
      </c>
      <c r="I211">
        <v>1</v>
      </c>
      <c r="J211">
        <v>1</v>
      </c>
      <c r="V211">
        <v>1</v>
      </c>
      <c r="W211">
        <v>1</v>
      </c>
      <c r="AK211">
        <v>1</v>
      </c>
      <c r="FV211" s="18">
        <f t="shared" ref="FV211:FV214" si="574">SUMPRODUCT(I211:FU211,$I$1:$FU$1)/(SUM($I$1:$FU$1))</f>
        <v>2.564102564102564E-2</v>
      </c>
    </row>
    <row r="212" spans="1:178" ht="14.25" customHeight="1" x14ac:dyDescent="0.25">
      <c r="A212" s="86" t="s">
        <v>273</v>
      </c>
      <c r="B212">
        <v>9</v>
      </c>
      <c r="C212">
        <v>100</v>
      </c>
      <c r="D212" s="21" t="s">
        <v>14</v>
      </c>
      <c r="E212" s="21" t="s">
        <v>14</v>
      </c>
      <c r="F212" s="20" t="s">
        <v>8</v>
      </c>
      <c r="G212" s="20" t="s">
        <v>231</v>
      </c>
      <c r="H212" s="20" t="s">
        <v>220</v>
      </c>
      <c r="N212">
        <v>1</v>
      </c>
      <c r="O212">
        <v>1</v>
      </c>
      <c r="R212">
        <v>1</v>
      </c>
      <c r="S212">
        <v>1</v>
      </c>
      <c r="T212">
        <v>1</v>
      </c>
      <c r="U212">
        <v>1</v>
      </c>
      <c r="AJ212">
        <v>1</v>
      </c>
      <c r="AV212">
        <v>1</v>
      </c>
      <c r="FV212" s="18">
        <f t="shared" si="574"/>
        <v>3.6199095022624438E-2</v>
      </c>
    </row>
    <row r="213" spans="1:178" ht="14.25" customHeight="1" x14ac:dyDescent="0.25">
      <c r="A213" s="86" t="s">
        <v>273</v>
      </c>
      <c r="B213">
        <v>9</v>
      </c>
      <c r="C213">
        <v>100</v>
      </c>
      <c r="D213" s="21" t="s">
        <v>14</v>
      </c>
      <c r="E213" s="21" t="s">
        <v>14</v>
      </c>
      <c r="F213" s="20" t="s">
        <v>8</v>
      </c>
      <c r="G213" s="20" t="s">
        <v>231</v>
      </c>
      <c r="H213" s="20" t="s">
        <v>195</v>
      </c>
      <c r="K213">
        <v>1</v>
      </c>
      <c r="L213">
        <v>1</v>
      </c>
      <c r="M213">
        <v>1</v>
      </c>
      <c r="X213">
        <v>1</v>
      </c>
      <c r="Y213">
        <v>1</v>
      </c>
      <c r="Z213">
        <v>1</v>
      </c>
      <c r="AI213">
        <v>1</v>
      </c>
      <c r="AL213">
        <v>1</v>
      </c>
      <c r="AM213">
        <v>1</v>
      </c>
      <c r="AY213">
        <v>1</v>
      </c>
      <c r="AZ213">
        <v>1</v>
      </c>
      <c r="BM213">
        <v>1</v>
      </c>
      <c r="BN213">
        <v>1</v>
      </c>
      <c r="CA213">
        <v>1</v>
      </c>
      <c r="CB213">
        <v>1</v>
      </c>
      <c r="CO213">
        <v>1</v>
      </c>
      <c r="CP213">
        <v>1</v>
      </c>
      <c r="DC213">
        <v>1</v>
      </c>
      <c r="DQ213">
        <v>1</v>
      </c>
      <c r="EE213">
        <v>1</v>
      </c>
      <c r="FV213" s="18">
        <f t="shared" si="574"/>
        <v>7.6923076923076927E-2</v>
      </c>
    </row>
    <row r="214" spans="1:178" ht="14.25" customHeight="1" x14ac:dyDescent="0.25">
      <c r="A214" s="86" t="s">
        <v>273</v>
      </c>
      <c r="B214">
        <v>9</v>
      </c>
      <c r="C214">
        <v>100</v>
      </c>
      <c r="D214" s="21" t="s">
        <v>14</v>
      </c>
      <c r="E214" s="21" t="s">
        <v>14</v>
      </c>
      <c r="F214" s="20" t="s">
        <v>8</v>
      </c>
      <c r="G214" s="20" t="s">
        <v>231</v>
      </c>
      <c r="H214" s="20" t="s">
        <v>196</v>
      </c>
      <c r="P214">
        <v>1</v>
      </c>
      <c r="Q214">
        <v>1</v>
      </c>
      <c r="AA214">
        <v>1</v>
      </c>
      <c r="AN214">
        <v>1</v>
      </c>
      <c r="BA214">
        <v>1</v>
      </c>
      <c r="DD214">
        <v>1</v>
      </c>
      <c r="FV214" s="18">
        <f t="shared" si="574"/>
        <v>1.8099547511312219E-2</v>
      </c>
    </row>
    <row r="215" spans="1:178" ht="14.25" customHeight="1" x14ac:dyDescent="0.25">
      <c r="A215" s="86" t="s">
        <v>273</v>
      </c>
      <c r="B215">
        <v>9</v>
      </c>
      <c r="C215">
        <v>100</v>
      </c>
      <c r="D215" s="21" t="s">
        <v>13</v>
      </c>
      <c r="E215" s="21" t="s">
        <v>13</v>
      </c>
      <c r="F215" s="20" t="s">
        <v>12</v>
      </c>
      <c r="G215" s="20" t="s">
        <v>231</v>
      </c>
      <c r="H215" s="20" t="s">
        <v>194</v>
      </c>
      <c r="I215">
        <v>1</v>
      </c>
      <c r="J215">
        <v>1</v>
      </c>
      <c r="V215">
        <v>1</v>
      </c>
      <c r="W215">
        <v>1</v>
      </c>
      <c r="AK215">
        <v>1</v>
      </c>
      <c r="FV215" s="18">
        <f t="shared" ref="FV215:FV218" si="575">SUMPRODUCT(I215:FU215,$I$1:$FU$1)/(SUM($I$1:$FU$1))</f>
        <v>2.564102564102564E-2</v>
      </c>
    </row>
    <row r="216" spans="1:178" ht="14.25" customHeight="1" x14ac:dyDescent="0.25">
      <c r="A216" s="86" t="s">
        <v>273</v>
      </c>
      <c r="B216">
        <v>9</v>
      </c>
      <c r="C216">
        <v>100</v>
      </c>
      <c r="D216" s="21" t="s">
        <v>13</v>
      </c>
      <c r="E216" s="21" t="s">
        <v>13</v>
      </c>
      <c r="F216" s="20" t="s">
        <v>12</v>
      </c>
      <c r="G216" s="20" t="s">
        <v>231</v>
      </c>
      <c r="H216" s="20" t="s">
        <v>220</v>
      </c>
      <c r="N216">
        <v>1</v>
      </c>
      <c r="O216">
        <v>1</v>
      </c>
      <c r="R216">
        <v>1</v>
      </c>
      <c r="S216">
        <v>1</v>
      </c>
      <c r="T216">
        <v>1</v>
      </c>
      <c r="U216">
        <v>1</v>
      </c>
      <c r="AJ216">
        <v>1</v>
      </c>
      <c r="AV216">
        <v>1</v>
      </c>
      <c r="FV216" s="18">
        <f t="shared" si="575"/>
        <v>3.6199095022624438E-2</v>
      </c>
    </row>
    <row r="217" spans="1:178" ht="14.25" customHeight="1" x14ac:dyDescent="0.25">
      <c r="A217" s="86" t="s">
        <v>273</v>
      </c>
      <c r="B217">
        <v>9</v>
      </c>
      <c r="C217">
        <v>100</v>
      </c>
      <c r="D217" s="21" t="s">
        <v>13</v>
      </c>
      <c r="E217" s="21" t="s">
        <v>13</v>
      </c>
      <c r="F217" s="20" t="s">
        <v>12</v>
      </c>
      <c r="G217" s="20" t="s">
        <v>231</v>
      </c>
      <c r="H217" s="20" t="s">
        <v>195</v>
      </c>
      <c r="K217">
        <v>1</v>
      </c>
      <c r="L217">
        <v>1</v>
      </c>
      <c r="M217">
        <v>1</v>
      </c>
      <c r="X217">
        <v>1</v>
      </c>
      <c r="Y217">
        <v>1</v>
      </c>
      <c r="Z217">
        <v>1</v>
      </c>
      <c r="AI217">
        <v>1</v>
      </c>
      <c r="AL217">
        <v>1</v>
      </c>
      <c r="AM217">
        <v>1</v>
      </c>
      <c r="AY217">
        <v>1</v>
      </c>
      <c r="AZ217">
        <v>1</v>
      </c>
      <c r="BM217">
        <v>1</v>
      </c>
      <c r="BN217">
        <v>1</v>
      </c>
      <c r="CA217">
        <v>1</v>
      </c>
      <c r="CB217">
        <v>1</v>
      </c>
      <c r="CO217">
        <v>1</v>
      </c>
      <c r="DC217">
        <v>1</v>
      </c>
      <c r="FV217" s="18">
        <f t="shared" si="575"/>
        <v>6.485671191553545E-2</v>
      </c>
    </row>
    <row r="218" spans="1:178" ht="14.25" customHeight="1" x14ac:dyDescent="0.25">
      <c r="A218" s="86" t="s">
        <v>273</v>
      </c>
      <c r="B218">
        <v>9</v>
      </c>
      <c r="C218">
        <v>100</v>
      </c>
      <c r="D218" s="21" t="s">
        <v>13</v>
      </c>
      <c r="E218" s="21" t="s">
        <v>13</v>
      </c>
      <c r="F218" s="20" t="s">
        <v>12</v>
      </c>
      <c r="G218" s="20" t="s">
        <v>231</v>
      </c>
      <c r="H218" s="20" t="s">
        <v>196</v>
      </c>
      <c r="P218">
        <v>1</v>
      </c>
      <c r="Q218">
        <v>1</v>
      </c>
      <c r="AA218">
        <v>1</v>
      </c>
      <c r="AN218">
        <v>1</v>
      </c>
      <c r="AW218">
        <v>1</v>
      </c>
      <c r="BA218">
        <v>1</v>
      </c>
      <c r="BI218">
        <v>1</v>
      </c>
      <c r="CP218">
        <v>1</v>
      </c>
      <c r="DD218">
        <v>1</v>
      </c>
      <c r="DQ218">
        <v>1</v>
      </c>
      <c r="DR218">
        <v>1</v>
      </c>
      <c r="EE218">
        <v>1</v>
      </c>
      <c r="ES218">
        <v>1</v>
      </c>
      <c r="FV218" s="18">
        <f t="shared" si="575"/>
        <v>5.5806938159879339E-2</v>
      </c>
    </row>
    <row r="219" spans="1:178" ht="14.25" customHeight="1" x14ac:dyDescent="0.25">
      <c r="A219" s="86" t="s">
        <v>273</v>
      </c>
      <c r="B219">
        <v>9</v>
      </c>
      <c r="C219">
        <v>100</v>
      </c>
      <c r="D219" s="21" t="s">
        <v>13</v>
      </c>
      <c r="E219" s="21" t="s">
        <v>13</v>
      </c>
      <c r="F219" s="20" t="s">
        <v>11</v>
      </c>
      <c r="G219" s="20" t="s">
        <v>231</v>
      </c>
      <c r="H219" s="20" t="s">
        <v>194</v>
      </c>
      <c r="I219">
        <v>1</v>
      </c>
      <c r="J219">
        <v>1</v>
      </c>
      <c r="V219">
        <v>1</v>
      </c>
      <c r="W219">
        <v>1</v>
      </c>
      <c r="AK219">
        <v>1</v>
      </c>
      <c r="AY219">
        <v>1</v>
      </c>
      <c r="FV219" s="18">
        <f t="shared" ref="FV219:FV222" si="576">SUMPRODUCT(I219:FU219,$I$1:$FU$1)/(SUM($I$1:$FU$1))</f>
        <v>3.0165912518853696E-2</v>
      </c>
    </row>
    <row r="220" spans="1:178" ht="14.25" customHeight="1" x14ac:dyDescent="0.25">
      <c r="A220" s="86" t="s">
        <v>273</v>
      </c>
      <c r="B220">
        <v>9</v>
      </c>
      <c r="C220">
        <v>100</v>
      </c>
      <c r="D220" s="21" t="s">
        <v>13</v>
      </c>
      <c r="E220" s="21" t="s">
        <v>13</v>
      </c>
      <c r="F220" s="20" t="s">
        <v>11</v>
      </c>
      <c r="G220" s="20" t="s">
        <v>231</v>
      </c>
      <c r="H220" s="20" t="s">
        <v>220</v>
      </c>
      <c r="N220">
        <v>1</v>
      </c>
      <c r="O220">
        <v>1</v>
      </c>
      <c r="R220">
        <v>1</v>
      </c>
      <c r="S220">
        <v>1</v>
      </c>
      <c r="T220">
        <v>1</v>
      </c>
      <c r="U220">
        <v>1</v>
      </c>
      <c r="AJ220">
        <v>1</v>
      </c>
      <c r="AV220">
        <v>1</v>
      </c>
      <c r="CP220">
        <v>1</v>
      </c>
      <c r="FV220" s="18">
        <f t="shared" si="576"/>
        <v>3.9215686274509803E-2</v>
      </c>
    </row>
    <row r="221" spans="1:178" ht="14.25" customHeight="1" x14ac:dyDescent="0.25">
      <c r="A221" s="86" t="s">
        <v>273</v>
      </c>
      <c r="B221">
        <v>9</v>
      </c>
      <c r="C221">
        <v>100</v>
      </c>
      <c r="D221" s="21" t="s">
        <v>13</v>
      </c>
      <c r="E221" s="21" t="s">
        <v>13</v>
      </c>
      <c r="F221" s="20" t="s">
        <v>11</v>
      </c>
      <c r="G221" s="20" t="s">
        <v>231</v>
      </c>
      <c r="H221" s="20" t="s">
        <v>195</v>
      </c>
      <c r="K221">
        <v>1</v>
      </c>
      <c r="L221">
        <v>1</v>
      </c>
      <c r="M221">
        <v>1</v>
      </c>
      <c r="X221">
        <v>1</v>
      </c>
      <c r="Y221">
        <v>1</v>
      </c>
      <c r="Z221">
        <v>1</v>
      </c>
      <c r="AI221">
        <v>1</v>
      </c>
      <c r="AL221">
        <v>1</v>
      </c>
      <c r="AM221">
        <v>1</v>
      </c>
      <c r="AZ221">
        <v>1</v>
      </c>
      <c r="BM221">
        <v>1</v>
      </c>
      <c r="BN221">
        <v>1</v>
      </c>
      <c r="CA221">
        <v>1</v>
      </c>
      <c r="CB221">
        <v>1</v>
      </c>
      <c r="CO221">
        <v>1</v>
      </c>
      <c r="DC221">
        <v>1</v>
      </c>
      <c r="DQ221">
        <v>1</v>
      </c>
      <c r="FV221" s="18">
        <f t="shared" si="576"/>
        <v>6.485671191553545E-2</v>
      </c>
    </row>
    <row r="222" spans="1:178" ht="14.25" customHeight="1" x14ac:dyDescent="0.25">
      <c r="A222" s="86" t="s">
        <v>273</v>
      </c>
      <c r="B222">
        <v>9</v>
      </c>
      <c r="C222">
        <v>100</v>
      </c>
      <c r="D222" s="21" t="s">
        <v>13</v>
      </c>
      <c r="E222" s="21" t="s">
        <v>13</v>
      </c>
      <c r="F222" s="20" t="s">
        <v>11</v>
      </c>
      <c r="G222" s="20" t="s">
        <v>231</v>
      </c>
      <c r="H222" s="20" t="s">
        <v>196</v>
      </c>
      <c r="P222">
        <v>1</v>
      </c>
      <c r="Q222">
        <v>1</v>
      </c>
      <c r="AA222">
        <v>1</v>
      </c>
      <c r="AN222">
        <v>1</v>
      </c>
      <c r="AW222">
        <v>1</v>
      </c>
      <c r="BA222">
        <v>1</v>
      </c>
      <c r="BI222">
        <v>1</v>
      </c>
      <c r="DD222">
        <v>1</v>
      </c>
      <c r="DR222">
        <v>1</v>
      </c>
      <c r="EE222">
        <v>1</v>
      </c>
      <c r="ES222">
        <v>1</v>
      </c>
      <c r="FV222" s="18">
        <f t="shared" si="576"/>
        <v>4.8265460030165915E-2</v>
      </c>
    </row>
    <row r="223" spans="1:178" ht="14.25" customHeight="1" x14ac:dyDescent="0.25">
      <c r="A223" s="86" t="s">
        <v>273</v>
      </c>
      <c r="B223">
        <v>9</v>
      </c>
      <c r="C223">
        <v>100</v>
      </c>
      <c r="D223" s="21" t="s">
        <v>13</v>
      </c>
      <c r="E223" s="21" t="s">
        <v>13</v>
      </c>
      <c r="F223" s="20" t="s">
        <v>10</v>
      </c>
      <c r="G223" s="20" t="s">
        <v>231</v>
      </c>
      <c r="H223" s="20" t="s">
        <v>194</v>
      </c>
      <c r="I223">
        <v>1</v>
      </c>
      <c r="J223">
        <v>1</v>
      </c>
      <c r="V223">
        <v>1</v>
      </c>
      <c r="W223">
        <v>1</v>
      </c>
      <c r="AK223">
        <v>1</v>
      </c>
      <c r="AY223">
        <v>1</v>
      </c>
      <c r="FV223" s="18">
        <f t="shared" ref="FV223:FV226" si="577">SUMPRODUCT(I223:FU223,$I$1:$FU$1)/(SUM($I$1:$FU$1))</f>
        <v>3.0165912518853696E-2</v>
      </c>
    </row>
    <row r="224" spans="1:178" ht="14.25" customHeight="1" x14ac:dyDescent="0.25">
      <c r="A224" s="86" t="s">
        <v>273</v>
      </c>
      <c r="B224">
        <v>9</v>
      </c>
      <c r="C224">
        <v>100</v>
      </c>
      <c r="D224" s="21" t="s">
        <v>13</v>
      </c>
      <c r="E224" s="21" t="s">
        <v>13</v>
      </c>
      <c r="F224" s="20" t="s">
        <v>10</v>
      </c>
      <c r="G224" s="20" t="s">
        <v>231</v>
      </c>
      <c r="H224" s="20" t="s">
        <v>220</v>
      </c>
      <c r="N224">
        <v>1</v>
      </c>
      <c r="O224">
        <v>1</v>
      </c>
      <c r="P224">
        <v>1</v>
      </c>
      <c r="R224">
        <v>1</v>
      </c>
      <c r="S224">
        <v>1</v>
      </c>
      <c r="T224">
        <v>1</v>
      </c>
      <c r="U224">
        <v>1</v>
      </c>
      <c r="AJ224">
        <v>1</v>
      </c>
      <c r="AV224">
        <v>1</v>
      </c>
      <c r="DD224">
        <v>1</v>
      </c>
      <c r="FV224" s="18">
        <f t="shared" si="577"/>
        <v>4.2232277526395176E-2</v>
      </c>
    </row>
    <row r="225" spans="1:178" ht="14.25" customHeight="1" x14ac:dyDescent="0.25">
      <c r="A225" s="86" t="s">
        <v>273</v>
      </c>
      <c r="B225">
        <v>9</v>
      </c>
      <c r="C225">
        <v>100</v>
      </c>
      <c r="D225" s="21" t="s">
        <v>13</v>
      </c>
      <c r="E225" s="21" t="s">
        <v>13</v>
      </c>
      <c r="F225" s="20" t="s">
        <v>10</v>
      </c>
      <c r="G225" s="20" t="s">
        <v>231</v>
      </c>
      <c r="H225" s="20" t="s">
        <v>195</v>
      </c>
      <c r="K225">
        <v>1</v>
      </c>
      <c r="L225">
        <v>1</v>
      </c>
      <c r="M225">
        <v>1</v>
      </c>
      <c r="X225">
        <v>1</v>
      </c>
      <c r="Y225">
        <v>1</v>
      </c>
      <c r="Z225">
        <v>1</v>
      </c>
      <c r="AI225">
        <v>1</v>
      </c>
      <c r="AL225">
        <v>1</v>
      </c>
      <c r="AM225">
        <v>1</v>
      </c>
      <c r="AZ225">
        <v>1</v>
      </c>
      <c r="BM225">
        <v>1</v>
      </c>
      <c r="BN225">
        <v>1</v>
      </c>
      <c r="CA225">
        <v>1</v>
      </c>
      <c r="CB225">
        <v>1</v>
      </c>
      <c r="CO225">
        <v>1</v>
      </c>
      <c r="CP225">
        <v>1</v>
      </c>
      <c r="DC225">
        <v>1</v>
      </c>
      <c r="DQ225">
        <v>1</v>
      </c>
      <c r="EE225">
        <v>1</v>
      </c>
      <c r="FV225" s="18">
        <f t="shared" si="577"/>
        <v>7.2398190045248875E-2</v>
      </c>
    </row>
    <row r="226" spans="1:178" ht="14.25" customHeight="1" x14ac:dyDescent="0.25">
      <c r="A226" s="86" t="s">
        <v>273</v>
      </c>
      <c r="B226">
        <v>9</v>
      </c>
      <c r="C226">
        <v>100</v>
      </c>
      <c r="D226" s="21" t="s">
        <v>13</v>
      </c>
      <c r="E226" s="21" t="s">
        <v>13</v>
      </c>
      <c r="F226" s="20" t="s">
        <v>10</v>
      </c>
      <c r="G226" s="20" t="s">
        <v>231</v>
      </c>
      <c r="H226" s="20" t="s">
        <v>196</v>
      </c>
      <c r="Q226">
        <v>1</v>
      </c>
      <c r="AA226">
        <v>1</v>
      </c>
      <c r="AN226">
        <v>1</v>
      </c>
      <c r="AW226">
        <v>1</v>
      </c>
      <c r="BA226">
        <v>1</v>
      </c>
      <c r="BI226">
        <v>1</v>
      </c>
      <c r="DR226">
        <v>1</v>
      </c>
      <c r="ES226">
        <v>1</v>
      </c>
      <c r="FV226" s="18">
        <f t="shared" si="577"/>
        <v>3.7707390648567117E-2</v>
      </c>
    </row>
    <row r="227" spans="1:178" ht="14.25" customHeight="1" x14ac:dyDescent="0.25">
      <c r="A227" s="86" t="s">
        <v>273</v>
      </c>
      <c r="B227">
        <v>9</v>
      </c>
      <c r="C227">
        <v>100</v>
      </c>
      <c r="D227" s="21" t="s">
        <v>13</v>
      </c>
      <c r="E227" s="21" t="s">
        <v>13</v>
      </c>
      <c r="F227" s="20" t="s">
        <v>9</v>
      </c>
      <c r="G227" s="20" t="s">
        <v>231</v>
      </c>
      <c r="H227" s="20" t="s">
        <v>194</v>
      </c>
      <c r="I227">
        <v>1</v>
      </c>
      <c r="J227">
        <v>1</v>
      </c>
      <c r="V227">
        <v>1</v>
      </c>
      <c r="W227">
        <v>1</v>
      </c>
      <c r="AK227">
        <v>1</v>
      </c>
      <c r="AY227">
        <v>1</v>
      </c>
      <c r="FV227" s="18">
        <f t="shared" ref="FV227:FV230" si="578">SUMPRODUCT(I227:FU227,$I$1:$FU$1)/(SUM($I$1:$FU$1))</f>
        <v>3.0165912518853696E-2</v>
      </c>
    </row>
    <row r="228" spans="1:178" ht="14.25" customHeight="1" x14ac:dyDescent="0.25">
      <c r="A228" s="86" t="s">
        <v>273</v>
      </c>
      <c r="B228">
        <v>9</v>
      </c>
      <c r="C228">
        <v>100</v>
      </c>
      <c r="D228" s="21" t="s">
        <v>13</v>
      </c>
      <c r="E228" s="21" t="s">
        <v>13</v>
      </c>
      <c r="F228" s="20" t="s">
        <v>9</v>
      </c>
      <c r="G228" s="20" t="s">
        <v>231</v>
      </c>
      <c r="H228" s="20" t="s">
        <v>220</v>
      </c>
      <c r="N228">
        <v>1</v>
      </c>
      <c r="O228">
        <v>1</v>
      </c>
      <c r="P228">
        <v>1</v>
      </c>
      <c r="Q228">
        <v>1</v>
      </c>
      <c r="R228">
        <v>1</v>
      </c>
      <c r="S228">
        <v>1</v>
      </c>
      <c r="T228">
        <v>1</v>
      </c>
      <c r="U228">
        <v>1</v>
      </c>
      <c r="AW228">
        <v>1</v>
      </c>
      <c r="BI228">
        <v>1</v>
      </c>
      <c r="FV228" s="18">
        <f t="shared" si="578"/>
        <v>4.2232277526395176E-2</v>
      </c>
    </row>
    <row r="229" spans="1:178" ht="14.25" customHeight="1" x14ac:dyDescent="0.25">
      <c r="A229" s="86" t="s">
        <v>273</v>
      </c>
      <c r="B229">
        <v>9</v>
      </c>
      <c r="C229">
        <v>100</v>
      </c>
      <c r="D229" s="21" t="s">
        <v>13</v>
      </c>
      <c r="E229" s="21" t="s">
        <v>13</v>
      </c>
      <c r="F229" s="20" t="s">
        <v>9</v>
      </c>
      <c r="G229" s="20" t="s">
        <v>231</v>
      </c>
      <c r="H229" s="20" t="s">
        <v>195</v>
      </c>
      <c r="K229">
        <v>1</v>
      </c>
      <c r="L229">
        <v>1</v>
      </c>
      <c r="M229">
        <v>1</v>
      </c>
      <c r="X229">
        <v>1</v>
      </c>
      <c r="Y229">
        <v>1</v>
      </c>
      <c r="Z229">
        <v>1</v>
      </c>
      <c r="AI229">
        <v>1</v>
      </c>
      <c r="AJ229">
        <v>1</v>
      </c>
      <c r="AL229">
        <v>1</v>
      </c>
      <c r="AM229">
        <v>1</v>
      </c>
      <c r="AV229">
        <v>1</v>
      </c>
      <c r="AZ229">
        <v>1</v>
      </c>
      <c r="BA229">
        <v>1</v>
      </c>
      <c r="BM229">
        <v>1</v>
      </c>
      <c r="BN229">
        <v>1</v>
      </c>
      <c r="CA229">
        <v>1</v>
      </c>
      <c r="CB229">
        <v>1</v>
      </c>
      <c r="CO229">
        <v>1</v>
      </c>
      <c r="CP229">
        <v>1</v>
      </c>
      <c r="DC229">
        <v>1</v>
      </c>
      <c r="DD229">
        <v>1</v>
      </c>
      <c r="DQ229">
        <v>1</v>
      </c>
      <c r="EE229">
        <v>1</v>
      </c>
      <c r="FV229" s="18">
        <f t="shared" si="578"/>
        <v>9.6530920060331829E-2</v>
      </c>
    </row>
    <row r="230" spans="1:178" ht="14.25" customHeight="1" x14ac:dyDescent="0.25">
      <c r="A230" s="86" t="s">
        <v>273</v>
      </c>
      <c r="B230">
        <v>9</v>
      </c>
      <c r="C230">
        <v>100</v>
      </c>
      <c r="D230" s="21" t="s">
        <v>13</v>
      </c>
      <c r="E230" s="21" t="s">
        <v>13</v>
      </c>
      <c r="F230" s="20" t="s">
        <v>9</v>
      </c>
      <c r="G230" s="20" t="s">
        <v>231</v>
      </c>
      <c r="H230" s="20" t="s">
        <v>196</v>
      </c>
      <c r="AA230">
        <v>1</v>
      </c>
      <c r="AN230">
        <v>1</v>
      </c>
      <c r="DR230">
        <v>1</v>
      </c>
      <c r="ES230">
        <v>1</v>
      </c>
      <c r="FV230" s="18">
        <f t="shared" si="578"/>
        <v>1.3574660633484163E-2</v>
      </c>
    </row>
    <row r="231" spans="1:178" ht="14.25" customHeight="1" x14ac:dyDescent="0.25">
      <c r="A231" s="86" t="s">
        <v>273</v>
      </c>
      <c r="B231">
        <v>9</v>
      </c>
      <c r="C231">
        <v>100</v>
      </c>
      <c r="D231" s="21" t="s">
        <v>13</v>
      </c>
      <c r="E231" s="21" t="s">
        <v>13</v>
      </c>
      <c r="F231" s="20" t="s">
        <v>8</v>
      </c>
      <c r="G231" s="20" t="s">
        <v>231</v>
      </c>
      <c r="H231" s="20" t="s">
        <v>194</v>
      </c>
      <c r="I231">
        <v>1</v>
      </c>
      <c r="J231">
        <v>1</v>
      </c>
      <c r="V231">
        <v>1</v>
      </c>
      <c r="W231">
        <v>1</v>
      </c>
      <c r="AK231">
        <v>1</v>
      </c>
      <c r="AY231">
        <v>1</v>
      </c>
      <c r="FV231" s="18">
        <f t="shared" ref="FV231:FV234" si="579">SUMPRODUCT(I231:FU231,$I$1:$FU$1)/(SUM($I$1:$FU$1))</f>
        <v>3.0165912518853696E-2</v>
      </c>
    </row>
    <row r="232" spans="1:178" ht="14.25" customHeight="1" x14ac:dyDescent="0.25">
      <c r="A232" s="86" t="s">
        <v>273</v>
      </c>
      <c r="B232">
        <v>9</v>
      </c>
      <c r="C232">
        <v>100</v>
      </c>
      <c r="D232" s="21" t="s">
        <v>13</v>
      </c>
      <c r="E232" s="21" t="s">
        <v>13</v>
      </c>
      <c r="F232" s="20" t="s">
        <v>8</v>
      </c>
      <c r="G232" s="20" t="s">
        <v>231</v>
      </c>
      <c r="H232" s="20" t="s">
        <v>220</v>
      </c>
      <c r="N232">
        <v>1</v>
      </c>
      <c r="O232">
        <v>1</v>
      </c>
      <c r="P232">
        <v>1</v>
      </c>
      <c r="Q232">
        <v>1</v>
      </c>
      <c r="R232">
        <v>1</v>
      </c>
      <c r="S232">
        <v>1</v>
      </c>
      <c r="T232">
        <v>1</v>
      </c>
      <c r="U232">
        <v>1</v>
      </c>
      <c r="AJ232">
        <v>1</v>
      </c>
      <c r="AV232">
        <v>1</v>
      </c>
      <c r="FV232" s="18">
        <f t="shared" si="579"/>
        <v>4.2232277526395176E-2</v>
      </c>
    </row>
    <row r="233" spans="1:178" ht="14.25" customHeight="1" x14ac:dyDescent="0.25">
      <c r="A233" s="86" t="s">
        <v>273</v>
      </c>
      <c r="B233">
        <v>9</v>
      </c>
      <c r="C233">
        <v>100</v>
      </c>
      <c r="D233" s="21" t="s">
        <v>13</v>
      </c>
      <c r="E233" s="21" t="s">
        <v>13</v>
      </c>
      <c r="F233" s="20" t="s">
        <v>8</v>
      </c>
      <c r="G233" s="20" t="s">
        <v>231</v>
      </c>
      <c r="H233" s="20" t="s">
        <v>195</v>
      </c>
      <c r="K233">
        <v>1</v>
      </c>
      <c r="L233">
        <v>1</v>
      </c>
      <c r="M233">
        <v>1</v>
      </c>
      <c r="X233">
        <v>1</v>
      </c>
      <c r="Y233">
        <v>1</v>
      </c>
      <c r="Z233">
        <v>1</v>
      </c>
      <c r="AI233">
        <v>1</v>
      </c>
      <c r="AL233">
        <v>1</v>
      </c>
      <c r="AM233">
        <v>1</v>
      </c>
      <c r="AZ233">
        <v>1</v>
      </c>
      <c r="BM233">
        <v>1</v>
      </c>
      <c r="BN233">
        <v>1</v>
      </c>
      <c r="CA233">
        <v>1</v>
      </c>
      <c r="CB233">
        <v>1</v>
      </c>
      <c r="CO233">
        <v>1</v>
      </c>
      <c r="CP233">
        <v>1</v>
      </c>
      <c r="DC233">
        <v>1</v>
      </c>
      <c r="DD233">
        <v>1</v>
      </c>
      <c r="DQ233">
        <v>1</v>
      </c>
      <c r="EE233">
        <v>1</v>
      </c>
      <c r="ES233">
        <v>1</v>
      </c>
      <c r="FV233" s="18">
        <f t="shared" si="579"/>
        <v>7.9939668174962286E-2</v>
      </c>
    </row>
    <row r="234" spans="1:178" ht="14.25" customHeight="1" x14ac:dyDescent="0.25">
      <c r="A234" s="86" t="s">
        <v>273</v>
      </c>
      <c r="B234">
        <v>9</v>
      </c>
      <c r="C234">
        <v>100</v>
      </c>
      <c r="D234" s="21" t="s">
        <v>13</v>
      </c>
      <c r="E234" s="21" t="s">
        <v>13</v>
      </c>
      <c r="F234" s="20" t="s">
        <v>8</v>
      </c>
      <c r="G234" s="20" t="s">
        <v>231</v>
      </c>
      <c r="H234" s="20" t="s">
        <v>196</v>
      </c>
      <c r="AA234">
        <v>1</v>
      </c>
      <c r="AN234">
        <v>1</v>
      </c>
      <c r="AW234">
        <v>1</v>
      </c>
      <c r="BA234">
        <v>1</v>
      </c>
      <c r="BI234">
        <v>1</v>
      </c>
      <c r="DR234">
        <v>1</v>
      </c>
      <c r="FV234" s="18">
        <f t="shared" si="579"/>
        <v>3.0165912518853696E-2</v>
      </c>
    </row>
    <row r="235" spans="1:178" ht="14.25" customHeight="1" x14ac:dyDescent="0.25">
      <c r="A235" s="86" t="s">
        <v>273</v>
      </c>
      <c r="B235">
        <v>9</v>
      </c>
      <c r="C235">
        <v>100</v>
      </c>
      <c r="D235" s="21" t="s">
        <v>12</v>
      </c>
      <c r="E235" s="21" t="s">
        <v>12</v>
      </c>
      <c r="F235" s="21" t="s">
        <v>11</v>
      </c>
      <c r="G235" s="20" t="s">
        <v>231</v>
      </c>
      <c r="H235" s="20" t="s">
        <v>194</v>
      </c>
      <c r="I235">
        <v>1</v>
      </c>
      <c r="J235">
        <v>1</v>
      </c>
      <c r="V235">
        <v>1</v>
      </c>
      <c r="W235">
        <v>1</v>
      </c>
      <c r="AK235">
        <v>1</v>
      </c>
      <c r="AY235">
        <v>1</v>
      </c>
      <c r="FV235" s="18">
        <f t="shared" si="572"/>
        <v>3.0165912518853696E-2</v>
      </c>
    </row>
    <row r="236" spans="1:178" ht="14.25" customHeight="1" x14ac:dyDescent="0.25">
      <c r="A236" s="86" t="s">
        <v>273</v>
      </c>
      <c r="B236">
        <v>9</v>
      </c>
      <c r="C236">
        <v>100</v>
      </c>
      <c r="D236" s="21" t="s">
        <v>12</v>
      </c>
      <c r="E236" s="21" t="s">
        <v>12</v>
      </c>
      <c r="F236" s="21" t="s">
        <v>11</v>
      </c>
      <c r="G236" s="20" t="s">
        <v>231</v>
      </c>
      <c r="H236" s="20" t="s">
        <v>220</v>
      </c>
      <c r="N236">
        <v>1</v>
      </c>
      <c r="O236">
        <v>1</v>
      </c>
      <c r="P236">
        <v>1</v>
      </c>
      <c r="Q236">
        <v>1</v>
      </c>
      <c r="R236">
        <v>1</v>
      </c>
      <c r="S236">
        <v>1</v>
      </c>
      <c r="T236">
        <v>1</v>
      </c>
      <c r="U236">
        <v>1</v>
      </c>
      <c r="AW236">
        <v>1</v>
      </c>
      <c r="BI236">
        <v>1</v>
      </c>
      <c r="DD236">
        <v>1</v>
      </c>
      <c r="FV236" s="18">
        <f t="shared" si="572"/>
        <v>4.5248868778280542E-2</v>
      </c>
    </row>
    <row r="237" spans="1:178" ht="14.25" customHeight="1" x14ac:dyDescent="0.25">
      <c r="A237" s="86" t="s">
        <v>273</v>
      </c>
      <c r="B237">
        <v>9</v>
      </c>
      <c r="C237">
        <v>100</v>
      </c>
      <c r="D237" s="21" t="s">
        <v>12</v>
      </c>
      <c r="E237" s="21" t="s">
        <v>12</v>
      </c>
      <c r="F237" s="21" t="s">
        <v>11</v>
      </c>
      <c r="G237" s="20" t="s">
        <v>231</v>
      </c>
      <c r="H237" s="20" t="s">
        <v>195</v>
      </c>
      <c r="K237">
        <v>1</v>
      </c>
      <c r="L237">
        <v>1</v>
      </c>
      <c r="M237">
        <v>1</v>
      </c>
      <c r="X237">
        <v>1</v>
      </c>
      <c r="Y237">
        <v>1</v>
      </c>
      <c r="Z237">
        <v>1</v>
      </c>
      <c r="AA237">
        <v>1</v>
      </c>
      <c r="AI237">
        <v>1</v>
      </c>
      <c r="AJ237">
        <v>1</v>
      </c>
      <c r="AL237">
        <v>1</v>
      </c>
      <c r="AM237">
        <v>1</v>
      </c>
      <c r="AN237">
        <v>1</v>
      </c>
      <c r="AV237">
        <v>1</v>
      </c>
      <c r="AZ237">
        <v>1</v>
      </c>
      <c r="BA237">
        <v>1</v>
      </c>
      <c r="BM237">
        <v>1</v>
      </c>
      <c r="BN237">
        <v>1</v>
      </c>
      <c r="CA237">
        <v>1</v>
      </c>
      <c r="CB237">
        <v>1</v>
      </c>
      <c r="CO237">
        <v>1</v>
      </c>
      <c r="CP237">
        <v>1</v>
      </c>
      <c r="DC237">
        <v>1</v>
      </c>
      <c r="DQ237">
        <v>1</v>
      </c>
      <c r="EE237">
        <v>1</v>
      </c>
      <c r="FV237" s="18">
        <f t="shared" si="572"/>
        <v>9.9547511312217188E-2</v>
      </c>
    </row>
    <row r="238" spans="1:178" ht="14.25" customHeight="1" x14ac:dyDescent="0.25">
      <c r="A238" s="86" t="s">
        <v>273</v>
      </c>
      <c r="B238">
        <v>9</v>
      </c>
      <c r="C238">
        <v>100</v>
      </c>
      <c r="D238" s="21" t="s">
        <v>12</v>
      </c>
      <c r="E238" s="21" t="s">
        <v>12</v>
      </c>
      <c r="F238" s="21" t="s">
        <v>11</v>
      </c>
      <c r="G238" s="20" t="s">
        <v>231</v>
      </c>
      <c r="H238" s="20" t="s">
        <v>196</v>
      </c>
      <c r="AB238">
        <v>1</v>
      </c>
      <c r="AX238">
        <v>1</v>
      </c>
      <c r="BO238">
        <v>1</v>
      </c>
      <c r="CC238">
        <v>1</v>
      </c>
      <c r="DR238">
        <v>1</v>
      </c>
      <c r="EF238">
        <v>1</v>
      </c>
      <c r="ES238">
        <v>1</v>
      </c>
      <c r="FG238">
        <v>1</v>
      </c>
      <c r="FU238">
        <v>1</v>
      </c>
      <c r="FV238" s="18">
        <f t="shared" si="572"/>
        <v>3.7707390648567117E-2</v>
      </c>
    </row>
    <row r="239" spans="1:178" ht="14.25" customHeight="1" x14ac:dyDescent="0.25">
      <c r="A239" s="86" t="s">
        <v>273</v>
      </c>
      <c r="B239">
        <v>9</v>
      </c>
      <c r="C239">
        <v>100</v>
      </c>
      <c r="D239" s="21" t="s">
        <v>12</v>
      </c>
      <c r="E239" s="21" t="s">
        <v>12</v>
      </c>
      <c r="F239" s="20" t="s">
        <v>10</v>
      </c>
      <c r="G239" s="20" t="s">
        <v>231</v>
      </c>
      <c r="H239" s="20" t="s">
        <v>194</v>
      </c>
      <c r="I239">
        <v>1</v>
      </c>
      <c r="J239">
        <v>1</v>
      </c>
      <c r="V239">
        <v>1</v>
      </c>
      <c r="W239">
        <v>1</v>
      </c>
      <c r="AK239">
        <v>1</v>
      </c>
      <c r="AY239">
        <v>1</v>
      </c>
      <c r="FV239" s="18">
        <f t="shared" ref="FV239:FV242" si="580">SUMPRODUCT(I239:FU239,$I$1:$FU$1)/(SUM($I$1:$FU$1))</f>
        <v>3.0165912518853696E-2</v>
      </c>
    </row>
    <row r="240" spans="1:178" ht="14.25" customHeight="1" x14ac:dyDescent="0.25">
      <c r="A240" s="86" t="s">
        <v>273</v>
      </c>
      <c r="B240">
        <v>9</v>
      </c>
      <c r="C240">
        <v>100</v>
      </c>
      <c r="D240" s="21" t="s">
        <v>12</v>
      </c>
      <c r="E240" s="21" t="s">
        <v>12</v>
      </c>
      <c r="F240" s="20" t="s">
        <v>10</v>
      </c>
      <c r="G240" s="20" t="s">
        <v>231</v>
      </c>
      <c r="H240" s="20" t="s">
        <v>220</v>
      </c>
      <c r="N240">
        <v>1</v>
      </c>
      <c r="O240">
        <v>1</v>
      </c>
      <c r="P240">
        <v>1</v>
      </c>
      <c r="Q240">
        <v>1</v>
      </c>
      <c r="R240">
        <v>1</v>
      </c>
      <c r="S240">
        <v>1</v>
      </c>
      <c r="T240">
        <v>1</v>
      </c>
      <c r="U240">
        <v>1</v>
      </c>
      <c r="AW240">
        <v>1</v>
      </c>
      <c r="BI240">
        <v>1</v>
      </c>
      <c r="DD240">
        <v>1</v>
      </c>
      <c r="DR240">
        <v>1</v>
      </c>
      <c r="EF240">
        <v>1</v>
      </c>
      <c r="FV240" s="18">
        <f t="shared" si="580"/>
        <v>5.128205128205128E-2</v>
      </c>
    </row>
    <row r="241" spans="1:178" ht="14.25" customHeight="1" x14ac:dyDescent="0.25">
      <c r="A241" s="86" t="s">
        <v>273</v>
      </c>
      <c r="B241">
        <v>9</v>
      </c>
      <c r="C241">
        <v>100</v>
      </c>
      <c r="D241" s="21" t="s">
        <v>12</v>
      </c>
      <c r="E241" s="21" t="s">
        <v>12</v>
      </c>
      <c r="F241" s="20" t="s">
        <v>10</v>
      </c>
      <c r="G241" s="20" t="s">
        <v>231</v>
      </c>
      <c r="H241" s="20" t="s">
        <v>195</v>
      </c>
      <c r="K241">
        <v>1</v>
      </c>
      <c r="L241">
        <v>1</v>
      </c>
      <c r="M241">
        <v>1</v>
      </c>
      <c r="X241">
        <v>1</v>
      </c>
      <c r="Y241">
        <v>1</v>
      </c>
      <c r="Z241">
        <v>1</v>
      </c>
      <c r="AA241">
        <v>1</v>
      </c>
      <c r="AI241">
        <v>1</v>
      </c>
      <c r="AJ241">
        <v>1</v>
      </c>
      <c r="AL241">
        <v>1</v>
      </c>
      <c r="AM241">
        <v>1</v>
      </c>
      <c r="AN241">
        <v>1</v>
      </c>
      <c r="AV241">
        <v>1</v>
      </c>
      <c r="AZ241">
        <v>1</v>
      </c>
      <c r="BA241">
        <v>1</v>
      </c>
      <c r="BM241">
        <v>1</v>
      </c>
      <c r="BN241">
        <v>1</v>
      </c>
      <c r="CA241">
        <v>1</v>
      </c>
      <c r="CB241">
        <v>1</v>
      </c>
      <c r="CO241">
        <v>1</v>
      </c>
      <c r="CP241">
        <v>1</v>
      </c>
      <c r="DC241">
        <v>1</v>
      </c>
      <c r="DQ241">
        <v>1</v>
      </c>
      <c r="EE241">
        <v>1</v>
      </c>
      <c r="ES241">
        <v>1</v>
      </c>
      <c r="FV241" s="18">
        <f t="shared" si="580"/>
        <v>0.10407239819004525</v>
      </c>
    </row>
    <row r="242" spans="1:178" ht="14.25" customHeight="1" x14ac:dyDescent="0.25">
      <c r="A242" s="86" t="s">
        <v>273</v>
      </c>
      <c r="B242">
        <v>9</v>
      </c>
      <c r="C242">
        <v>100</v>
      </c>
      <c r="D242" s="21" t="s">
        <v>12</v>
      </c>
      <c r="E242" s="21" t="s">
        <v>12</v>
      </c>
      <c r="F242" s="20" t="s">
        <v>10</v>
      </c>
      <c r="G242" s="20" t="s">
        <v>231</v>
      </c>
      <c r="H242" s="20" t="s">
        <v>196</v>
      </c>
      <c r="AB242">
        <v>1</v>
      </c>
      <c r="AX242">
        <v>1</v>
      </c>
      <c r="BO242">
        <v>1</v>
      </c>
      <c r="CC242">
        <v>1</v>
      </c>
      <c r="FG242">
        <v>1</v>
      </c>
      <c r="FU242">
        <v>1</v>
      </c>
      <c r="FV242" s="18">
        <f t="shared" si="580"/>
        <v>2.7149321266968326E-2</v>
      </c>
    </row>
    <row r="243" spans="1:178" ht="14.25" customHeight="1" x14ac:dyDescent="0.25">
      <c r="A243" s="86" t="s">
        <v>273</v>
      </c>
      <c r="B243">
        <v>9</v>
      </c>
      <c r="C243">
        <v>100</v>
      </c>
      <c r="D243" s="21" t="s">
        <v>12</v>
      </c>
      <c r="E243" s="21" t="s">
        <v>12</v>
      </c>
      <c r="F243" s="20" t="s">
        <v>9</v>
      </c>
      <c r="G243" s="20" t="s">
        <v>231</v>
      </c>
      <c r="H243" s="20" t="s">
        <v>194</v>
      </c>
      <c r="I243">
        <v>1</v>
      </c>
      <c r="J243">
        <v>1</v>
      </c>
      <c r="V243">
        <v>1</v>
      </c>
      <c r="W243">
        <v>1</v>
      </c>
      <c r="AK243">
        <v>1</v>
      </c>
      <c r="AY243">
        <v>1</v>
      </c>
      <c r="FV243" s="18">
        <f t="shared" ref="FV243:FV246" si="581">SUMPRODUCT(I243:FU243,$I$1:$FU$1)/(SUM($I$1:$FU$1))</f>
        <v>3.0165912518853696E-2</v>
      </c>
    </row>
    <row r="244" spans="1:178" ht="14.25" customHeight="1" x14ac:dyDescent="0.25">
      <c r="A244" s="86" t="s">
        <v>273</v>
      </c>
      <c r="B244">
        <v>9</v>
      </c>
      <c r="C244">
        <v>100</v>
      </c>
      <c r="D244" s="21" t="s">
        <v>12</v>
      </c>
      <c r="E244" s="21" t="s">
        <v>12</v>
      </c>
      <c r="F244" s="20" t="s">
        <v>9</v>
      </c>
      <c r="G244" s="20" t="s">
        <v>231</v>
      </c>
      <c r="H244" s="20" t="s">
        <v>220</v>
      </c>
      <c r="N244">
        <v>1</v>
      </c>
      <c r="O244">
        <v>1</v>
      </c>
      <c r="P244">
        <v>1</v>
      </c>
      <c r="Q244">
        <v>1</v>
      </c>
      <c r="R244">
        <v>1</v>
      </c>
      <c r="S244">
        <v>1</v>
      </c>
      <c r="T244">
        <v>1</v>
      </c>
      <c r="U244">
        <v>1</v>
      </c>
      <c r="AW244">
        <v>1</v>
      </c>
      <c r="BI244">
        <v>1</v>
      </c>
      <c r="FV244" s="18">
        <f t="shared" si="581"/>
        <v>4.2232277526395176E-2</v>
      </c>
    </row>
    <row r="245" spans="1:178" ht="14.25" customHeight="1" x14ac:dyDescent="0.25">
      <c r="A245" s="86" t="s">
        <v>273</v>
      </c>
      <c r="B245">
        <v>9</v>
      </c>
      <c r="C245">
        <v>100</v>
      </c>
      <c r="D245" s="21" t="s">
        <v>12</v>
      </c>
      <c r="E245" s="21" t="s">
        <v>12</v>
      </c>
      <c r="F245" s="20" t="s">
        <v>9</v>
      </c>
      <c r="G245" s="20" t="s">
        <v>231</v>
      </c>
      <c r="H245" s="20" t="s">
        <v>195</v>
      </c>
      <c r="K245">
        <v>1</v>
      </c>
      <c r="L245">
        <v>1</v>
      </c>
      <c r="M245">
        <v>1</v>
      </c>
      <c r="X245">
        <v>1</v>
      </c>
      <c r="Y245">
        <v>1</v>
      </c>
      <c r="Z245">
        <v>1</v>
      </c>
      <c r="AA245">
        <v>1</v>
      </c>
      <c r="AI245">
        <v>1</v>
      </c>
      <c r="AJ245">
        <v>1</v>
      </c>
      <c r="AL245">
        <v>1</v>
      </c>
      <c r="AM245">
        <v>1</v>
      </c>
      <c r="AN245">
        <v>1</v>
      </c>
      <c r="AV245">
        <v>1</v>
      </c>
      <c r="AZ245">
        <v>1</v>
      </c>
      <c r="BA245">
        <v>1</v>
      </c>
      <c r="BM245">
        <v>1</v>
      </c>
      <c r="BN245">
        <v>1</v>
      </c>
      <c r="CA245">
        <v>1</v>
      </c>
      <c r="CB245">
        <v>1</v>
      </c>
      <c r="CO245">
        <v>1</v>
      </c>
      <c r="CP245">
        <v>1</v>
      </c>
      <c r="DC245">
        <v>1</v>
      </c>
      <c r="DD245">
        <v>1</v>
      </c>
      <c r="DQ245">
        <v>1</v>
      </c>
      <c r="EE245">
        <v>1</v>
      </c>
      <c r="ES245">
        <v>1</v>
      </c>
      <c r="FV245" s="18">
        <f t="shared" si="581"/>
        <v>0.10708898944193061</v>
      </c>
    </row>
    <row r="246" spans="1:178" ht="14.25" customHeight="1" x14ac:dyDescent="0.25">
      <c r="A246" s="86" t="s">
        <v>273</v>
      </c>
      <c r="B246">
        <v>9</v>
      </c>
      <c r="C246">
        <v>100</v>
      </c>
      <c r="D246" s="21" t="s">
        <v>12</v>
      </c>
      <c r="E246" s="21" t="s">
        <v>12</v>
      </c>
      <c r="F246" s="20" t="s">
        <v>9</v>
      </c>
      <c r="G246" s="20" t="s">
        <v>231</v>
      </c>
      <c r="H246" s="20" t="s">
        <v>196</v>
      </c>
      <c r="AB246">
        <v>1</v>
      </c>
      <c r="AX246">
        <v>1</v>
      </c>
      <c r="BO246">
        <v>1</v>
      </c>
      <c r="CC246">
        <v>1</v>
      </c>
      <c r="DR246">
        <v>1</v>
      </c>
      <c r="EF246">
        <v>1</v>
      </c>
      <c r="FG246">
        <v>1</v>
      </c>
      <c r="FU246">
        <v>1</v>
      </c>
      <c r="FV246" s="18">
        <f t="shared" si="581"/>
        <v>3.3182503770739065E-2</v>
      </c>
    </row>
    <row r="247" spans="1:178" ht="14.25" customHeight="1" x14ac:dyDescent="0.25">
      <c r="A247" s="86" t="s">
        <v>273</v>
      </c>
      <c r="B247">
        <v>9</v>
      </c>
      <c r="C247">
        <v>100</v>
      </c>
      <c r="D247" s="21" t="s">
        <v>12</v>
      </c>
      <c r="E247" s="21" t="s">
        <v>12</v>
      </c>
      <c r="F247" s="20" t="s">
        <v>8</v>
      </c>
      <c r="G247" s="20" t="s">
        <v>231</v>
      </c>
      <c r="H247" s="20" t="s">
        <v>194</v>
      </c>
      <c r="I247">
        <v>1</v>
      </c>
      <c r="J247">
        <v>1</v>
      </c>
      <c r="V247">
        <v>1</v>
      </c>
      <c r="W247">
        <v>1</v>
      </c>
      <c r="AK247">
        <v>1</v>
      </c>
      <c r="AY247">
        <v>1</v>
      </c>
      <c r="FV247" s="18">
        <f t="shared" ref="FV247:FV250" si="582">SUMPRODUCT(I247:FU247,$I$1:$FU$1)/(SUM($I$1:$FU$1))</f>
        <v>3.0165912518853696E-2</v>
      </c>
    </row>
    <row r="248" spans="1:178" ht="14.25" customHeight="1" x14ac:dyDescent="0.25">
      <c r="A248" s="86" t="s">
        <v>273</v>
      </c>
      <c r="B248">
        <v>9</v>
      </c>
      <c r="C248">
        <v>100</v>
      </c>
      <c r="D248" s="21" t="s">
        <v>12</v>
      </c>
      <c r="E248" s="21" t="s">
        <v>12</v>
      </c>
      <c r="F248" s="20" t="s">
        <v>8</v>
      </c>
      <c r="G248" s="20" t="s">
        <v>231</v>
      </c>
      <c r="H248" s="20" t="s">
        <v>220</v>
      </c>
      <c r="N248">
        <v>1</v>
      </c>
      <c r="O248">
        <v>1</v>
      </c>
      <c r="P248">
        <v>1</v>
      </c>
      <c r="Q248">
        <v>1</v>
      </c>
      <c r="R248">
        <v>1</v>
      </c>
      <c r="S248">
        <v>1</v>
      </c>
      <c r="T248">
        <v>1</v>
      </c>
      <c r="U248">
        <v>1</v>
      </c>
      <c r="AJ248">
        <v>1</v>
      </c>
      <c r="AV248">
        <v>1</v>
      </c>
      <c r="FV248" s="18">
        <f t="shared" si="582"/>
        <v>4.2232277526395176E-2</v>
      </c>
    </row>
    <row r="249" spans="1:178" ht="14.25" customHeight="1" x14ac:dyDescent="0.25">
      <c r="A249" s="86" t="s">
        <v>273</v>
      </c>
      <c r="B249">
        <v>9</v>
      </c>
      <c r="C249">
        <v>100</v>
      </c>
      <c r="D249" s="21" t="s">
        <v>12</v>
      </c>
      <c r="E249" s="21" t="s">
        <v>12</v>
      </c>
      <c r="F249" s="20" t="s">
        <v>8</v>
      </c>
      <c r="G249" s="20" t="s">
        <v>231</v>
      </c>
      <c r="H249" s="20" t="s">
        <v>195</v>
      </c>
      <c r="K249">
        <v>1</v>
      </c>
      <c r="L249">
        <v>1</v>
      </c>
      <c r="M249">
        <v>1</v>
      </c>
      <c r="X249">
        <v>1</v>
      </c>
      <c r="Y249">
        <v>1</v>
      </c>
      <c r="Z249">
        <v>1</v>
      </c>
      <c r="AI249">
        <v>1</v>
      </c>
      <c r="AL249">
        <v>1</v>
      </c>
      <c r="AM249">
        <v>1</v>
      </c>
      <c r="AZ249">
        <v>1</v>
      </c>
      <c r="BM249">
        <v>1</v>
      </c>
      <c r="BN249">
        <v>1</v>
      </c>
      <c r="CA249">
        <v>1</v>
      </c>
      <c r="CB249">
        <v>1</v>
      </c>
      <c r="CO249">
        <v>1</v>
      </c>
      <c r="CP249">
        <v>1</v>
      </c>
      <c r="DC249">
        <v>1</v>
      </c>
      <c r="DD249">
        <v>1</v>
      </c>
      <c r="DQ249">
        <v>1</v>
      </c>
      <c r="EE249">
        <v>1</v>
      </c>
      <c r="ES249">
        <v>1</v>
      </c>
      <c r="FV249" s="18">
        <f t="shared" si="582"/>
        <v>7.9939668174962286E-2</v>
      </c>
    </row>
    <row r="250" spans="1:178" ht="14.25" customHeight="1" x14ac:dyDescent="0.25">
      <c r="A250" s="86" t="s">
        <v>273</v>
      </c>
      <c r="B250">
        <v>9</v>
      </c>
      <c r="C250">
        <v>100</v>
      </c>
      <c r="D250" s="21" t="s">
        <v>12</v>
      </c>
      <c r="E250" s="21" t="s">
        <v>12</v>
      </c>
      <c r="F250" s="20" t="s">
        <v>8</v>
      </c>
      <c r="G250" s="20" t="s">
        <v>231</v>
      </c>
      <c r="H250" s="20" t="s">
        <v>196</v>
      </c>
      <c r="AA250">
        <v>1</v>
      </c>
      <c r="AB250">
        <v>1</v>
      </c>
      <c r="AN250">
        <v>1</v>
      </c>
      <c r="AW250">
        <v>1</v>
      </c>
      <c r="AX250">
        <v>1</v>
      </c>
      <c r="BA250">
        <v>1</v>
      </c>
      <c r="BI250">
        <v>1</v>
      </c>
      <c r="BO250">
        <v>1</v>
      </c>
      <c r="CC250">
        <v>1</v>
      </c>
      <c r="DR250">
        <v>1</v>
      </c>
      <c r="EF250">
        <v>1</v>
      </c>
      <c r="FG250">
        <v>1</v>
      </c>
      <c r="FU250">
        <v>1</v>
      </c>
      <c r="FV250" s="18">
        <f t="shared" si="582"/>
        <v>6.0331825037707391E-2</v>
      </c>
    </row>
    <row r="251" spans="1:178" ht="14.25" customHeight="1" x14ac:dyDescent="0.25">
      <c r="A251" s="86" t="s">
        <v>273</v>
      </c>
      <c r="B251">
        <v>9</v>
      </c>
      <c r="C251">
        <v>100</v>
      </c>
      <c r="D251" s="21" t="s">
        <v>11</v>
      </c>
      <c r="E251" s="21" t="s">
        <v>11</v>
      </c>
      <c r="F251" s="20" t="s">
        <v>10</v>
      </c>
      <c r="G251" s="20" t="s">
        <v>231</v>
      </c>
      <c r="H251" s="20" t="s">
        <v>194</v>
      </c>
      <c r="I251">
        <v>1</v>
      </c>
      <c r="J251">
        <v>1</v>
      </c>
      <c r="V251">
        <v>1</v>
      </c>
      <c r="W251">
        <v>1</v>
      </c>
      <c r="AK251">
        <v>1</v>
      </c>
      <c r="AY251">
        <v>1</v>
      </c>
      <c r="FV251" s="18">
        <f t="shared" si="572"/>
        <v>3.0165912518853696E-2</v>
      </c>
    </row>
    <row r="252" spans="1:178" ht="14.25" customHeight="1" x14ac:dyDescent="0.25">
      <c r="A252" s="86" t="s">
        <v>273</v>
      </c>
      <c r="B252">
        <v>9</v>
      </c>
      <c r="C252">
        <v>100</v>
      </c>
      <c r="D252" s="21" t="s">
        <v>11</v>
      </c>
      <c r="E252" s="21" t="s">
        <v>11</v>
      </c>
      <c r="F252" s="20" t="s">
        <v>10</v>
      </c>
      <c r="G252" s="20" t="s">
        <v>231</v>
      </c>
      <c r="H252" s="20" t="s">
        <v>220</v>
      </c>
      <c r="O252">
        <v>1</v>
      </c>
      <c r="P252">
        <v>1</v>
      </c>
      <c r="Q252">
        <v>1</v>
      </c>
      <c r="S252">
        <v>1</v>
      </c>
      <c r="T252">
        <v>1</v>
      </c>
      <c r="U252">
        <v>1</v>
      </c>
      <c r="AW252">
        <v>1</v>
      </c>
      <c r="BI252">
        <v>1</v>
      </c>
      <c r="BM252">
        <v>1</v>
      </c>
      <c r="CC252">
        <v>1</v>
      </c>
      <c r="CQ252">
        <v>1</v>
      </c>
      <c r="DE252">
        <v>1</v>
      </c>
      <c r="EF252">
        <v>1</v>
      </c>
      <c r="FV252" s="18">
        <f t="shared" si="572"/>
        <v>5.2790346907993967E-2</v>
      </c>
    </row>
    <row r="253" spans="1:178" ht="14.25" customHeight="1" x14ac:dyDescent="0.25">
      <c r="A253" s="86" t="s">
        <v>273</v>
      </c>
      <c r="B253">
        <v>9</v>
      </c>
      <c r="C253">
        <v>100</v>
      </c>
      <c r="D253" s="21" t="s">
        <v>11</v>
      </c>
      <c r="E253" s="21" t="s">
        <v>11</v>
      </c>
      <c r="F253" s="20" t="s">
        <v>10</v>
      </c>
      <c r="G253" s="20" t="s">
        <v>231</v>
      </c>
      <c r="H253" s="20" t="s">
        <v>195</v>
      </c>
      <c r="K253">
        <v>1</v>
      </c>
      <c r="L253">
        <v>1</v>
      </c>
      <c r="M253">
        <v>1</v>
      </c>
      <c r="N253">
        <v>1</v>
      </c>
      <c r="R253">
        <v>1</v>
      </c>
      <c r="X253">
        <v>1</v>
      </c>
      <c r="Y253">
        <v>1</v>
      </c>
      <c r="Z253">
        <v>1</v>
      </c>
      <c r="AA253">
        <v>1</v>
      </c>
      <c r="AI253">
        <v>1</v>
      </c>
      <c r="AJ253">
        <v>1</v>
      </c>
      <c r="AL253">
        <v>1</v>
      </c>
      <c r="AM253">
        <v>1</v>
      </c>
      <c r="AN253">
        <v>1</v>
      </c>
      <c r="AV253">
        <v>1</v>
      </c>
      <c r="AZ253">
        <v>1</v>
      </c>
      <c r="BA253">
        <v>1</v>
      </c>
      <c r="BN253">
        <v>1</v>
      </c>
      <c r="BO253">
        <v>1</v>
      </c>
      <c r="CA253">
        <v>1</v>
      </c>
      <c r="CB253">
        <v>1</v>
      </c>
      <c r="CO253">
        <v>1</v>
      </c>
      <c r="CP253">
        <v>1</v>
      </c>
      <c r="DC253">
        <v>1</v>
      </c>
      <c r="DD253">
        <v>1</v>
      </c>
      <c r="DQ253">
        <v>1</v>
      </c>
      <c r="DR253">
        <v>1</v>
      </c>
      <c r="EE253">
        <v>1</v>
      </c>
      <c r="ES253">
        <v>1</v>
      </c>
      <c r="FV253" s="18">
        <f t="shared" si="572"/>
        <v>0.11463046757164404</v>
      </c>
    </row>
    <row r="254" spans="1:178" ht="14.25" customHeight="1" x14ac:dyDescent="0.25">
      <c r="A254" s="86" t="s">
        <v>273</v>
      </c>
      <c r="B254">
        <v>9</v>
      </c>
      <c r="C254">
        <v>100</v>
      </c>
      <c r="D254" s="21" t="s">
        <v>11</v>
      </c>
      <c r="E254" s="21" t="s">
        <v>11</v>
      </c>
      <c r="F254" s="20" t="s">
        <v>10</v>
      </c>
      <c r="G254" s="20" t="s">
        <v>231</v>
      </c>
      <c r="H254" s="20" t="s">
        <v>196</v>
      </c>
      <c r="AB254">
        <v>1</v>
      </c>
      <c r="AC254">
        <v>1</v>
      </c>
      <c r="AO254">
        <v>1</v>
      </c>
      <c r="AX254">
        <v>1</v>
      </c>
      <c r="BB254">
        <v>1</v>
      </c>
      <c r="BJ254">
        <v>1</v>
      </c>
      <c r="BK254">
        <v>1</v>
      </c>
      <c r="BL254">
        <v>1</v>
      </c>
      <c r="BV254">
        <v>1</v>
      </c>
      <c r="DS254">
        <v>1</v>
      </c>
      <c r="ET254">
        <v>1</v>
      </c>
      <c r="FG254">
        <v>1</v>
      </c>
      <c r="FU254">
        <v>1</v>
      </c>
      <c r="FV254" s="18">
        <f t="shared" ref="FV254:FV303" si="583">SUMPRODUCT(I254:FU254,$I$1:$FU$1)/(SUM($I$1:$FU$1))</f>
        <v>7.2398190045248875E-2</v>
      </c>
    </row>
    <row r="255" spans="1:178" ht="14.25" customHeight="1" x14ac:dyDescent="0.25">
      <c r="A255" s="86" t="s">
        <v>273</v>
      </c>
      <c r="B255">
        <v>9</v>
      </c>
      <c r="C255">
        <v>100</v>
      </c>
      <c r="D255" s="21" t="s">
        <v>11</v>
      </c>
      <c r="E255" s="21" t="s">
        <v>11</v>
      </c>
      <c r="F255" s="20" t="s">
        <v>9</v>
      </c>
      <c r="G255" s="20" t="s">
        <v>231</v>
      </c>
      <c r="H255" s="20" t="s">
        <v>194</v>
      </c>
      <c r="I255">
        <v>1</v>
      </c>
      <c r="J255">
        <v>1</v>
      </c>
      <c r="V255">
        <v>1</v>
      </c>
      <c r="W255">
        <v>1</v>
      </c>
      <c r="AK255">
        <v>1</v>
      </c>
      <c r="AY255">
        <v>1</v>
      </c>
      <c r="BM255">
        <v>1</v>
      </c>
      <c r="FV255" s="18">
        <f t="shared" si="583"/>
        <v>3.4690799396681751E-2</v>
      </c>
    </row>
    <row r="256" spans="1:178" ht="14.25" customHeight="1" x14ac:dyDescent="0.25">
      <c r="A256" s="86" t="s">
        <v>273</v>
      </c>
      <c r="B256">
        <v>9</v>
      </c>
      <c r="C256">
        <v>100</v>
      </c>
      <c r="D256" s="21" t="s">
        <v>11</v>
      </c>
      <c r="E256" s="21" t="s">
        <v>11</v>
      </c>
      <c r="F256" s="20" t="s">
        <v>9</v>
      </c>
      <c r="G256" s="20" t="s">
        <v>231</v>
      </c>
      <c r="H256" s="20" t="s">
        <v>220</v>
      </c>
      <c r="O256">
        <v>1</v>
      </c>
      <c r="P256">
        <v>1</v>
      </c>
      <c r="Q256">
        <v>1</v>
      </c>
      <c r="S256">
        <v>1</v>
      </c>
      <c r="T256">
        <v>1</v>
      </c>
      <c r="U256">
        <v>1</v>
      </c>
      <c r="AW256">
        <v>1</v>
      </c>
      <c r="BI256">
        <v>1</v>
      </c>
      <c r="CC256">
        <v>1</v>
      </c>
      <c r="CQ256">
        <v>1</v>
      </c>
      <c r="DE256">
        <v>1</v>
      </c>
      <c r="EF256">
        <v>1</v>
      </c>
      <c r="FV256" s="18">
        <f t="shared" si="583"/>
        <v>4.8265460030165915E-2</v>
      </c>
    </row>
    <row r="257" spans="1:178" ht="14.25" customHeight="1" x14ac:dyDescent="0.25">
      <c r="A257" s="86" t="s">
        <v>273</v>
      </c>
      <c r="B257">
        <v>9</v>
      </c>
      <c r="C257">
        <v>100</v>
      </c>
      <c r="D257" s="21" t="s">
        <v>11</v>
      </c>
      <c r="E257" s="21" t="s">
        <v>11</v>
      </c>
      <c r="F257" s="20" t="s">
        <v>9</v>
      </c>
      <c r="G257" s="20" t="s">
        <v>231</v>
      </c>
      <c r="H257" s="20" t="s">
        <v>195</v>
      </c>
      <c r="K257">
        <v>1</v>
      </c>
      <c r="L257">
        <v>1</v>
      </c>
      <c r="M257">
        <v>1</v>
      </c>
      <c r="N257">
        <v>1</v>
      </c>
      <c r="R257">
        <v>1</v>
      </c>
      <c r="X257">
        <v>1</v>
      </c>
      <c r="Y257">
        <v>1</v>
      </c>
      <c r="Z257">
        <v>1</v>
      </c>
      <c r="AA257">
        <v>1</v>
      </c>
      <c r="AI257">
        <v>1</v>
      </c>
      <c r="AJ257">
        <v>1</v>
      </c>
      <c r="AL257">
        <v>1</v>
      </c>
      <c r="AM257">
        <v>1</v>
      </c>
      <c r="AN257">
        <v>1</v>
      </c>
      <c r="AV257">
        <v>1</v>
      </c>
      <c r="AZ257">
        <v>1</v>
      </c>
      <c r="BA257">
        <v>1</v>
      </c>
      <c r="BN257">
        <v>1</v>
      </c>
      <c r="BO257">
        <v>1</v>
      </c>
      <c r="CA257">
        <v>1</v>
      </c>
      <c r="CB257">
        <v>1</v>
      </c>
      <c r="CO257">
        <v>1</v>
      </c>
      <c r="CP257">
        <v>1</v>
      </c>
      <c r="DC257">
        <v>1</v>
      </c>
      <c r="DD257">
        <v>1</v>
      </c>
      <c r="DQ257">
        <v>1</v>
      </c>
      <c r="DR257">
        <v>1</v>
      </c>
      <c r="EE257">
        <v>1</v>
      </c>
      <c r="ES257">
        <v>1</v>
      </c>
      <c r="FV257" s="18">
        <f t="shared" si="583"/>
        <v>0.11463046757164404</v>
      </c>
    </row>
    <row r="258" spans="1:178" ht="14.25" customHeight="1" x14ac:dyDescent="0.25">
      <c r="A258" s="86" t="s">
        <v>273</v>
      </c>
      <c r="B258">
        <v>9</v>
      </c>
      <c r="C258">
        <v>100</v>
      </c>
      <c r="D258" s="21" t="s">
        <v>11</v>
      </c>
      <c r="E258" s="21" t="s">
        <v>11</v>
      </c>
      <c r="F258" s="20" t="s">
        <v>9</v>
      </c>
      <c r="G258" s="20" t="s">
        <v>231</v>
      </c>
      <c r="H258" s="20" t="s">
        <v>196</v>
      </c>
      <c r="AB258">
        <v>1</v>
      </c>
      <c r="AC258">
        <v>1</v>
      </c>
      <c r="AO258">
        <v>1</v>
      </c>
      <c r="AX258">
        <v>1</v>
      </c>
      <c r="BB258">
        <v>1</v>
      </c>
      <c r="BJ258">
        <v>1</v>
      </c>
      <c r="BK258">
        <v>1</v>
      </c>
      <c r="BL258">
        <v>1</v>
      </c>
      <c r="BV258">
        <v>1</v>
      </c>
      <c r="DS258">
        <v>1</v>
      </c>
      <c r="ET258">
        <v>1</v>
      </c>
      <c r="FG258">
        <v>1</v>
      </c>
      <c r="FU258">
        <v>1</v>
      </c>
      <c r="FV258" s="18">
        <f t="shared" ref="FV258:FV262" si="584">SUMPRODUCT(I258:FU258,$I$1:$FU$1)/(SUM($I$1:$FU$1))</f>
        <v>7.2398190045248875E-2</v>
      </c>
    </row>
    <row r="259" spans="1:178" ht="14.25" customHeight="1" x14ac:dyDescent="0.25">
      <c r="A259" s="86" t="s">
        <v>273</v>
      </c>
      <c r="B259">
        <v>9</v>
      </c>
      <c r="C259">
        <v>100</v>
      </c>
      <c r="D259" s="21" t="s">
        <v>11</v>
      </c>
      <c r="E259" s="21" t="s">
        <v>11</v>
      </c>
      <c r="F259" s="20" t="s">
        <v>8</v>
      </c>
      <c r="G259" s="20" t="s">
        <v>231</v>
      </c>
      <c r="H259" s="20" t="s">
        <v>194</v>
      </c>
      <c r="I259">
        <v>1</v>
      </c>
      <c r="J259">
        <v>1</v>
      </c>
      <c r="V259">
        <v>1</v>
      </c>
      <c r="W259">
        <v>1</v>
      </c>
      <c r="AK259">
        <v>1</v>
      </c>
      <c r="AY259">
        <v>1</v>
      </c>
      <c r="BM259">
        <v>1</v>
      </c>
      <c r="FV259" s="18">
        <f t="shared" si="584"/>
        <v>3.4690799396681751E-2</v>
      </c>
    </row>
    <row r="260" spans="1:178" ht="14.25" customHeight="1" x14ac:dyDescent="0.25">
      <c r="A260" s="86" t="s">
        <v>273</v>
      </c>
      <c r="B260">
        <v>9</v>
      </c>
      <c r="C260">
        <v>100</v>
      </c>
      <c r="D260" s="21" t="s">
        <v>11</v>
      </c>
      <c r="E260" s="21" t="s">
        <v>11</v>
      </c>
      <c r="F260" s="20" t="s">
        <v>8</v>
      </c>
      <c r="G260" s="20" t="s">
        <v>231</v>
      </c>
      <c r="H260" s="20" t="s">
        <v>220</v>
      </c>
      <c r="O260">
        <v>1</v>
      </c>
      <c r="S260">
        <v>1</v>
      </c>
      <c r="T260">
        <v>1</v>
      </c>
      <c r="U260">
        <v>1</v>
      </c>
      <c r="AW260">
        <v>1</v>
      </c>
      <c r="BI260">
        <v>1</v>
      </c>
      <c r="BO260">
        <v>1</v>
      </c>
      <c r="CC260">
        <v>1</v>
      </c>
      <c r="DR260">
        <v>1</v>
      </c>
      <c r="EF260">
        <v>1</v>
      </c>
      <c r="FV260" s="18">
        <f t="shared" si="584"/>
        <v>4.2232277526395176E-2</v>
      </c>
    </row>
    <row r="261" spans="1:178" ht="14.25" customHeight="1" x14ac:dyDescent="0.25">
      <c r="A261" s="86" t="s">
        <v>273</v>
      </c>
      <c r="B261">
        <v>9</v>
      </c>
      <c r="C261">
        <v>100</v>
      </c>
      <c r="D261" s="21" t="s">
        <v>11</v>
      </c>
      <c r="E261" s="21" t="s">
        <v>11</v>
      </c>
      <c r="F261" s="20" t="s">
        <v>8</v>
      </c>
      <c r="G261" s="20" t="s">
        <v>231</v>
      </c>
      <c r="H261" s="20" t="s">
        <v>195</v>
      </c>
      <c r="K261">
        <v>1</v>
      </c>
      <c r="L261">
        <v>1</v>
      </c>
      <c r="M261">
        <v>1</v>
      </c>
      <c r="N261">
        <v>1</v>
      </c>
      <c r="R261">
        <v>1</v>
      </c>
      <c r="X261">
        <v>1</v>
      </c>
      <c r="Y261">
        <v>1</v>
      </c>
      <c r="Z261">
        <v>1</v>
      </c>
      <c r="AA261">
        <v>1</v>
      </c>
      <c r="AI261">
        <v>1</v>
      </c>
      <c r="AJ261">
        <v>1</v>
      </c>
      <c r="AL261">
        <v>1</v>
      </c>
      <c r="AM261">
        <v>1</v>
      </c>
      <c r="AN261">
        <v>1</v>
      </c>
      <c r="AV261">
        <v>1</v>
      </c>
      <c r="AZ261">
        <v>1</v>
      </c>
      <c r="BA261">
        <v>1</v>
      </c>
      <c r="BN261">
        <v>1</v>
      </c>
      <c r="CA261">
        <v>1</v>
      </c>
      <c r="CB261">
        <v>1</v>
      </c>
      <c r="CO261">
        <v>1</v>
      </c>
      <c r="CP261">
        <v>1</v>
      </c>
      <c r="DC261">
        <v>1</v>
      </c>
      <c r="DD261">
        <v>1</v>
      </c>
      <c r="DQ261">
        <v>1</v>
      </c>
      <c r="EE261">
        <v>1</v>
      </c>
      <c r="ES261">
        <v>1</v>
      </c>
      <c r="FV261" s="18">
        <f t="shared" si="584"/>
        <v>0.10859728506787331</v>
      </c>
    </row>
    <row r="262" spans="1:178" ht="14.25" customHeight="1" x14ac:dyDescent="0.25">
      <c r="A262" s="86" t="s">
        <v>273</v>
      </c>
      <c r="B262">
        <v>9</v>
      </c>
      <c r="C262">
        <v>100</v>
      </c>
      <c r="D262" s="21" t="s">
        <v>11</v>
      </c>
      <c r="E262" s="21" t="s">
        <v>11</v>
      </c>
      <c r="F262" s="20" t="s">
        <v>8</v>
      </c>
      <c r="G262" s="20" t="s">
        <v>231</v>
      </c>
      <c r="H262" s="20" t="s">
        <v>196</v>
      </c>
      <c r="P262">
        <v>1</v>
      </c>
      <c r="Q262">
        <v>1</v>
      </c>
      <c r="AB262">
        <v>1</v>
      </c>
      <c r="AC262">
        <v>1</v>
      </c>
      <c r="AO262">
        <v>1</v>
      </c>
      <c r="AX262">
        <v>1</v>
      </c>
      <c r="BB262">
        <v>1</v>
      </c>
      <c r="BJ262">
        <v>1</v>
      </c>
      <c r="BK262">
        <v>1</v>
      </c>
      <c r="BL262">
        <v>1</v>
      </c>
      <c r="BV262">
        <v>1</v>
      </c>
      <c r="CQ262">
        <v>1</v>
      </c>
      <c r="DE262">
        <v>1</v>
      </c>
      <c r="DS262">
        <v>1</v>
      </c>
      <c r="ET262">
        <v>1</v>
      </c>
      <c r="FG262">
        <v>1</v>
      </c>
      <c r="FU262">
        <v>1</v>
      </c>
      <c r="FV262" s="18">
        <f t="shared" si="584"/>
        <v>8.4464555052790352E-2</v>
      </c>
    </row>
    <row r="263" spans="1:178" ht="14.25" customHeight="1" x14ac:dyDescent="0.25">
      <c r="A263" s="86" t="s">
        <v>273</v>
      </c>
      <c r="B263">
        <v>9</v>
      </c>
      <c r="C263">
        <v>100</v>
      </c>
      <c r="D263" s="21" t="s">
        <v>10</v>
      </c>
      <c r="E263" s="21" t="s">
        <v>10</v>
      </c>
      <c r="F263" s="20" t="s">
        <v>9</v>
      </c>
      <c r="G263" s="20" t="s">
        <v>231</v>
      </c>
      <c r="H263" s="20" t="s">
        <v>194</v>
      </c>
      <c r="I263">
        <v>1</v>
      </c>
      <c r="J263">
        <v>1</v>
      </c>
      <c r="K263">
        <v>1</v>
      </c>
      <c r="L263">
        <v>1</v>
      </c>
      <c r="V263">
        <v>1</v>
      </c>
      <c r="W263">
        <v>1</v>
      </c>
      <c r="AI263">
        <v>1</v>
      </c>
      <c r="AK263">
        <v>1</v>
      </c>
      <c r="AY263">
        <v>1</v>
      </c>
      <c r="BM263">
        <v>1</v>
      </c>
      <c r="CA263">
        <v>1</v>
      </c>
      <c r="FV263" s="18">
        <f t="shared" si="583"/>
        <v>5.4298642533936653E-2</v>
      </c>
    </row>
    <row r="264" spans="1:178" ht="14.25" customHeight="1" x14ac:dyDescent="0.25">
      <c r="A264" s="86" t="s">
        <v>273</v>
      </c>
      <c r="B264">
        <v>9</v>
      </c>
      <c r="C264">
        <v>100</v>
      </c>
      <c r="D264" s="21" t="s">
        <v>10</v>
      </c>
      <c r="E264" s="21" t="s">
        <v>10</v>
      </c>
      <c r="F264" s="20" t="s">
        <v>9</v>
      </c>
      <c r="G264" s="20" t="s">
        <v>231</v>
      </c>
      <c r="H264" s="20" t="s">
        <v>220</v>
      </c>
      <c r="AD264">
        <v>1</v>
      </c>
      <c r="AE264">
        <v>1</v>
      </c>
      <c r="AF264">
        <v>1</v>
      </c>
      <c r="AP264">
        <v>1</v>
      </c>
      <c r="BC264">
        <v>1</v>
      </c>
      <c r="BK264">
        <v>1</v>
      </c>
      <c r="BL264">
        <v>1</v>
      </c>
      <c r="BW264">
        <v>1</v>
      </c>
      <c r="CI264">
        <v>1</v>
      </c>
      <c r="CQ264">
        <v>1</v>
      </c>
      <c r="DE264">
        <v>1</v>
      </c>
      <c r="DS264">
        <v>1</v>
      </c>
      <c r="DV264">
        <v>1</v>
      </c>
      <c r="EF264">
        <v>1</v>
      </c>
      <c r="EI264">
        <v>1</v>
      </c>
      <c r="ET264">
        <v>1</v>
      </c>
      <c r="EV264">
        <v>1</v>
      </c>
      <c r="FV264" s="18">
        <f t="shared" si="583"/>
        <v>9.3514328808446456E-2</v>
      </c>
    </row>
    <row r="265" spans="1:178" ht="14.25" customHeight="1" x14ac:dyDescent="0.25">
      <c r="A265" s="86" t="s">
        <v>273</v>
      </c>
      <c r="B265">
        <v>9</v>
      </c>
      <c r="C265">
        <v>100</v>
      </c>
      <c r="D265" s="21" t="s">
        <v>10</v>
      </c>
      <c r="E265" s="21" t="s">
        <v>10</v>
      </c>
      <c r="F265" s="20" t="s">
        <v>9</v>
      </c>
      <c r="G265" s="20" t="s">
        <v>231</v>
      </c>
      <c r="H265" s="20" t="s">
        <v>195</v>
      </c>
      <c r="M265">
        <v>1</v>
      </c>
      <c r="N265">
        <v>1</v>
      </c>
      <c r="O265">
        <v>1</v>
      </c>
      <c r="P265">
        <v>1</v>
      </c>
      <c r="Q265">
        <v>1</v>
      </c>
      <c r="R265">
        <v>1</v>
      </c>
      <c r="S265">
        <v>1</v>
      </c>
      <c r="T265">
        <v>1</v>
      </c>
      <c r="U265">
        <v>1</v>
      </c>
      <c r="X265">
        <v>1</v>
      </c>
      <c r="Y265">
        <v>1</v>
      </c>
      <c r="Z265">
        <v>1</v>
      </c>
      <c r="AA265">
        <v>1</v>
      </c>
      <c r="AB265">
        <v>1</v>
      </c>
      <c r="AC265">
        <v>1</v>
      </c>
      <c r="AJ265">
        <v>1</v>
      </c>
      <c r="AL265">
        <v>1</v>
      </c>
      <c r="AM265">
        <v>1</v>
      </c>
      <c r="AN265">
        <v>1</v>
      </c>
      <c r="AO265">
        <v>1</v>
      </c>
      <c r="AV265">
        <v>1</v>
      </c>
      <c r="AW265">
        <v>1</v>
      </c>
      <c r="AX265">
        <v>1</v>
      </c>
      <c r="AZ265">
        <v>1</v>
      </c>
      <c r="BA265">
        <v>1</v>
      </c>
      <c r="BB265">
        <v>1</v>
      </c>
      <c r="BI265">
        <v>1</v>
      </c>
      <c r="BJ265">
        <v>1</v>
      </c>
      <c r="BN265">
        <v>1</v>
      </c>
      <c r="BO265">
        <v>1</v>
      </c>
      <c r="BP265">
        <v>1</v>
      </c>
      <c r="BV265">
        <v>1</v>
      </c>
      <c r="CB265">
        <v>1</v>
      </c>
      <c r="CC265">
        <v>1</v>
      </c>
      <c r="CO265">
        <v>1</v>
      </c>
      <c r="CP265">
        <v>1</v>
      </c>
      <c r="DC265">
        <v>1</v>
      </c>
      <c r="DD265">
        <v>1</v>
      </c>
      <c r="DQ265">
        <v>1</v>
      </c>
      <c r="DR265">
        <v>1</v>
      </c>
      <c r="EE265">
        <v>1</v>
      </c>
      <c r="ES265">
        <v>1</v>
      </c>
      <c r="FG265">
        <v>1</v>
      </c>
      <c r="FU265">
        <v>1</v>
      </c>
      <c r="FV265" s="18">
        <f t="shared" si="583"/>
        <v>0.18552036199095023</v>
      </c>
    </row>
    <row r="266" spans="1:178" ht="14.25" customHeight="1" x14ac:dyDescent="0.25">
      <c r="A266" s="86" t="s">
        <v>273</v>
      </c>
      <c r="B266">
        <v>9</v>
      </c>
      <c r="C266">
        <v>100</v>
      </c>
      <c r="D266" s="21" t="s">
        <v>10</v>
      </c>
      <c r="E266" s="21" t="s">
        <v>10</v>
      </c>
      <c r="F266" s="20" t="s">
        <v>9</v>
      </c>
      <c r="G266" s="20" t="s">
        <v>231</v>
      </c>
      <c r="H266" s="20" t="s">
        <v>196</v>
      </c>
      <c r="AG266">
        <v>1</v>
      </c>
      <c r="AH266">
        <v>1</v>
      </c>
      <c r="AQ266">
        <v>1</v>
      </c>
      <c r="AR266">
        <v>1</v>
      </c>
      <c r="AS266">
        <v>1</v>
      </c>
      <c r="AT266">
        <v>1</v>
      </c>
      <c r="AU266">
        <v>1</v>
      </c>
      <c r="BD266">
        <v>1</v>
      </c>
      <c r="BQ266">
        <v>1</v>
      </c>
      <c r="BX266">
        <v>1</v>
      </c>
      <c r="BY266">
        <v>1</v>
      </c>
      <c r="BZ266">
        <v>1</v>
      </c>
      <c r="CD266">
        <v>1</v>
      </c>
      <c r="CJ266">
        <v>1</v>
      </c>
      <c r="CK266">
        <v>1</v>
      </c>
      <c r="CL266">
        <v>1</v>
      </c>
      <c r="CM266">
        <v>1</v>
      </c>
      <c r="CN266">
        <v>1</v>
      </c>
      <c r="CR266">
        <v>1</v>
      </c>
      <c r="CV266">
        <v>1</v>
      </c>
      <c r="CW266">
        <v>1</v>
      </c>
      <c r="DA266">
        <v>1</v>
      </c>
      <c r="DB266">
        <v>1</v>
      </c>
      <c r="DF266">
        <v>1</v>
      </c>
      <c r="DI266">
        <v>1</v>
      </c>
      <c r="DP266">
        <v>1</v>
      </c>
      <c r="EG266">
        <v>1</v>
      </c>
      <c r="FH266">
        <v>1</v>
      </c>
      <c r="FI266">
        <v>1</v>
      </c>
      <c r="FV266" s="18">
        <f t="shared" si="583"/>
        <v>0.17797888386123681</v>
      </c>
    </row>
    <row r="267" spans="1:178" ht="14.25" customHeight="1" x14ac:dyDescent="0.25">
      <c r="A267" s="86" t="s">
        <v>273</v>
      </c>
      <c r="B267">
        <v>9</v>
      </c>
      <c r="C267">
        <v>100</v>
      </c>
      <c r="D267" s="21" t="s">
        <v>10</v>
      </c>
      <c r="E267" s="21" t="s">
        <v>10</v>
      </c>
      <c r="F267" s="20" t="s">
        <v>8</v>
      </c>
      <c r="G267" s="20" t="s">
        <v>231</v>
      </c>
      <c r="H267" s="20" t="s">
        <v>194</v>
      </c>
      <c r="I267">
        <v>1</v>
      </c>
      <c r="J267">
        <v>1</v>
      </c>
      <c r="K267">
        <v>1</v>
      </c>
      <c r="L267">
        <v>1</v>
      </c>
      <c r="V267">
        <v>1</v>
      </c>
      <c r="W267">
        <v>1</v>
      </c>
      <c r="AI267">
        <v>1</v>
      </c>
      <c r="AK267">
        <v>1</v>
      </c>
      <c r="AY267">
        <v>1</v>
      </c>
      <c r="BM267">
        <v>1</v>
      </c>
      <c r="CA267">
        <v>1</v>
      </c>
      <c r="FV267" s="18">
        <f t="shared" ref="FV267:FV270" si="585">SUMPRODUCT(I267:FU267,$I$1:$FU$1)/(SUM($I$1:$FU$1))</f>
        <v>5.4298642533936653E-2</v>
      </c>
    </row>
    <row r="268" spans="1:178" ht="14.25" customHeight="1" x14ac:dyDescent="0.25">
      <c r="A268" s="86" t="s">
        <v>273</v>
      </c>
      <c r="B268">
        <v>9</v>
      </c>
      <c r="C268">
        <v>100</v>
      </c>
      <c r="D268" s="21" t="s">
        <v>10</v>
      </c>
      <c r="E268" s="21" t="s">
        <v>10</v>
      </c>
      <c r="F268" s="20" t="s">
        <v>8</v>
      </c>
      <c r="G268" s="20" t="s">
        <v>231</v>
      </c>
      <c r="H268" s="20" t="s">
        <v>220</v>
      </c>
      <c r="AD268">
        <v>1</v>
      </c>
      <c r="AE268">
        <v>1</v>
      </c>
      <c r="AF268">
        <v>1</v>
      </c>
      <c r="AP268">
        <v>1</v>
      </c>
      <c r="BC268">
        <v>1</v>
      </c>
      <c r="BK268">
        <v>1</v>
      </c>
      <c r="BL268">
        <v>1</v>
      </c>
      <c r="BW268">
        <v>1</v>
      </c>
      <c r="CI268">
        <v>1</v>
      </c>
      <c r="CQ268">
        <v>1</v>
      </c>
      <c r="DE268">
        <v>1</v>
      </c>
      <c r="DS268">
        <v>1</v>
      </c>
      <c r="DV268">
        <v>1</v>
      </c>
      <c r="EF268">
        <v>1</v>
      </c>
      <c r="EI268">
        <v>1</v>
      </c>
      <c r="ET268">
        <v>1</v>
      </c>
      <c r="EV268">
        <v>1</v>
      </c>
      <c r="FV268" s="18">
        <f t="shared" si="585"/>
        <v>9.3514328808446456E-2</v>
      </c>
    </row>
    <row r="269" spans="1:178" ht="14.25" customHeight="1" x14ac:dyDescent="0.25">
      <c r="A269" s="86" t="s">
        <v>273</v>
      </c>
      <c r="B269">
        <v>9</v>
      </c>
      <c r="C269">
        <v>100</v>
      </c>
      <c r="D269" s="21" t="s">
        <v>10</v>
      </c>
      <c r="E269" s="21" t="s">
        <v>10</v>
      </c>
      <c r="F269" s="20" t="s">
        <v>8</v>
      </c>
      <c r="G269" s="20" t="s">
        <v>231</v>
      </c>
      <c r="H269" s="20" t="s">
        <v>195</v>
      </c>
      <c r="M269">
        <v>1</v>
      </c>
      <c r="N269">
        <v>1</v>
      </c>
      <c r="O269">
        <v>1</v>
      </c>
      <c r="P269">
        <v>1</v>
      </c>
      <c r="Q269">
        <v>1</v>
      </c>
      <c r="R269">
        <v>1</v>
      </c>
      <c r="S269">
        <v>1</v>
      </c>
      <c r="T269">
        <v>1</v>
      </c>
      <c r="U269">
        <v>1</v>
      </c>
      <c r="X269">
        <v>1</v>
      </c>
      <c r="Y269">
        <v>1</v>
      </c>
      <c r="Z269">
        <v>1</v>
      </c>
      <c r="AA269">
        <v>1</v>
      </c>
      <c r="AB269">
        <v>1</v>
      </c>
      <c r="AC269">
        <v>1</v>
      </c>
      <c r="AJ269">
        <v>1</v>
      </c>
      <c r="AL269">
        <v>1</v>
      </c>
      <c r="AM269">
        <v>1</v>
      </c>
      <c r="AN269">
        <v>1</v>
      </c>
      <c r="AO269">
        <v>1</v>
      </c>
      <c r="AV269">
        <v>1</v>
      </c>
      <c r="AW269">
        <v>1</v>
      </c>
      <c r="AX269">
        <v>1</v>
      </c>
      <c r="AZ269">
        <v>1</v>
      </c>
      <c r="BA269">
        <v>1</v>
      </c>
      <c r="BB269">
        <v>1</v>
      </c>
      <c r="BI269">
        <v>1</v>
      </c>
      <c r="BJ269">
        <v>1</v>
      </c>
      <c r="BN269">
        <v>1</v>
      </c>
      <c r="BO269">
        <v>1</v>
      </c>
      <c r="BP269">
        <v>1</v>
      </c>
      <c r="BV269">
        <v>1</v>
      </c>
      <c r="CB269">
        <v>1</v>
      </c>
      <c r="CC269">
        <v>1</v>
      </c>
      <c r="CO269">
        <v>1</v>
      </c>
      <c r="CP269">
        <v>1</v>
      </c>
      <c r="DC269">
        <v>1</v>
      </c>
      <c r="DD269">
        <v>1</v>
      </c>
      <c r="DQ269">
        <v>1</v>
      </c>
      <c r="DR269">
        <v>1</v>
      </c>
      <c r="EE269">
        <v>1</v>
      </c>
      <c r="ES269">
        <v>1</v>
      </c>
      <c r="FG269">
        <v>1</v>
      </c>
      <c r="FU269">
        <v>1</v>
      </c>
      <c r="FV269" s="18">
        <f t="shared" si="585"/>
        <v>0.18552036199095023</v>
      </c>
    </row>
    <row r="270" spans="1:178" ht="14.25" customHeight="1" x14ac:dyDescent="0.25">
      <c r="A270" s="86" t="s">
        <v>273</v>
      </c>
      <c r="B270">
        <v>9</v>
      </c>
      <c r="C270">
        <v>100</v>
      </c>
      <c r="D270" s="21" t="s">
        <v>10</v>
      </c>
      <c r="E270" s="21" t="s">
        <v>10</v>
      </c>
      <c r="F270" s="20" t="s">
        <v>8</v>
      </c>
      <c r="G270" s="20" t="s">
        <v>231</v>
      </c>
      <c r="H270" s="20" t="s">
        <v>196</v>
      </c>
      <c r="AG270">
        <v>1</v>
      </c>
      <c r="AH270">
        <v>1</v>
      </c>
      <c r="AQ270">
        <v>1</v>
      </c>
      <c r="AR270">
        <v>1</v>
      </c>
      <c r="AS270">
        <v>1</v>
      </c>
      <c r="AT270">
        <v>1</v>
      </c>
      <c r="AU270">
        <v>1</v>
      </c>
      <c r="BD270">
        <v>1</v>
      </c>
      <c r="BQ270">
        <v>1</v>
      </c>
      <c r="BX270">
        <v>1</v>
      </c>
      <c r="BY270">
        <v>1</v>
      </c>
      <c r="BZ270">
        <v>1</v>
      </c>
      <c r="CD270">
        <v>1</v>
      </c>
      <c r="CJ270">
        <v>1</v>
      </c>
      <c r="CK270">
        <v>1</v>
      </c>
      <c r="CL270">
        <v>1</v>
      </c>
      <c r="CM270">
        <v>1</v>
      </c>
      <c r="CN270">
        <v>1</v>
      </c>
      <c r="CR270">
        <v>1</v>
      </c>
      <c r="CV270">
        <v>1</v>
      </c>
      <c r="CW270">
        <v>1</v>
      </c>
      <c r="DA270">
        <v>1</v>
      </c>
      <c r="DB270">
        <v>1</v>
      </c>
      <c r="DF270">
        <v>1</v>
      </c>
      <c r="DI270">
        <v>1</v>
      </c>
      <c r="DP270">
        <v>1</v>
      </c>
      <c r="EG270">
        <v>1</v>
      </c>
      <c r="FH270">
        <v>1</v>
      </c>
      <c r="FI270">
        <v>1</v>
      </c>
      <c r="FV270" s="18">
        <f t="shared" si="585"/>
        <v>0.17797888386123681</v>
      </c>
    </row>
    <row r="271" spans="1:178" ht="14.25" customHeight="1" x14ac:dyDescent="0.25">
      <c r="A271" s="86" t="s">
        <v>273</v>
      </c>
      <c r="B271">
        <v>9</v>
      </c>
      <c r="C271">
        <v>100</v>
      </c>
      <c r="D271" s="21" t="s">
        <v>9</v>
      </c>
      <c r="E271" s="21" t="s">
        <v>9</v>
      </c>
      <c r="F271" s="21" t="s">
        <v>8</v>
      </c>
      <c r="G271" s="20" t="s">
        <v>231</v>
      </c>
      <c r="H271" s="20" t="s">
        <v>194</v>
      </c>
      <c r="J271">
        <v>1</v>
      </c>
      <c r="K271">
        <v>1</v>
      </c>
      <c r="L271">
        <v>1</v>
      </c>
      <c r="AI271">
        <v>1</v>
      </c>
      <c r="AK271">
        <v>1</v>
      </c>
      <c r="AY271">
        <v>1</v>
      </c>
      <c r="FV271" s="18">
        <f t="shared" si="583"/>
        <v>2.7149321266968326E-2</v>
      </c>
    </row>
    <row r="272" spans="1:178" ht="14.25" customHeight="1" x14ac:dyDescent="0.25">
      <c r="A272" s="86" t="s">
        <v>273</v>
      </c>
      <c r="B272">
        <v>9</v>
      </c>
      <c r="C272">
        <v>100</v>
      </c>
      <c r="D272" s="21" t="s">
        <v>9</v>
      </c>
      <c r="E272" s="21" t="s">
        <v>9</v>
      </c>
      <c r="F272" s="21" t="s">
        <v>8</v>
      </c>
      <c r="G272" s="20" t="s">
        <v>231</v>
      </c>
      <c r="H272" s="20" t="s">
        <v>220</v>
      </c>
      <c r="BF272">
        <v>1</v>
      </c>
      <c r="DX272">
        <v>1</v>
      </c>
      <c r="EK272">
        <v>1</v>
      </c>
      <c r="EW272">
        <v>1</v>
      </c>
      <c r="FJ272">
        <v>1</v>
      </c>
      <c r="FV272" s="18">
        <f t="shared" si="583"/>
        <v>3.9215686274509803E-2</v>
      </c>
    </row>
    <row r="273" spans="1:178" ht="14.25" customHeight="1" x14ac:dyDescent="0.25">
      <c r="A273" s="86" t="s">
        <v>273</v>
      </c>
      <c r="B273">
        <v>9</v>
      </c>
      <c r="C273">
        <v>100</v>
      </c>
      <c r="D273" s="21" t="s">
        <v>9</v>
      </c>
      <c r="E273" s="21" t="s">
        <v>9</v>
      </c>
      <c r="F273" s="21" t="s">
        <v>8</v>
      </c>
      <c r="G273" s="20" t="s">
        <v>231</v>
      </c>
      <c r="H273" s="20" t="s">
        <v>195</v>
      </c>
      <c r="M273">
        <v>1</v>
      </c>
      <c r="X273">
        <v>1</v>
      </c>
      <c r="Y273">
        <v>1</v>
      </c>
      <c r="AJ273">
        <v>1</v>
      </c>
      <c r="AL273">
        <v>1</v>
      </c>
      <c r="AV273">
        <v>1</v>
      </c>
      <c r="AW273">
        <v>1</v>
      </c>
      <c r="BI273">
        <v>1</v>
      </c>
      <c r="BM273">
        <v>1</v>
      </c>
      <c r="CA273">
        <v>1</v>
      </c>
      <c r="CE273">
        <v>1</v>
      </c>
      <c r="CO273">
        <v>1</v>
      </c>
      <c r="CR273">
        <v>1</v>
      </c>
      <c r="DF273">
        <v>1</v>
      </c>
      <c r="ET273">
        <v>1</v>
      </c>
      <c r="FV273" s="18">
        <f t="shared" si="583"/>
        <v>7.3906485671191555E-2</v>
      </c>
    </row>
    <row r="274" spans="1:178" ht="14.25" customHeight="1" x14ac:dyDescent="0.25">
      <c r="A274" s="86" t="s">
        <v>273</v>
      </c>
      <c r="B274">
        <v>9</v>
      </c>
      <c r="C274">
        <v>100</v>
      </c>
      <c r="D274" s="21" t="s">
        <v>9</v>
      </c>
      <c r="E274" s="21" t="s">
        <v>9</v>
      </c>
      <c r="F274" s="21" t="s">
        <v>8</v>
      </c>
      <c r="G274" s="20" t="s">
        <v>231</v>
      </c>
      <c r="H274" s="20" t="s">
        <v>196</v>
      </c>
      <c r="BG274">
        <v>1</v>
      </c>
      <c r="BH274">
        <v>1</v>
      </c>
      <c r="BR274">
        <v>1</v>
      </c>
      <c r="BS274">
        <v>1</v>
      </c>
      <c r="CF274">
        <v>1</v>
      </c>
      <c r="CS274">
        <v>1</v>
      </c>
      <c r="DL274">
        <v>1</v>
      </c>
      <c r="DM274">
        <v>1</v>
      </c>
      <c r="DN274">
        <v>1</v>
      </c>
      <c r="DO274">
        <v>1</v>
      </c>
      <c r="DT274">
        <v>1</v>
      </c>
      <c r="EG274">
        <v>1</v>
      </c>
      <c r="EX274">
        <v>1</v>
      </c>
      <c r="FK274">
        <v>1</v>
      </c>
      <c r="FV274" s="18">
        <f t="shared" si="583"/>
        <v>7.8431372549019607E-2</v>
      </c>
    </row>
    <row r="275" spans="1:178" ht="14.25" customHeight="1" x14ac:dyDescent="0.25">
      <c r="A275" s="86" t="s">
        <v>273</v>
      </c>
      <c r="B275">
        <v>9</v>
      </c>
      <c r="C275">
        <v>100</v>
      </c>
      <c r="D275" s="21" t="s">
        <v>9</v>
      </c>
      <c r="E275" s="21" t="s">
        <v>8</v>
      </c>
      <c r="F275" s="8" t="s">
        <v>197</v>
      </c>
      <c r="G275" s="21" t="s">
        <v>201</v>
      </c>
      <c r="H275" s="20" t="s">
        <v>194</v>
      </c>
      <c r="I275">
        <v>1</v>
      </c>
      <c r="V275">
        <v>1</v>
      </c>
      <c r="W275">
        <v>1</v>
      </c>
      <c r="FV275" s="18">
        <f t="shared" si="583"/>
        <v>1.8099547511312219E-2</v>
      </c>
    </row>
    <row r="276" spans="1:178" ht="14.25" customHeight="1" x14ac:dyDescent="0.25">
      <c r="A276" s="86" t="s">
        <v>273</v>
      </c>
      <c r="B276">
        <v>9</v>
      </c>
      <c r="C276">
        <v>100</v>
      </c>
      <c r="D276" s="21" t="s">
        <v>9</v>
      </c>
      <c r="E276" s="21" t="s">
        <v>8</v>
      </c>
      <c r="F276" s="8" t="s">
        <v>197</v>
      </c>
      <c r="G276" s="21" t="s">
        <v>201</v>
      </c>
      <c r="H276" s="20" t="s">
        <v>220</v>
      </c>
      <c r="CX276">
        <v>1</v>
      </c>
      <c r="DJ276">
        <v>1</v>
      </c>
      <c r="DW276">
        <v>1</v>
      </c>
      <c r="EV276">
        <v>1</v>
      </c>
      <c r="FI276">
        <v>1</v>
      </c>
      <c r="FV276" s="18">
        <f t="shared" si="583"/>
        <v>4.5248868778280542E-2</v>
      </c>
    </row>
    <row r="277" spans="1:178" ht="14.25" customHeight="1" x14ac:dyDescent="0.25">
      <c r="A277" s="86" t="s">
        <v>273</v>
      </c>
      <c r="B277">
        <v>9</v>
      </c>
      <c r="C277">
        <v>100</v>
      </c>
      <c r="D277" s="21" t="s">
        <v>9</v>
      </c>
      <c r="E277" s="21" t="s">
        <v>8</v>
      </c>
      <c r="F277" s="8" t="s">
        <v>197</v>
      </c>
      <c r="G277" s="21" t="s">
        <v>201</v>
      </c>
      <c r="H277" s="20" t="s">
        <v>195</v>
      </c>
      <c r="N277">
        <v>1</v>
      </c>
      <c r="O277">
        <v>1</v>
      </c>
      <c r="P277">
        <v>1</v>
      </c>
      <c r="Q277">
        <v>1</v>
      </c>
      <c r="R277">
        <v>1</v>
      </c>
      <c r="S277">
        <v>1</v>
      </c>
      <c r="T277">
        <v>1</v>
      </c>
      <c r="U277">
        <v>1</v>
      </c>
      <c r="Z277">
        <v>1</v>
      </c>
      <c r="AA277">
        <v>1</v>
      </c>
      <c r="AB277">
        <v>1</v>
      </c>
      <c r="AC277">
        <v>1</v>
      </c>
      <c r="AD277">
        <v>1</v>
      </c>
      <c r="AE277">
        <v>1</v>
      </c>
      <c r="AF277">
        <v>1</v>
      </c>
      <c r="AG277">
        <v>1</v>
      </c>
      <c r="AH277">
        <v>1</v>
      </c>
      <c r="AL277">
        <v>1</v>
      </c>
      <c r="AM277">
        <v>1</v>
      </c>
      <c r="AN277">
        <v>1</v>
      </c>
      <c r="AO277">
        <v>1</v>
      </c>
      <c r="AP277">
        <v>1</v>
      </c>
      <c r="AQ277">
        <v>1</v>
      </c>
      <c r="AR277">
        <v>1</v>
      </c>
      <c r="AS277">
        <v>1</v>
      </c>
      <c r="AT277">
        <v>1</v>
      </c>
      <c r="AU277">
        <v>1</v>
      </c>
      <c r="AX277">
        <v>1</v>
      </c>
      <c r="AZ277">
        <v>1</v>
      </c>
      <c r="BA277">
        <v>1</v>
      </c>
      <c r="BB277">
        <v>1</v>
      </c>
      <c r="BC277">
        <v>1</v>
      </c>
      <c r="BD277">
        <v>1</v>
      </c>
      <c r="BJ277">
        <v>1</v>
      </c>
      <c r="BK277">
        <v>1</v>
      </c>
      <c r="BL277">
        <v>1</v>
      </c>
      <c r="BN277">
        <v>1</v>
      </c>
      <c r="BO277">
        <v>1</v>
      </c>
      <c r="BP277">
        <v>1</v>
      </c>
      <c r="BQ277">
        <v>1</v>
      </c>
      <c r="BV277">
        <v>1</v>
      </c>
      <c r="BW277">
        <v>1</v>
      </c>
      <c r="BX277">
        <v>1</v>
      </c>
      <c r="BY277">
        <v>1</v>
      </c>
      <c r="BZ277">
        <v>1</v>
      </c>
      <c r="CB277">
        <v>1</v>
      </c>
      <c r="CC277">
        <v>1</v>
      </c>
      <c r="CD277">
        <v>1</v>
      </c>
      <c r="CI277">
        <v>1</v>
      </c>
      <c r="CJ277">
        <v>1</v>
      </c>
      <c r="CK277">
        <v>1</v>
      </c>
      <c r="CL277">
        <v>1</v>
      </c>
      <c r="CM277">
        <v>1</v>
      </c>
      <c r="CN277">
        <v>1</v>
      </c>
      <c r="CP277">
        <v>1</v>
      </c>
      <c r="CQ277">
        <v>1</v>
      </c>
      <c r="CV277">
        <v>1</v>
      </c>
      <c r="CW277">
        <v>1</v>
      </c>
      <c r="DA277">
        <v>1</v>
      </c>
      <c r="DB277">
        <v>1</v>
      </c>
      <c r="DC277">
        <v>1</v>
      </c>
      <c r="DD277">
        <v>1</v>
      </c>
      <c r="DE277">
        <v>1</v>
      </c>
      <c r="DI277">
        <v>1</v>
      </c>
      <c r="DP277">
        <v>1</v>
      </c>
      <c r="DQ277">
        <v>1</v>
      </c>
      <c r="DR277">
        <v>1</v>
      </c>
      <c r="DS277">
        <v>1</v>
      </c>
      <c r="DV277">
        <v>1</v>
      </c>
      <c r="EE277">
        <v>1</v>
      </c>
      <c r="EF277">
        <v>1</v>
      </c>
      <c r="EI277">
        <v>1</v>
      </c>
      <c r="ES277">
        <v>1</v>
      </c>
      <c r="FG277">
        <v>1</v>
      </c>
      <c r="FH277">
        <v>1</v>
      </c>
      <c r="FU277">
        <v>1</v>
      </c>
      <c r="FV277" s="18">
        <f t="shared" si="583"/>
        <v>0.37707390648567118</v>
      </c>
    </row>
    <row r="278" spans="1:178" ht="14.25" customHeight="1" x14ac:dyDescent="0.25">
      <c r="A278" s="86" t="s">
        <v>273</v>
      </c>
      <c r="B278">
        <v>9</v>
      </c>
      <c r="C278">
        <v>100</v>
      </c>
      <c r="D278" s="21" t="s">
        <v>9</v>
      </c>
      <c r="E278" s="21" t="s">
        <v>8</v>
      </c>
      <c r="F278" s="8" t="s">
        <v>197</v>
      </c>
      <c r="G278" s="21" t="s">
        <v>201</v>
      </c>
      <c r="H278" s="20" t="s">
        <v>196</v>
      </c>
      <c r="CY278">
        <v>1</v>
      </c>
      <c r="CZ278">
        <v>1</v>
      </c>
      <c r="DK278">
        <v>1</v>
      </c>
      <c r="ED278">
        <v>1</v>
      </c>
      <c r="EJ278">
        <v>1</v>
      </c>
      <c r="FV278" s="18">
        <f t="shared" si="583"/>
        <v>4.5248868778280542E-2</v>
      </c>
    </row>
    <row r="279" spans="1:178" ht="14.25" customHeight="1" x14ac:dyDescent="0.25">
      <c r="A279" s="86" t="s">
        <v>273</v>
      </c>
      <c r="B279">
        <v>9</v>
      </c>
      <c r="C279">
        <v>75</v>
      </c>
      <c r="D279" s="8" t="s">
        <v>10</v>
      </c>
      <c r="E279" s="8" t="s">
        <v>197</v>
      </c>
      <c r="F279" s="8" t="s">
        <v>197</v>
      </c>
      <c r="G279" s="8" t="s">
        <v>201</v>
      </c>
      <c r="H279" s="8" t="s">
        <v>194</v>
      </c>
      <c r="I279">
        <v>1</v>
      </c>
      <c r="J279">
        <v>1</v>
      </c>
      <c r="K279">
        <v>1</v>
      </c>
      <c r="L279">
        <v>1</v>
      </c>
      <c r="M279">
        <v>1</v>
      </c>
      <c r="N279">
        <v>1</v>
      </c>
      <c r="O279">
        <v>1</v>
      </c>
      <c r="P279">
        <v>1</v>
      </c>
      <c r="Q279">
        <v>1</v>
      </c>
      <c r="R279">
        <v>1</v>
      </c>
      <c r="S279">
        <v>1</v>
      </c>
      <c r="T279">
        <v>1</v>
      </c>
      <c r="U279">
        <v>1</v>
      </c>
      <c r="V279">
        <v>1</v>
      </c>
      <c r="W279">
        <v>1</v>
      </c>
      <c r="X279">
        <v>1</v>
      </c>
      <c r="Y279">
        <v>1</v>
      </c>
      <c r="Z279">
        <v>1</v>
      </c>
      <c r="AA279">
        <v>1</v>
      </c>
      <c r="AB279">
        <v>1</v>
      </c>
      <c r="AC279">
        <v>1</v>
      </c>
      <c r="AD279">
        <v>1</v>
      </c>
      <c r="AE279">
        <v>1</v>
      </c>
      <c r="AF279">
        <v>1</v>
      </c>
      <c r="AG279">
        <v>1</v>
      </c>
      <c r="AH279">
        <v>1</v>
      </c>
      <c r="AI279">
        <v>1</v>
      </c>
      <c r="AJ279">
        <v>1</v>
      </c>
      <c r="AK279">
        <v>1</v>
      </c>
      <c r="AL279">
        <v>1</v>
      </c>
      <c r="AM279">
        <v>1</v>
      </c>
      <c r="AN279">
        <v>1</v>
      </c>
      <c r="AO279">
        <v>1</v>
      </c>
      <c r="AP279">
        <v>1</v>
      </c>
      <c r="AQ279">
        <v>1</v>
      </c>
      <c r="AR279">
        <v>1</v>
      </c>
      <c r="AS279">
        <v>1</v>
      </c>
      <c r="AT279">
        <v>1</v>
      </c>
      <c r="AU279">
        <v>1</v>
      </c>
      <c r="AV279">
        <v>1</v>
      </c>
      <c r="AW279">
        <v>1</v>
      </c>
      <c r="AX279">
        <v>1</v>
      </c>
      <c r="AY279">
        <v>1</v>
      </c>
      <c r="AZ279">
        <v>1</v>
      </c>
      <c r="BA279">
        <v>1</v>
      </c>
      <c r="BB279">
        <v>1</v>
      </c>
      <c r="BC279">
        <v>1</v>
      </c>
      <c r="BD279">
        <v>1</v>
      </c>
      <c r="BE279">
        <v>1</v>
      </c>
      <c r="BF279">
        <v>1</v>
      </c>
      <c r="BG279">
        <v>1</v>
      </c>
      <c r="BI279">
        <v>1</v>
      </c>
      <c r="BJ279">
        <v>1</v>
      </c>
      <c r="BK279">
        <v>1</v>
      </c>
      <c r="BL279">
        <v>1</v>
      </c>
      <c r="BM279">
        <v>1</v>
      </c>
      <c r="BN279">
        <v>1</v>
      </c>
      <c r="BO279">
        <v>1</v>
      </c>
      <c r="BP279">
        <v>1</v>
      </c>
      <c r="BQ279">
        <v>1</v>
      </c>
      <c r="BR279">
        <v>1</v>
      </c>
      <c r="BS279">
        <v>1</v>
      </c>
      <c r="BT279">
        <v>1</v>
      </c>
      <c r="BV279">
        <v>1</v>
      </c>
      <c r="BW279">
        <v>1</v>
      </c>
      <c r="BX279">
        <v>1</v>
      </c>
      <c r="BY279">
        <v>1</v>
      </c>
      <c r="BZ279">
        <v>1</v>
      </c>
      <c r="CA279">
        <v>1</v>
      </c>
      <c r="CB279">
        <v>1</v>
      </c>
      <c r="CC279">
        <v>1</v>
      </c>
      <c r="CD279">
        <v>1</v>
      </c>
      <c r="CE279">
        <v>1</v>
      </c>
      <c r="CI279">
        <v>1</v>
      </c>
      <c r="CJ279">
        <v>1</v>
      </c>
      <c r="CK279">
        <v>1</v>
      </c>
      <c r="CL279">
        <v>1</v>
      </c>
      <c r="CM279">
        <v>1</v>
      </c>
      <c r="CN279">
        <v>1</v>
      </c>
      <c r="CO279">
        <v>1</v>
      </c>
      <c r="CP279">
        <v>1</v>
      </c>
      <c r="CQ279">
        <v>1</v>
      </c>
      <c r="CR279">
        <v>1</v>
      </c>
      <c r="CV279">
        <v>1</v>
      </c>
      <c r="CW279">
        <v>1</v>
      </c>
      <c r="CZ279">
        <v>1</v>
      </c>
      <c r="DA279">
        <v>1</v>
      </c>
      <c r="DB279">
        <v>1</v>
      </c>
      <c r="DC279">
        <v>1</v>
      </c>
      <c r="DD279">
        <v>1</v>
      </c>
      <c r="DE279">
        <v>1</v>
      </c>
      <c r="DF279">
        <v>1</v>
      </c>
      <c r="DI279">
        <v>1</v>
      </c>
      <c r="DJ279">
        <v>1</v>
      </c>
      <c r="DQ279">
        <v>1</v>
      </c>
      <c r="DR279">
        <v>1</v>
      </c>
      <c r="DS279">
        <v>1</v>
      </c>
      <c r="DV279">
        <v>1</v>
      </c>
      <c r="DW279">
        <v>1</v>
      </c>
      <c r="EE279">
        <v>1</v>
      </c>
      <c r="EF279">
        <v>1</v>
      </c>
      <c r="EG279">
        <v>1</v>
      </c>
      <c r="EI279">
        <v>1</v>
      </c>
      <c r="ES279">
        <v>1</v>
      </c>
      <c r="ET279">
        <v>1</v>
      </c>
      <c r="EV279">
        <v>1</v>
      </c>
      <c r="FG279">
        <v>1</v>
      </c>
      <c r="FI279">
        <v>1</v>
      </c>
      <c r="FU279">
        <v>1</v>
      </c>
      <c r="FV279" s="18">
        <f t="shared" si="583"/>
        <v>0.54751131221719462</v>
      </c>
    </row>
    <row r="280" spans="1:178" ht="14.25" customHeight="1" x14ac:dyDescent="0.25">
      <c r="A280" s="86" t="s">
        <v>273</v>
      </c>
      <c r="B280">
        <v>9</v>
      </c>
      <c r="C280">
        <v>75</v>
      </c>
      <c r="D280" s="8" t="s">
        <v>15</v>
      </c>
      <c r="E280" s="8" t="s">
        <v>197</v>
      </c>
      <c r="F280" s="8" t="s">
        <v>197</v>
      </c>
      <c r="G280" s="8" t="s">
        <v>201</v>
      </c>
      <c r="H280" s="8" t="s">
        <v>194</v>
      </c>
      <c r="I280">
        <v>1</v>
      </c>
      <c r="J280">
        <v>1</v>
      </c>
      <c r="K280">
        <v>1</v>
      </c>
      <c r="L280">
        <v>1</v>
      </c>
      <c r="M280">
        <v>1</v>
      </c>
      <c r="N280">
        <v>1</v>
      </c>
      <c r="O280">
        <v>1</v>
      </c>
      <c r="P280">
        <v>1</v>
      </c>
      <c r="Q280">
        <v>1</v>
      </c>
      <c r="R280">
        <v>1</v>
      </c>
      <c r="S280">
        <v>1</v>
      </c>
      <c r="T280">
        <v>1</v>
      </c>
      <c r="V280">
        <v>1</v>
      </c>
      <c r="W280">
        <v>1</v>
      </c>
      <c r="X280">
        <v>1</v>
      </c>
      <c r="Y280">
        <v>1</v>
      </c>
      <c r="Z280">
        <v>1</v>
      </c>
      <c r="AA280">
        <v>1</v>
      </c>
      <c r="AI280">
        <v>1</v>
      </c>
      <c r="AJ280">
        <v>1</v>
      </c>
      <c r="AK280">
        <v>1</v>
      </c>
      <c r="AL280">
        <v>1</v>
      </c>
      <c r="AM280">
        <v>1</v>
      </c>
      <c r="AN280">
        <v>1</v>
      </c>
      <c r="AV280">
        <v>1</v>
      </c>
      <c r="AY280">
        <v>1</v>
      </c>
      <c r="AZ280">
        <v>1</v>
      </c>
      <c r="BM280">
        <v>1</v>
      </c>
      <c r="BN280">
        <v>1</v>
      </c>
      <c r="CA280">
        <v>1</v>
      </c>
      <c r="CO280">
        <v>1</v>
      </c>
      <c r="DC280">
        <v>1</v>
      </c>
      <c r="DQ280">
        <v>1</v>
      </c>
      <c r="FV280" s="18">
        <f t="shared" si="583"/>
        <v>0.13725490196078433</v>
      </c>
    </row>
    <row r="281" spans="1:178" ht="14.25" customHeight="1" x14ac:dyDescent="0.25">
      <c r="A281" s="86" t="s">
        <v>273</v>
      </c>
      <c r="B281">
        <v>9</v>
      </c>
      <c r="C281">
        <v>75</v>
      </c>
      <c r="D281" s="8" t="s">
        <v>242</v>
      </c>
      <c r="E281" s="8" t="s">
        <v>197</v>
      </c>
      <c r="F281" s="8" t="s">
        <v>197</v>
      </c>
      <c r="G281" s="8" t="s">
        <v>201</v>
      </c>
      <c r="H281" s="8" t="s">
        <v>194</v>
      </c>
      <c r="I281">
        <v>1</v>
      </c>
      <c r="J281">
        <v>1</v>
      </c>
      <c r="K281">
        <v>1</v>
      </c>
      <c r="L281">
        <v>1</v>
      </c>
      <c r="M281">
        <v>1</v>
      </c>
      <c r="N281">
        <v>1</v>
      </c>
      <c r="O281">
        <v>1</v>
      </c>
      <c r="P281">
        <v>1</v>
      </c>
      <c r="Q281">
        <v>1</v>
      </c>
      <c r="R281">
        <v>1</v>
      </c>
      <c r="S281">
        <v>1</v>
      </c>
      <c r="T281">
        <v>1</v>
      </c>
      <c r="V281">
        <v>1</v>
      </c>
      <c r="W281">
        <v>1</v>
      </c>
      <c r="X281">
        <v>1</v>
      </c>
      <c r="Y281">
        <v>1</v>
      </c>
      <c r="Z281">
        <v>1</v>
      </c>
      <c r="AA281">
        <v>1</v>
      </c>
      <c r="AB281">
        <v>1</v>
      </c>
      <c r="AI281">
        <v>1</v>
      </c>
      <c r="AJ281">
        <v>1</v>
      </c>
      <c r="AK281">
        <v>1</v>
      </c>
      <c r="AL281">
        <v>1</v>
      </c>
      <c r="AM281">
        <v>1</v>
      </c>
      <c r="AN281">
        <v>1</v>
      </c>
      <c r="AV281">
        <v>1</v>
      </c>
      <c r="AY281">
        <v>1</v>
      </c>
      <c r="AZ281">
        <v>1</v>
      </c>
      <c r="BA281">
        <v>1</v>
      </c>
      <c r="BI281">
        <v>1</v>
      </c>
      <c r="BM281">
        <v>1</v>
      </c>
      <c r="BN281">
        <v>1</v>
      </c>
      <c r="BO281">
        <v>1</v>
      </c>
      <c r="CA281">
        <v>1</v>
      </c>
      <c r="CB281">
        <v>1</v>
      </c>
      <c r="CO281">
        <v>1</v>
      </c>
      <c r="DC281">
        <v>1</v>
      </c>
      <c r="DQ281">
        <v>1</v>
      </c>
      <c r="EE281">
        <v>1</v>
      </c>
      <c r="FV281" s="18">
        <f t="shared" ref="FV281:FV286" si="586">SUMPRODUCT(I281:FU281,$I$1:$FU$1)/(SUM($I$1:$FU$1))</f>
        <v>0.16289592760180996</v>
      </c>
    </row>
    <row r="282" spans="1:178" ht="14.25" customHeight="1" x14ac:dyDescent="0.25">
      <c r="A282" s="86" t="s">
        <v>273</v>
      </c>
      <c r="B282">
        <v>9</v>
      </c>
      <c r="C282">
        <v>75</v>
      </c>
      <c r="D282" s="8" t="s">
        <v>14</v>
      </c>
      <c r="E282" s="8" t="s">
        <v>197</v>
      </c>
      <c r="F282" s="8" t="s">
        <v>197</v>
      </c>
      <c r="G282" s="8" t="s">
        <v>201</v>
      </c>
      <c r="H282" s="8" t="s">
        <v>194</v>
      </c>
      <c r="I282">
        <v>1</v>
      </c>
      <c r="J282">
        <v>1</v>
      </c>
      <c r="K282">
        <v>1</v>
      </c>
      <c r="L282">
        <v>1</v>
      </c>
      <c r="M282">
        <v>1</v>
      </c>
      <c r="N282">
        <v>1</v>
      </c>
      <c r="O282">
        <v>1</v>
      </c>
      <c r="P282">
        <v>1</v>
      </c>
      <c r="Q282">
        <v>1</v>
      </c>
      <c r="R282">
        <v>1</v>
      </c>
      <c r="S282">
        <v>1</v>
      </c>
      <c r="T282">
        <v>1</v>
      </c>
      <c r="U282">
        <v>1</v>
      </c>
      <c r="V282">
        <v>1</v>
      </c>
      <c r="W282">
        <v>1</v>
      </c>
      <c r="X282">
        <v>1</v>
      </c>
      <c r="Y282">
        <v>1</v>
      </c>
      <c r="Z282">
        <v>1</v>
      </c>
      <c r="AA282">
        <v>1</v>
      </c>
      <c r="AB282">
        <v>1</v>
      </c>
      <c r="AI282">
        <v>1</v>
      </c>
      <c r="AJ282">
        <v>1</v>
      </c>
      <c r="AK282">
        <v>1</v>
      </c>
      <c r="AL282">
        <v>1</v>
      </c>
      <c r="AM282">
        <v>1</v>
      </c>
      <c r="AN282">
        <v>1</v>
      </c>
      <c r="AV282">
        <v>1</v>
      </c>
      <c r="AW282">
        <v>1</v>
      </c>
      <c r="AY282">
        <v>1</v>
      </c>
      <c r="AZ282">
        <v>1</v>
      </c>
      <c r="BA282">
        <v>1</v>
      </c>
      <c r="BI282">
        <v>1</v>
      </c>
      <c r="BJ282">
        <v>1</v>
      </c>
      <c r="BM282">
        <v>1</v>
      </c>
      <c r="BN282">
        <v>1</v>
      </c>
      <c r="BO282">
        <v>1</v>
      </c>
      <c r="CA282">
        <v>1</v>
      </c>
      <c r="CB282">
        <v>1</v>
      </c>
      <c r="CO282">
        <v>1</v>
      </c>
      <c r="DC282">
        <v>1</v>
      </c>
      <c r="DD282">
        <v>1</v>
      </c>
      <c r="DQ282">
        <v>1</v>
      </c>
      <c r="EE282">
        <v>1</v>
      </c>
      <c r="ES282">
        <v>1</v>
      </c>
      <c r="FV282" s="18">
        <f t="shared" si="586"/>
        <v>0.19155354449472098</v>
      </c>
    </row>
    <row r="283" spans="1:178" ht="14.25" customHeight="1" x14ac:dyDescent="0.25">
      <c r="A283" s="86" t="s">
        <v>273</v>
      </c>
      <c r="B283">
        <v>9</v>
      </c>
      <c r="C283">
        <v>75</v>
      </c>
      <c r="D283" s="8" t="s">
        <v>13</v>
      </c>
      <c r="E283" s="8" t="s">
        <v>197</v>
      </c>
      <c r="F283" s="8" t="s">
        <v>197</v>
      </c>
      <c r="G283" s="8" t="s">
        <v>201</v>
      </c>
      <c r="H283" s="8" t="s">
        <v>194</v>
      </c>
      <c r="I283">
        <v>1</v>
      </c>
      <c r="J283">
        <v>1</v>
      </c>
      <c r="K283">
        <v>1</v>
      </c>
      <c r="L283">
        <v>1</v>
      </c>
      <c r="M283">
        <v>1</v>
      </c>
      <c r="N283">
        <v>1</v>
      </c>
      <c r="O283">
        <v>1</v>
      </c>
      <c r="P283">
        <v>1</v>
      </c>
      <c r="Q283">
        <v>1</v>
      </c>
      <c r="R283">
        <v>1</v>
      </c>
      <c r="S283">
        <v>1</v>
      </c>
      <c r="T283">
        <v>1</v>
      </c>
      <c r="U283">
        <v>1</v>
      </c>
      <c r="V283">
        <v>1</v>
      </c>
      <c r="W283">
        <v>1</v>
      </c>
      <c r="X283">
        <v>1</v>
      </c>
      <c r="Y283">
        <v>1</v>
      </c>
      <c r="Z283">
        <v>1</v>
      </c>
      <c r="AA283">
        <v>1</v>
      </c>
      <c r="AB283">
        <v>1</v>
      </c>
      <c r="AC283">
        <v>1</v>
      </c>
      <c r="AD283">
        <v>1</v>
      </c>
      <c r="AI283">
        <v>1</v>
      </c>
      <c r="AJ283">
        <v>1</v>
      </c>
      <c r="AK283">
        <v>1</v>
      </c>
      <c r="AL283">
        <v>1</v>
      </c>
      <c r="AM283">
        <v>1</v>
      </c>
      <c r="AN283">
        <v>1</v>
      </c>
      <c r="AV283">
        <v>1</v>
      </c>
      <c r="AW283">
        <v>1</v>
      </c>
      <c r="AX283">
        <v>1</v>
      </c>
      <c r="AY283">
        <v>1</v>
      </c>
      <c r="AZ283">
        <v>1</v>
      </c>
      <c r="BA283">
        <v>1</v>
      </c>
      <c r="BB283">
        <v>1</v>
      </c>
      <c r="BI283">
        <v>1</v>
      </c>
      <c r="BJ283">
        <v>1</v>
      </c>
      <c r="BK283">
        <v>1</v>
      </c>
      <c r="BM283">
        <v>1</v>
      </c>
      <c r="BN283">
        <v>1</v>
      </c>
      <c r="BO283">
        <v>1</v>
      </c>
      <c r="BV283">
        <v>1</v>
      </c>
      <c r="CA283">
        <v>1</v>
      </c>
      <c r="CB283">
        <v>1</v>
      </c>
      <c r="CO283">
        <v>1</v>
      </c>
      <c r="CP283">
        <v>1</v>
      </c>
      <c r="DC283">
        <v>1</v>
      </c>
      <c r="DD283">
        <v>1</v>
      </c>
      <c r="DQ283">
        <v>1</v>
      </c>
      <c r="EE283">
        <v>1</v>
      </c>
      <c r="ES283">
        <v>1</v>
      </c>
      <c r="FG283">
        <v>1</v>
      </c>
      <c r="FV283" s="18">
        <f t="shared" si="586"/>
        <v>0.23529411764705882</v>
      </c>
    </row>
    <row r="284" spans="1:178" ht="14.25" customHeight="1" x14ac:dyDescent="0.25">
      <c r="A284" s="86" t="s">
        <v>273</v>
      </c>
      <c r="B284">
        <v>9</v>
      </c>
      <c r="C284">
        <v>75</v>
      </c>
      <c r="D284" s="8" t="s">
        <v>12</v>
      </c>
      <c r="E284" s="8" t="s">
        <v>197</v>
      </c>
      <c r="F284" s="8" t="s">
        <v>197</v>
      </c>
      <c r="G284" s="8" t="s">
        <v>201</v>
      </c>
      <c r="H284" s="8" t="s">
        <v>194</v>
      </c>
      <c r="I284">
        <v>1</v>
      </c>
      <c r="J284">
        <v>1</v>
      </c>
      <c r="K284">
        <v>1</v>
      </c>
      <c r="L284">
        <v>1</v>
      </c>
      <c r="M284">
        <v>1</v>
      </c>
      <c r="N284">
        <v>1</v>
      </c>
      <c r="O284">
        <v>1</v>
      </c>
      <c r="P284">
        <v>1</v>
      </c>
      <c r="Q284">
        <v>1</v>
      </c>
      <c r="R284">
        <v>1</v>
      </c>
      <c r="S284">
        <v>1</v>
      </c>
      <c r="T284">
        <v>1</v>
      </c>
      <c r="U284">
        <v>1</v>
      </c>
      <c r="V284">
        <v>1</v>
      </c>
      <c r="W284">
        <v>1</v>
      </c>
      <c r="X284">
        <v>1</v>
      </c>
      <c r="Y284">
        <v>1</v>
      </c>
      <c r="Z284">
        <v>1</v>
      </c>
      <c r="AA284">
        <v>1</v>
      </c>
      <c r="AB284">
        <v>1</v>
      </c>
      <c r="AC284">
        <v>1</v>
      </c>
      <c r="AD284">
        <v>1</v>
      </c>
      <c r="AE284">
        <v>1</v>
      </c>
      <c r="AF284">
        <v>1</v>
      </c>
      <c r="AI284">
        <v>1</v>
      </c>
      <c r="AJ284">
        <v>1</v>
      </c>
      <c r="AK284">
        <v>1</v>
      </c>
      <c r="AL284">
        <v>1</v>
      </c>
      <c r="AM284">
        <v>1</v>
      </c>
      <c r="AN284">
        <v>1</v>
      </c>
      <c r="AO284">
        <v>1</v>
      </c>
      <c r="AV284">
        <v>1</v>
      </c>
      <c r="AW284">
        <v>1</v>
      </c>
      <c r="AX284">
        <v>1</v>
      </c>
      <c r="AY284">
        <v>1</v>
      </c>
      <c r="AZ284">
        <v>1</v>
      </c>
      <c r="BA284">
        <v>1</v>
      </c>
      <c r="BB284">
        <v>1</v>
      </c>
      <c r="BI284">
        <v>1</v>
      </c>
      <c r="BJ284">
        <v>1</v>
      </c>
      <c r="BK284">
        <v>1</v>
      </c>
      <c r="BL284">
        <v>1</v>
      </c>
      <c r="BM284">
        <v>1</v>
      </c>
      <c r="BN284">
        <v>1</v>
      </c>
      <c r="BO284">
        <v>1</v>
      </c>
      <c r="BP284">
        <v>1</v>
      </c>
      <c r="BV284">
        <v>1</v>
      </c>
      <c r="CA284">
        <v>1</v>
      </c>
      <c r="CB284">
        <v>1</v>
      </c>
      <c r="CC284">
        <v>1</v>
      </c>
      <c r="CI284">
        <v>1</v>
      </c>
      <c r="CO284">
        <v>1</v>
      </c>
      <c r="CP284">
        <v>1</v>
      </c>
      <c r="DC284">
        <v>1</v>
      </c>
      <c r="DD284">
        <v>1</v>
      </c>
      <c r="DQ284">
        <v>1</v>
      </c>
      <c r="DR284">
        <v>1</v>
      </c>
      <c r="EE284">
        <v>1</v>
      </c>
      <c r="EF284">
        <v>1</v>
      </c>
      <c r="ES284">
        <v>1</v>
      </c>
      <c r="FG284">
        <v>1</v>
      </c>
      <c r="FU284">
        <v>1</v>
      </c>
      <c r="FV284" s="18">
        <f t="shared" si="586"/>
        <v>0.27903469079939669</v>
      </c>
    </row>
    <row r="285" spans="1:178" ht="14.25" customHeight="1" x14ac:dyDescent="0.25">
      <c r="A285" s="86" t="s">
        <v>273</v>
      </c>
      <c r="B285">
        <v>9</v>
      </c>
      <c r="C285">
        <v>75</v>
      </c>
      <c r="D285" s="8" t="s">
        <v>11</v>
      </c>
      <c r="E285" s="8" t="s">
        <v>197</v>
      </c>
      <c r="F285" s="8" t="s">
        <v>197</v>
      </c>
      <c r="G285" s="8" t="s">
        <v>201</v>
      </c>
      <c r="H285" s="8" t="s">
        <v>194</v>
      </c>
      <c r="I285">
        <v>1</v>
      </c>
      <c r="J285">
        <v>1</v>
      </c>
      <c r="K285">
        <v>1</v>
      </c>
      <c r="L285">
        <v>1</v>
      </c>
      <c r="M285">
        <v>1</v>
      </c>
      <c r="N285">
        <v>1</v>
      </c>
      <c r="O285">
        <v>1</v>
      </c>
      <c r="P285">
        <v>1</v>
      </c>
      <c r="Q285">
        <v>1</v>
      </c>
      <c r="R285">
        <v>1</v>
      </c>
      <c r="S285">
        <v>1</v>
      </c>
      <c r="T285">
        <v>1</v>
      </c>
      <c r="U285">
        <v>1</v>
      </c>
      <c r="V285">
        <v>1</v>
      </c>
      <c r="W285">
        <v>1</v>
      </c>
      <c r="X285">
        <v>1</v>
      </c>
      <c r="Y285">
        <v>1</v>
      </c>
      <c r="Z285">
        <v>1</v>
      </c>
      <c r="AA285">
        <v>1</v>
      </c>
      <c r="AB285">
        <v>1</v>
      </c>
      <c r="AC285">
        <v>1</v>
      </c>
      <c r="AD285">
        <v>1</v>
      </c>
      <c r="AE285">
        <v>1</v>
      </c>
      <c r="AF285">
        <v>1</v>
      </c>
      <c r="AG285">
        <v>1</v>
      </c>
      <c r="AH285">
        <v>1</v>
      </c>
      <c r="AI285">
        <v>1</v>
      </c>
      <c r="AJ285">
        <v>1</v>
      </c>
      <c r="AK285">
        <v>1</v>
      </c>
      <c r="AL285">
        <v>1</v>
      </c>
      <c r="AM285">
        <v>1</v>
      </c>
      <c r="AN285">
        <v>1</v>
      </c>
      <c r="AO285">
        <v>1</v>
      </c>
      <c r="AP285">
        <v>1</v>
      </c>
      <c r="AQ285">
        <v>1</v>
      </c>
      <c r="AR285">
        <v>1</v>
      </c>
      <c r="AV285">
        <v>1</v>
      </c>
      <c r="AW285">
        <v>1</v>
      </c>
      <c r="AX285">
        <v>1</v>
      </c>
      <c r="AY285">
        <v>1</v>
      </c>
      <c r="AZ285">
        <v>1</v>
      </c>
      <c r="BA285">
        <v>1</v>
      </c>
      <c r="BB285">
        <v>1</v>
      </c>
      <c r="BC285">
        <v>1</v>
      </c>
      <c r="BI285">
        <v>1</v>
      </c>
      <c r="BJ285">
        <v>1</v>
      </c>
      <c r="BK285">
        <v>1</v>
      </c>
      <c r="BL285">
        <v>1</v>
      </c>
      <c r="BM285">
        <v>1</v>
      </c>
      <c r="BN285">
        <v>1</v>
      </c>
      <c r="BO285">
        <v>1</v>
      </c>
      <c r="BP285">
        <v>1</v>
      </c>
      <c r="BQ285">
        <v>1</v>
      </c>
      <c r="BV285">
        <v>1</v>
      </c>
      <c r="BW285">
        <v>1</v>
      </c>
      <c r="BX285">
        <v>1</v>
      </c>
      <c r="BY285">
        <v>1</v>
      </c>
      <c r="BZ285">
        <v>1</v>
      </c>
      <c r="CA285">
        <v>1</v>
      </c>
      <c r="CB285">
        <v>1</v>
      </c>
      <c r="CC285">
        <v>1</v>
      </c>
      <c r="CD285">
        <v>1</v>
      </c>
      <c r="CI285">
        <v>1</v>
      </c>
      <c r="CO285">
        <v>1</v>
      </c>
      <c r="CP285">
        <v>1</v>
      </c>
      <c r="CQ285">
        <v>1</v>
      </c>
      <c r="CV285">
        <v>1</v>
      </c>
      <c r="DC285">
        <v>1</v>
      </c>
      <c r="DD285">
        <v>1</v>
      </c>
      <c r="DE285">
        <v>1</v>
      </c>
      <c r="DI285">
        <v>1</v>
      </c>
      <c r="DQ285">
        <v>1</v>
      </c>
      <c r="DR285">
        <v>1</v>
      </c>
      <c r="DV285">
        <v>1</v>
      </c>
      <c r="EE285">
        <v>1</v>
      </c>
      <c r="EF285">
        <v>1</v>
      </c>
      <c r="ES285">
        <v>1</v>
      </c>
      <c r="FG285">
        <v>1</v>
      </c>
      <c r="FU285">
        <v>1</v>
      </c>
      <c r="FV285" s="18">
        <f t="shared" si="586"/>
        <v>0.37254901960784315</v>
      </c>
    </row>
    <row r="286" spans="1:178" ht="14.25" customHeight="1" x14ac:dyDescent="0.25">
      <c r="A286" s="86" t="s">
        <v>273</v>
      </c>
      <c r="B286">
        <v>9</v>
      </c>
      <c r="C286">
        <v>75</v>
      </c>
      <c r="D286" s="8" t="s">
        <v>9</v>
      </c>
      <c r="E286" s="8" t="s">
        <v>197</v>
      </c>
      <c r="F286" s="8" t="s">
        <v>197</v>
      </c>
      <c r="G286" s="8" t="s">
        <v>201</v>
      </c>
      <c r="H286" s="8" t="s">
        <v>194</v>
      </c>
      <c r="L286">
        <v>1</v>
      </c>
      <c r="M286">
        <v>1</v>
      </c>
      <c r="N286">
        <v>1</v>
      </c>
      <c r="R286">
        <v>1</v>
      </c>
      <c r="X286">
        <v>1</v>
      </c>
      <c r="Y286">
        <v>1</v>
      </c>
      <c r="Z286">
        <v>1</v>
      </c>
      <c r="AI286">
        <v>1</v>
      </c>
      <c r="AK286">
        <v>1</v>
      </c>
      <c r="AM286">
        <v>1</v>
      </c>
      <c r="AV286">
        <v>1</v>
      </c>
      <c r="AY286">
        <v>1</v>
      </c>
      <c r="BA286">
        <v>1</v>
      </c>
      <c r="BG286">
        <v>1</v>
      </c>
      <c r="BH286">
        <v>1</v>
      </c>
      <c r="BJ286">
        <v>1</v>
      </c>
      <c r="BM286">
        <v>1</v>
      </c>
      <c r="BR286">
        <v>1</v>
      </c>
      <c r="BS286">
        <v>1</v>
      </c>
      <c r="CD286">
        <v>1</v>
      </c>
      <c r="CM286">
        <v>1</v>
      </c>
      <c r="CN286">
        <v>1</v>
      </c>
      <c r="CQ286">
        <v>1</v>
      </c>
      <c r="CY286">
        <v>1</v>
      </c>
      <c r="DB286">
        <v>1</v>
      </c>
      <c r="DE286">
        <v>1</v>
      </c>
      <c r="DJ286">
        <v>1</v>
      </c>
      <c r="DK286">
        <v>1</v>
      </c>
      <c r="DS286">
        <v>1</v>
      </c>
      <c r="EG286">
        <v>1</v>
      </c>
      <c r="EH286">
        <v>1</v>
      </c>
      <c r="ET286">
        <v>1</v>
      </c>
      <c r="FV286" s="18">
        <f t="shared" si="586"/>
        <v>0.15535444947209653</v>
      </c>
    </row>
    <row r="287" spans="1:178" ht="14.25" customHeight="1" x14ac:dyDescent="0.25">
      <c r="A287" s="86" t="s">
        <v>273</v>
      </c>
      <c r="B287">
        <v>9</v>
      </c>
      <c r="C287">
        <v>75</v>
      </c>
      <c r="D287" s="8" t="s">
        <v>9</v>
      </c>
      <c r="E287" s="8" t="s">
        <v>197</v>
      </c>
      <c r="F287" s="8" t="s">
        <v>197</v>
      </c>
      <c r="G287" s="8" t="s">
        <v>201</v>
      </c>
      <c r="H287" s="8" t="s">
        <v>195</v>
      </c>
      <c r="I287">
        <v>1</v>
      </c>
      <c r="J287">
        <v>1</v>
      </c>
      <c r="K287">
        <v>1</v>
      </c>
      <c r="O287">
        <v>1</v>
      </c>
      <c r="P287">
        <v>1</v>
      </c>
      <c r="Q287">
        <v>1</v>
      </c>
      <c r="S287">
        <v>1</v>
      </c>
      <c r="T287">
        <v>1</v>
      </c>
      <c r="U287">
        <v>1</v>
      </c>
      <c r="V287">
        <v>1</v>
      </c>
      <c r="W287">
        <v>1</v>
      </c>
      <c r="AA287">
        <v>1</v>
      </c>
      <c r="AB287">
        <v>1</v>
      </c>
      <c r="AC287">
        <v>1</v>
      </c>
      <c r="AD287">
        <v>1</v>
      </c>
      <c r="AE287">
        <v>1</v>
      </c>
      <c r="AF287">
        <v>1</v>
      </c>
      <c r="AG287">
        <v>1</v>
      </c>
      <c r="AH287">
        <v>1</v>
      </c>
      <c r="AJ287">
        <v>1</v>
      </c>
      <c r="AL287">
        <v>1</v>
      </c>
      <c r="AN287">
        <v>1</v>
      </c>
      <c r="AO287">
        <v>1</v>
      </c>
      <c r="AP287">
        <v>1</v>
      </c>
      <c r="AQ287">
        <v>1</v>
      </c>
      <c r="AR287">
        <v>1</v>
      </c>
      <c r="AS287">
        <v>1</v>
      </c>
      <c r="AT287">
        <v>1</v>
      </c>
      <c r="AU287">
        <v>1</v>
      </c>
      <c r="AW287">
        <v>1</v>
      </c>
      <c r="AX287">
        <v>1</v>
      </c>
      <c r="AZ287">
        <v>1</v>
      </c>
      <c r="BB287">
        <v>1</v>
      </c>
      <c r="BC287">
        <v>1</v>
      </c>
      <c r="BD287">
        <v>1</v>
      </c>
      <c r="BE287">
        <v>1</v>
      </c>
      <c r="BF287">
        <v>1</v>
      </c>
      <c r="BI287">
        <v>1</v>
      </c>
      <c r="BK287">
        <v>1</v>
      </c>
      <c r="BL287">
        <v>1</v>
      </c>
      <c r="BN287">
        <v>1</v>
      </c>
      <c r="BO287">
        <v>1</v>
      </c>
      <c r="BP287">
        <v>1</v>
      </c>
      <c r="BQ287">
        <v>1</v>
      </c>
      <c r="BT287">
        <v>1</v>
      </c>
      <c r="BU287">
        <v>1</v>
      </c>
      <c r="BV287">
        <v>1</v>
      </c>
      <c r="BW287">
        <v>1</v>
      </c>
      <c r="BX287">
        <v>1</v>
      </c>
      <c r="BY287">
        <v>1</v>
      </c>
      <c r="BZ287">
        <v>1</v>
      </c>
      <c r="CA287">
        <v>1</v>
      </c>
      <c r="CB287">
        <v>1</v>
      </c>
      <c r="CC287">
        <v>1</v>
      </c>
      <c r="CE287">
        <v>1</v>
      </c>
      <c r="CF287">
        <v>1</v>
      </c>
      <c r="CG287">
        <v>1</v>
      </c>
      <c r="CH287">
        <v>1</v>
      </c>
      <c r="CI287">
        <v>1</v>
      </c>
      <c r="CJ287">
        <v>1</v>
      </c>
      <c r="CK287">
        <v>1</v>
      </c>
      <c r="CL287">
        <v>1</v>
      </c>
      <c r="CO287">
        <v>1</v>
      </c>
      <c r="CP287">
        <v>1</v>
      </c>
      <c r="CR287">
        <v>1</v>
      </c>
      <c r="CS287">
        <v>1</v>
      </c>
      <c r="CT287">
        <v>1</v>
      </c>
      <c r="CU287">
        <v>1</v>
      </c>
      <c r="CV287">
        <v>1</v>
      </c>
      <c r="CW287">
        <v>1</v>
      </c>
      <c r="CX287">
        <v>1</v>
      </c>
      <c r="CZ287">
        <v>1</v>
      </c>
      <c r="DA287">
        <v>1</v>
      </c>
      <c r="DC287">
        <v>1</v>
      </c>
      <c r="DD287">
        <v>1</v>
      </c>
      <c r="DF287">
        <v>1</v>
      </c>
      <c r="DG287">
        <v>1</v>
      </c>
      <c r="DH287">
        <v>1</v>
      </c>
      <c r="DI287">
        <v>1</v>
      </c>
      <c r="DL287">
        <v>1</v>
      </c>
      <c r="DM287">
        <v>1</v>
      </c>
      <c r="DN287">
        <v>1</v>
      </c>
      <c r="DO287">
        <v>1</v>
      </c>
      <c r="DP287">
        <v>1</v>
      </c>
      <c r="DQ287">
        <v>1</v>
      </c>
      <c r="DR287">
        <v>1</v>
      </c>
      <c r="DT287">
        <v>1</v>
      </c>
      <c r="DU287">
        <v>1</v>
      </c>
      <c r="DV287">
        <v>1</v>
      </c>
      <c r="DW287">
        <v>1</v>
      </c>
      <c r="DX287">
        <v>1</v>
      </c>
      <c r="DY287">
        <v>1</v>
      </c>
      <c r="DZ287">
        <v>1</v>
      </c>
      <c r="EA287">
        <v>1</v>
      </c>
      <c r="EB287">
        <v>1</v>
      </c>
      <c r="EC287">
        <v>1</v>
      </c>
      <c r="ED287">
        <v>1</v>
      </c>
      <c r="EE287">
        <v>1</v>
      </c>
      <c r="EF287">
        <v>1</v>
      </c>
      <c r="EI287">
        <v>1</v>
      </c>
      <c r="EJ287">
        <v>1</v>
      </c>
      <c r="EK287">
        <v>1</v>
      </c>
      <c r="EL287">
        <v>1</v>
      </c>
      <c r="EM287">
        <v>1</v>
      </c>
      <c r="EQ287">
        <v>1</v>
      </c>
      <c r="ER287">
        <v>1</v>
      </c>
      <c r="ES287">
        <v>1</v>
      </c>
      <c r="EU287">
        <v>1</v>
      </c>
      <c r="EV287">
        <v>1</v>
      </c>
      <c r="EW287">
        <v>1</v>
      </c>
      <c r="EX287">
        <v>1</v>
      </c>
      <c r="EY287">
        <v>1</v>
      </c>
      <c r="EZ287">
        <v>1</v>
      </c>
      <c r="FG287">
        <v>1</v>
      </c>
      <c r="FH287">
        <v>1</v>
      </c>
      <c r="FI287">
        <v>1</v>
      </c>
      <c r="FJ287">
        <v>1</v>
      </c>
      <c r="FK287">
        <v>1</v>
      </c>
      <c r="FL287">
        <v>1</v>
      </c>
      <c r="FU287">
        <v>1</v>
      </c>
      <c r="FV287" s="18">
        <f t="shared" si="583"/>
        <v>0.69079939668174961</v>
      </c>
    </row>
    <row r="288" spans="1:178" ht="14.25" customHeight="1" x14ac:dyDescent="0.25">
      <c r="A288" s="86" t="s">
        <v>273</v>
      </c>
      <c r="B288">
        <v>9</v>
      </c>
      <c r="C288">
        <v>75</v>
      </c>
      <c r="D288" s="22" t="s">
        <v>242</v>
      </c>
      <c r="E288" s="21" t="s">
        <v>15</v>
      </c>
      <c r="F288" s="8" t="s">
        <v>197</v>
      </c>
      <c r="G288" s="8" t="s">
        <v>201</v>
      </c>
      <c r="H288" s="20" t="s">
        <v>194</v>
      </c>
      <c r="I288">
        <v>1</v>
      </c>
      <c r="J288">
        <v>1</v>
      </c>
      <c r="R288">
        <v>1</v>
      </c>
      <c r="V288">
        <v>1</v>
      </c>
      <c r="W288">
        <v>1</v>
      </c>
      <c r="X288">
        <v>1</v>
      </c>
      <c r="Z288">
        <v>1</v>
      </c>
      <c r="AA288">
        <v>1</v>
      </c>
      <c r="AI288">
        <v>1</v>
      </c>
      <c r="AJ288">
        <v>1</v>
      </c>
      <c r="AK288">
        <v>1</v>
      </c>
      <c r="FV288" s="18">
        <f t="shared" si="583"/>
        <v>5.5806938159879339E-2</v>
      </c>
    </row>
    <row r="289" spans="1:178" ht="14.25" customHeight="1" x14ac:dyDescent="0.25">
      <c r="A289" s="86" t="s">
        <v>273</v>
      </c>
      <c r="B289">
        <v>9</v>
      </c>
      <c r="C289">
        <v>75</v>
      </c>
      <c r="D289" s="22" t="s">
        <v>242</v>
      </c>
      <c r="E289" s="21" t="s">
        <v>15</v>
      </c>
      <c r="F289" s="8" t="s">
        <v>197</v>
      </c>
      <c r="G289" s="8" t="s">
        <v>201</v>
      </c>
      <c r="H289" s="21" t="s">
        <v>195</v>
      </c>
      <c r="K289">
        <v>1</v>
      </c>
      <c r="L289">
        <v>1</v>
      </c>
      <c r="M289">
        <v>1</v>
      </c>
      <c r="Y289">
        <v>1</v>
      </c>
      <c r="AY289">
        <v>1</v>
      </c>
      <c r="BM289">
        <v>1</v>
      </c>
      <c r="CA289">
        <v>1</v>
      </c>
      <c r="CO289">
        <v>1</v>
      </c>
      <c r="FV289" s="18">
        <f t="shared" si="583"/>
        <v>3.0165912518853696E-2</v>
      </c>
    </row>
    <row r="290" spans="1:178" ht="14.25" customHeight="1" x14ac:dyDescent="0.25">
      <c r="A290" s="86" t="s">
        <v>273</v>
      </c>
      <c r="B290">
        <v>9</v>
      </c>
      <c r="C290">
        <v>75</v>
      </c>
      <c r="D290" s="22" t="s">
        <v>14</v>
      </c>
      <c r="E290" s="21" t="s">
        <v>15</v>
      </c>
      <c r="F290" s="8" t="s">
        <v>197</v>
      </c>
      <c r="G290" s="8" t="s">
        <v>201</v>
      </c>
      <c r="H290" s="20" t="s">
        <v>194</v>
      </c>
      <c r="I290">
        <v>1</v>
      </c>
      <c r="J290">
        <v>1</v>
      </c>
      <c r="R290">
        <v>1</v>
      </c>
      <c r="V290">
        <v>1</v>
      </c>
      <c r="W290">
        <v>1</v>
      </c>
      <c r="X290">
        <v>1</v>
      </c>
      <c r="Z290">
        <v>1</v>
      </c>
      <c r="AA290">
        <v>1</v>
      </c>
      <c r="AI290">
        <v>1</v>
      </c>
      <c r="AJ290">
        <v>1</v>
      </c>
      <c r="AK290">
        <v>1</v>
      </c>
      <c r="FV290" s="18">
        <f t="shared" ref="FV290:FV291" si="587">SUMPRODUCT(I290:FU290,$I$1:$FU$1)/(SUM($I$1:$FU$1))</f>
        <v>5.5806938159879339E-2</v>
      </c>
    </row>
    <row r="291" spans="1:178" ht="14.25" customHeight="1" x14ac:dyDescent="0.25">
      <c r="A291" s="86" t="s">
        <v>273</v>
      </c>
      <c r="B291">
        <v>9</v>
      </c>
      <c r="C291">
        <v>75</v>
      </c>
      <c r="D291" s="22" t="s">
        <v>14</v>
      </c>
      <c r="E291" s="21" t="s">
        <v>15</v>
      </c>
      <c r="F291" s="8" t="s">
        <v>197</v>
      </c>
      <c r="G291" s="8" t="s">
        <v>201</v>
      </c>
      <c r="H291" s="21" t="s">
        <v>195</v>
      </c>
      <c r="K291">
        <v>1</v>
      </c>
      <c r="L291">
        <v>1</v>
      </c>
      <c r="M291">
        <v>1</v>
      </c>
      <c r="Y291">
        <v>1</v>
      </c>
      <c r="AY291">
        <v>1</v>
      </c>
      <c r="BM291">
        <v>1</v>
      </c>
      <c r="CA291">
        <v>1</v>
      </c>
      <c r="CO291">
        <v>1</v>
      </c>
      <c r="FV291" s="18">
        <f t="shared" si="587"/>
        <v>3.0165912518853696E-2</v>
      </c>
    </row>
    <row r="292" spans="1:178" ht="14.25" customHeight="1" x14ac:dyDescent="0.25">
      <c r="A292" s="86" t="s">
        <v>273</v>
      </c>
      <c r="B292">
        <v>9</v>
      </c>
      <c r="C292">
        <v>75</v>
      </c>
      <c r="D292" s="22" t="s">
        <v>13</v>
      </c>
      <c r="E292" s="21" t="s">
        <v>15</v>
      </c>
      <c r="F292" s="8" t="s">
        <v>197</v>
      </c>
      <c r="G292" s="8" t="s">
        <v>201</v>
      </c>
      <c r="H292" s="20" t="s">
        <v>194</v>
      </c>
      <c r="I292">
        <v>1</v>
      </c>
      <c r="J292">
        <v>1</v>
      </c>
      <c r="S292">
        <v>1</v>
      </c>
      <c r="T292">
        <v>1</v>
      </c>
      <c r="V292">
        <v>1</v>
      </c>
      <c r="W292">
        <v>1</v>
      </c>
      <c r="Z292">
        <v>1</v>
      </c>
      <c r="AJ292">
        <v>1</v>
      </c>
      <c r="AK292">
        <v>1</v>
      </c>
      <c r="AV292">
        <v>1</v>
      </c>
      <c r="FV292" s="18">
        <f t="shared" si="583"/>
        <v>5.2790346907993967E-2</v>
      </c>
    </row>
    <row r="293" spans="1:178" ht="14.25" customHeight="1" x14ac:dyDescent="0.25">
      <c r="A293" s="86" t="s">
        <v>273</v>
      </c>
      <c r="B293">
        <v>9</v>
      </c>
      <c r="C293">
        <v>75</v>
      </c>
      <c r="D293" s="22" t="s">
        <v>13</v>
      </c>
      <c r="E293" s="21" t="s">
        <v>15</v>
      </c>
      <c r="F293" s="8" t="s">
        <v>197</v>
      </c>
      <c r="G293" s="8" t="s">
        <v>201</v>
      </c>
      <c r="H293" s="21" t="s">
        <v>195</v>
      </c>
      <c r="K293">
        <v>1</v>
      </c>
      <c r="L293">
        <v>1</v>
      </c>
      <c r="M293">
        <v>1</v>
      </c>
      <c r="N293">
        <v>1</v>
      </c>
      <c r="O293">
        <v>1</v>
      </c>
      <c r="R293">
        <v>1</v>
      </c>
      <c r="X293">
        <v>1</v>
      </c>
      <c r="Y293">
        <v>1</v>
      </c>
      <c r="AI293">
        <v>1</v>
      </c>
      <c r="AL293">
        <v>1</v>
      </c>
      <c r="AM293">
        <v>1</v>
      </c>
      <c r="AY293">
        <v>1</v>
      </c>
      <c r="AZ293">
        <v>1</v>
      </c>
      <c r="BM293">
        <v>1</v>
      </c>
      <c r="BN293">
        <v>1</v>
      </c>
      <c r="CA293">
        <v>1</v>
      </c>
      <c r="CB293">
        <v>1</v>
      </c>
      <c r="CO293">
        <v>1</v>
      </c>
      <c r="DC293">
        <v>1</v>
      </c>
      <c r="DQ293">
        <v>1</v>
      </c>
      <c r="EE293">
        <v>1</v>
      </c>
      <c r="ES293">
        <v>1</v>
      </c>
      <c r="FG293">
        <v>1</v>
      </c>
      <c r="FU293">
        <v>1</v>
      </c>
      <c r="FV293" s="18">
        <f t="shared" si="583"/>
        <v>9.3514328808446456E-2</v>
      </c>
    </row>
    <row r="294" spans="1:178" ht="14.25" customHeight="1" x14ac:dyDescent="0.25">
      <c r="A294" s="86" t="s">
        <v>273</v>
      </c>
      <c r="B294">
        <v>9</v>
      </c>
      <c r="C294">
        <v>75</v>
      </c>
      <c r="D294" s="22" t="s">
        <v>12</v>
      </c>
      <c r="E294" s="21" t="s">
        <v>15</v>
      </c>
      <c r="F294" s="8" t="s">
        <v>197</v>
      </c>
      <c r="G294" s="8" t="s">
        <v>201</v>
      </c>
      <c r="H294" s="20" t="s">
        <v>194</v>
      </c>
      <c r="I294">
        <v>1</v>
      </c>
      <c r="J294">
        <v>1</v>
      </c>
      <c r="S294">
        <v>1</v>
      </c>
      <c r="T294">
        <v>1</v>
      </c>
      <c r="V294">
        <v>1</v>
      </c>
      <c r="W294">
        <v>1</v>
      </c>
      <c r="Z294">
        <v>1</v>
      </c>
      <c r="AJ294">
        <v>1</v>
      </c>
      <c r="AK294">
        <v>1</v>
      </c>
      <c r="AV294">
        <v>1</v>
      </c>
      <c r="FV294" s="18">
        <f t="shared" ref="FV294:FV295" si="588">SUMPRODUCT(I294:FU294,$I$1:$FU$1)/(SUM($I$1:$FU$1))</f>
        <v>5.2790346907993967E-2</v>
      </c>
    </row>
    <row r="295" spans="1:178" ht="14.25" customHeight="1" x14ac:dyDescent="0.25">
      <c r="A295" s="86" t="s">
        <v>273</v>
      </c>
      <c r="B295">
        <v>9</v>
      </c>
      <c r="C295">
        <v>75</v>
      </c>
      <c r="D295" s="22" t="s">
        <v>12</v>
      </c>
      <c r="E295" s="21" t="s">
        <v>15</v>
      </c>
      <c r="F295" s="8" t="s">
        <v>197</v>
      </c>
      <c r="G295" s="8" t="s">
        <v>201</v>
      </c>
      <c r="H295" s="21" t="s">
        <v>195</v>
      </c>
      <c r="K295">
        <v>1</v>
      </c>
      <c r="L295">
        <v>1</v>
      </c>
      <c r="M295">
        <v>1</v>
      </c>
      <c r="N295">
        <v>1</v>
      </c>
      <c r="O295">
        <v>1</v>
      </c>
      <c r="R295">
        <v>1</v>
      </c>
      <c r="X295">
        <v>1</v>
      </c>
      <c r="Y295">
        <v>1</v>
      </c>
      <c r="AI295">
        <v>1</v>
      </c>
      <c r="AL295">
        <v>1</v>
      </c>
      <c r="AM295">
        <v>1</v>
      </c>
      <c r="AY295">
        <v>1</v>
      </c>
      <c r="AZ295">
        <v>1</v>
      </c>
      <c r="BM295">
        <v>1</v>
      </c>
      <c r="BN295">
        <v>1</v>
      </c>
      <c r="CA295">
        <v>1</v>
      </c>
      <c r="CB295">
        <v>1</v>
      </c>
      <c r="CO295">
        <v>1</v>
      </c>
      <c r="DC295">
        <v>1</v>
      </c>
      <c r="DQ295">
        <v>1</v>
      </c>
      <c r="EE295">
        <v>1</v>
      </c>
      <c r="ES295">
        <v>1</v>
      </c>
      <c r="FG295">
        <v>1</v>
      </c>
      <c r="FU295">
        <v>1</v>
      </c>
      <c r="FV295" s="18">
        <f t="shared" si="588"/>
        <v>9.3514328808446456E-2</v>
      </c>
    </row>
    <row r="296" spans="1:178" ht="14.25" customHeight="1" x14ac:dyDescent="0.25">
      <c r="A296" s="86" t="s">
        <v>273</v>
      </c>
      <c r="B296">
        <v>9</v>
      </c>
      <c r="C296">
        <v>75</v>
      </c>
      <c r="D296" s="22" t="s">
        <v>11</v>
      </c>
      <c r="E296" s="21" t="s">
        <v>15</v>
      </c>
      <c r="F296" s="8" t="s">
        <v>197</v>
      </c>
      <c r="G296" s="8" t="s">
        <v>201</v>
      </c>
      <c r="H296" s="20" t="s">
        <v>194</v>
      </c>
      <c r="I296">
        <v>1</v>
      </c>
      <c r="J296">
        <v>1</v>
      </c>
      <c r="S296">
        <v>1</v>
      </c>
      <c r="V296">
        <v>1</v>
      </c>
      <c r="W296">
        <v>1</v>
      </c>
      <c r="AA296">
        <v>1</v>
      </c>
      <c r="AB296">
        <v>1</v>
      </c>
      <c r="AJ296">
        <v>1</v>
      </c>
      <c r="AK296">
        <v>1</v>
      </c>
      <c r="BI296">
        <v>1</v>
      </c>
      <c r="FV296" s="18">
        <f t="shared" si="583"/>
        <v>5.2790346907993967E-2</v>
      </c>
    </row>
    <row r="297" spans="1:178" ht="14.25" customHeight="1" x14ac:dyDescent="0.25">
      <c r="A297" s="86" t="s">
        <v>273</v>
      </c>
      <c r="B297">
        <v>9</v>
      </c>
      <c r="C297">
        <v>75</v>
      </c>
      <c r="D297" s="22" t="s">
        <v>11</v>
      </c>
      <c r="E297" s="21" t="s">
        <v>15</v>
      </c>
      <c r="F297" s="8" t="s">
        <v>197</v>
      </c>
      <c r="G297" s="8" t="s">
        <v>201</v>
      </c>
      <c r="H297" s="21" t="s">
        <v>195</v>
      </c>
      <c r="K297">
        <v>1</v>
      </c>
      <c r="L297">
        <v>1</v>
      </c>
      <c r="M297">
        <v>1</v>
      </c>
      <c r="N297">
        <v>1</v>
      </c>
      <c r="O297">
        <v>1</v>
      </c>
      <c r="P297">
        <v>1</v>
      </c>
      <c r="Q297">
        <v>1</v>
      </c>
      <c r="R297">
        <v>1</v>
      </c>
      <c r="X297">
        <v>1</v>
      </c>
      <c r="Y297">
        <v>1</v>
      </c>
      <c r="Z297">
        <v>1</v>
      </c>
      <c r="AI297">
        <v>1</v>
      </c>
      <c r="AL297">
        <v>1</v>
      </c>
      <c r="AM297">
        <v>1</v>
      </c>
      <c r="AV297">
        <v>1</v>
      </c>
      <c r="AY297">
        <v>1</v>
      </c>
      <c r="AZ297">
        <v>1</v>
      </c>
      <c r="BA297">
        <v>1</v>
      </c>
      <c r="BM297">
        <v>1</v>
      </c>
      <c r="BN297">
        <v>1</v>
      </c>
      <c r="BO297">
        <v>1</v>
      </c>
      <c r="CA297">
        <v>1</v>
      </c>
      <c r="CB297">
        <v>1</v>
      </c>
      <c r="CO297">
        <v>1</v>
      </c>
      <c r="CP297">
        <v>1</v>
      </c>
      <c r="DC297">
        <v>1</v>
      </c>
      <c r="DD297">
        <v>1</v>
      </c>
      <c r="DQ297">
        <v>1</v>
      </c>
      <c r="DR297">
        <v>1</v>
      </c>
      <c r="EE297">
        <v>1</v>
      </c>
      <c r="EF297">
        <v>1</v>
      </c>
      <c r="ES297">
        <v>1</v>
      </c>
      <c r="FG297">
        <v>1</v>
      </c>
      <c r="FU297">
        <v>1</v>
      </c>
      <c r="FV297" s="18">
        <f t="shared" si="583"/>
        <v>0.1297134238310709</v>
      </c>
    </row>
    <row r="298" spans="1:178" ht="14.25" customHeight="1" x14ac:dyDescent="0.25">
      <c r="A298" s="86" t="s">
        <v>273</v>
      </c>
      <c r="B298">
        <v>9</v>
      </c>
      <c r="C298">
        <v>75</v>
      </c>
      <c r="D298" s="22" t="s">
        <v>10</v>
      </c>
      <c r="E298" s="21" t="s">
        <v>15</v>
      </c>
      <c r="F298" s="8" t="s">
        <v>197</v>
      </c>
      <c r="G298" s="8" t="s">
        <v>201</v>
      </c>
      <c r="H298" s="20" t="s">
        <v>194</v>
      </c>
      <c r="I298">
        <v>1</v>
      </c>
      <c r="J298">
        <v>1</v>
      </c>
      <c r="O298">
        <v>1</v>
      </c>
      <c r="P298">
        <v>1</v>
      </c>
      <c r="V298">
        <v>1</v>
      </c>
      <c r="W298">
        <v>1</v>
      </c>
      <c r="AA298">
        <v>1</v>
      </c>
      <c r="AB298">
        <v>1</v>
      </c>
      <c r="AC298">
        <v>1</v>
      </c>
      <c r="AK298">
        <v>1</v>
      </c>
      <c r="AN298">
        <v>1</v>
      </c>
      <c r="BI298">
        <v>1</v>
      </c>
      <c r="FV298" s="18">
        <f t="shared" si="583"/>
        <v>5.2790346907993967E-2</v>
      </c>
    </row>
    <row r="299" spans="1:178" ht="14.25" customHeight="1" x14ac:dyDescent="0.25">
      <c r="A299" s="86" t="s">
        <v>273</v>
      </c>
      <c r="B299">
        <v>9</v>
      </c>
      <c r="C299">
        <v>75</v>
      </c>
      <c r="D299" s="22" t="s">
        <v>10</v>
      </c>
      <c r="E299" s="21" t="s">
        <v>15</v>
      </c>
      <c r="F299" s="8" t="s">
        <v>197</v>
      </c>
      <c r="G299" s="8" t="s">
        <v>201</v>
      </c>
      <c r="H299" s="21" t="s">
        <v>195</v>
      </c>
      <c r="K299">
        <v>1</v>
      </c>
      <c r="L299">
        <v>1</v>
      </c>
      <c r="M299">
        <v>1</v>
      </c>
      <c r="N299">
        <v>1</v>
      </c>
      <c r="Q299">
        <v>1</v>
      </c>
      <c r="R299">
        <v>1</v>
      </c>
      <c r="S299">
        <v>1</v>
      </c>
      <c r="T299">
        <v>1</v>
      </c>
      <c r="U299">
        <v>1</v>
      </c>
      <c r="X299">
        <v>1</v>
      </c>
      <c r="Y299">
        <v>1</v>
      </c>
      <c r="Z299">
        <v>1</v>
      </c>
      <c r="AD299">
        <v>1</v>
      </c>
      <c r="AE299">
        <v>1</v>
      </c>
      <c r="AI299">
        <v>1</v>
      </c>
      <c r="AJ299">
        <v>1</v>
      </c>
      <c r="AL299">
        <v>1</v>
      </c>
      <c r="AM299">
        <v>1</v>
      </c>
      <c r="AV299">
        <v>1</v>
      </c>
      <c r="AY299">
        <v>1</v>
      </c>
      <c r="AZ299">
        <v>1</v>
      </c>
      <c r="BA299">
        <v>1</v>
      </c>
      <c r="BB299">
        <v>1</v>
      </c>
      <c r="BM299">
        <v>1</v>
      </c>
      <c r="BN299">
        <v>1</v>
      </c>
      <c r="BO299">
        <v>1</v>
      </c>
      <c r="CA299">
        <v>1</v>
      </c>
      <c r="CB299">
        <v>1</v>
      </c>
      <c r="CC299">
        <v>1</v>
      </c>
      <c r="CO299">
        <v>1</v>
      </c>
      <c r="CP299">
        <v>1</v>
      </c>
      <c r="CQ299">
        <v>1</v>
      </c>
      <c r="DC299">
        <v>1</v>
      </c>
      <c r="DD299">
        <v>1</v>
      </c>
      <c r="DE299">
        <v>1</v>
      </c>
      <c r="DQ299">
        <v>1</v>
      </c>
      <c r="DR299">
        <v>1</v>
      </c>
      <c r="EE299">
        <v>1</v>
      </c>
      <c r="EF299">
        <v>1</v>
      </c>
      <c r="EG299">
        <v>1</v>
      </c>
      <c r="ES299">
        <v>1</v>
      </c>
      <c r="FG299">
        <v>1</v>
      </c>
      <c r="FU299">
        <v>1</v>
      </c>
      <c r="FV299" s="18">
        <f t="shared" si="583"/>
        <v>0.16289592760180996</v>
      </c>
    </row>
    <row r="300" spans="1:178" ht="14.25" customHeight="1" x14ac:dyDescent="0.25">
      <c r="A300" s="86" t="s">
        <v>273</v>
      </c>
      <c r="B300">
        <v>9</v>
      </c>
      <c r="C300">
        <v>75</v>
      </c>
      <c r="D300" s="22" t="s">
        <v>9</v>
      </c>
      <c r="E300" s="21" t="s">
        <v>15</v>
      </c>
      <c r="F300" s="8" t="s">
        <v>197</v>
      </c>
      <c r="G300" s="8" t="s">
        <v>201</v>
      </c>
      <c r="H300" s="20" t="s">
        <v>194</v>
      </c>
      <c r="I300">
        <v>1</v>
      </c>
      <c r="J300">
        <v>1</v>
      </c>
      <c r="K300">
        <v>1</v>
      </c>
      <c r="L300">
        <v>1</v>
      </c>
      <c r="M300">
        <v>1</v>
      </c>
      <c r="R300">
        <v>1</v>
      </c>
      <c r="V300">
        <v>1</v>
      </c>
      <c r="W300">
        <v>1</v>
      </c>
      <c r="X300">
        <v>1</v>
      </c>
      <c r="Y300">
        <v>1</v>
      </c>
      <c r="AK300">
        <v>1</v>
      </c>
      <c r="AY300">
        <v>1</v>
      </c>
      <c r="BN300">
        <v>1</v>
      </c>
      <c r="CP300">
        <v>1</v>
      </c>
      <c r="FV300" s="18">
        <f t="shared" si="583"/>
        <v>5.4298642533936653E-2</v>
      </c>
    </row>
    <row r="301" spans="1:178" ht="14.25" customHeight="1" x14ac:dyDescent="0.25">
      <c r="A301" s="86" t="s">
        <v>273</v>
      </c>
      <c r="B301">
        <v>9</v>
      </c>
      <c r="C301">
        <v>75</v>
      </c>
      <c r="D301" s="22" t="s">
        <v>9</v>
      </c>
      <c r="E301" s="21" t="s">
        <v>15</v>
      </c>
      <c r="F301" s="8" t="s">
        <v>197</v>
      </c>
      <c r="G301" s="8" t="s">
        <v>201</v>
      </c>
      <c r="H301" s="21" t="s">
        <v>195</v>
      </c>
      <c r="N301">
        <v>1</v>
      </c>
      <c r="O301">
        <v>1</v>
      </c>
      <c r="P301">
        <v>1</v>
      </c>
      <c r="Q301">
        <v>1</v>
      </c>
      <c r="S301">
        <v>1</v>
      </c>
      <c r="T301">
        <v>1</v>
      </c>
      <c r="U301">
        <v>1</v>
      </c>
      <c r="Z301">
        <v>1</v>
      </c>
      <c r="AA301">
        <v>1</v>
      </c>
      <c r="AB301">
        <v>1</v>
      </c>
      <c r="AC301">
        <v>1</v>
      </c>
      <c r="AD301">
        <v>1</v>
      </c>
      <c r="AI301">
        <v>1</v>
      </c>
      <c r="AJ301">
        <v>1</v>
      </c>
      <c r="AL301">
        <v>1</v>
      </c>
      <c r="AM301">
        <v>1</v>
      </c>
      <c r="AN301">
        <v>1</v>
      </c>
      <c r="AV301">
        <v>1</v>
      </c>
      <c r="AZ301">
        <v>1</v>
      </c>
      <c r="BA301">
        <v>1</v>
      </c>
      <c r="BM301">
        <v>1</v>
      </c>
      <c r="BO301">
        <v>1</v>
      </c>
      <c r="CA301">
        <v>1</v>
      </c>
      <c r="CB301">
        <v>1</v>
      </c>
      <c r="CO301">
        <v>1</v>
      </c>
      <c r="CQ301">
        <v>1</v>
      </c>
      <c r="DC301">
        <v>1</v>
      </c>
      <c r="DD301">
        <v>1</v>
      </c>
      <c r="DQ301">
        <v>1</v>
      </c>
      <c r="DR301">
        <v>1</v>
      </c>
      <c r="EE301">
        <v>1</v>
      </c>
      <c r="EF301">
        <v>1</v>
      </c>
      <c r="EG301">
        <v>1</v>
      </c>
      <c r="ES301">
        <v>1</v>
      </c>
      <c r="FG301">
        <v>1</v>
      </c>
      <c r="FU301">
        <v>1</v>
      </c>
      <c r="FV301" s="18">
        <f t="shared" si="583"/>
        <v>0.14027149321266968</v>
      </c>
    </row>
    <row r="302" spans="1:178" ht="14.25" customHeight="1" x14ac:dyDescent="0.25">
      <c r="A302" s="86" t="s">
        <v>273</v>
      </c>
      <c r="B302">
        <v>9</v>
      </c>
      <c r="C302">
        <v>75</v>
      </c>
      <c r="D302" s="22" t="s">
        <v>8</v>
      </c>
      <c r="E302" s="21" t="s">
        <v>15</v>
      </c>
      <c r="F302" s="8" t="s">
        <v>197</v>
      </c>
      <c r="G302" s="8" t="s">
        <v>201</v>
      </c>
      <c r="H302" s="20" t="s">
        <v>194</v>
      </c>
      <c r="I302">
        <v>1</v>
      </c>
      <c r="J302">
        <v>1</v>
      </c>
      <c r="M302">
        <v>1</v>
      </c>
      <c r="R302">
        <v>1</v>
      </c>
      <c r="S302">
        <v>1</v>
      </c>
      <c r="V302">
        <v>1</v>
      </c>
      <c r="W302">
        <v>1</v>
      </c>
      <c r="Y302">
        <v>1</v>
      </c>
      <c r="Z302">
        <v>1</v>
      </c>
      <c r="AK302">
        <v>1</v>
      </c>
      <c r="AM302">
        <v>1</v>
      </c>
      <c r="AY302">
        <v>1</v>
      </c>
      <c r="BA302">
        <v>1</v>
      </c>
      <c r="BN302">
        <v>1</v>
      </c>
      <c r="FV302" s="18">
        <f t="shared" si="583"/>
        <v>5.4298642533936653E-2</v>
      </c>
    </row>
    <row r="303" spans="1:178" ht="14.25" customHeight="1" x14ac:dyDescent="0.25">
      <c r="A303" s="86" t="s">
        <v>273</v>
      </c>
      <c r="B303">
        <v>9</v>
      </c>
      <c r="C303">
        <v>75</v>
      </c>
      <c r="D303" s="22" t="s">
        <v>8</v>
      </c>
      <c r="E303" s="21" t="s">
        <v>15</v>
      </c>
      <c r="F303" s="8" t="s">
        <v>197</v>
      </c>
      <c r="G303" s="8" t="s">
        <v>201</v>
      </c>
      <c r="H303" s="21" t="s">
        <v>195</v>
      </c>
      <c r="K303">
        <v>1</v>
      </c>
      <c r="L303">
        <v>1</v>
      </c>
      <c r="N303">
        <v>1</v>
      </c>
      <c r="O303">
        <v>1</v>
      </c>
      <c r="P303">
        <v>1</v>
      </c>
      <c r="Q303">
        <v>1</v>
      </c>
      <c r="T303">
        <v>1</v>
      </c>
      <c r="U303">
        <v>1</v>
      </c>
      <c r="X303">
        <v>1</v>
      </c>
      <c r="AA303">
        <v>1</v>
      </c>
      <c r="AB303">
        <v>1</v>
      </c>
      <c r="AC303">
        <v>1</v>
      </c>
      <c r="AD303">
        <v>1</v>
      </c>
      <c r="AE303">
        <v>1</v>
      </c>
      <c r="AF303">
        <v>1</v>
      </c>
      <c r="AG303">
        <v>1</v>
      </c>
      <c r="AH303">
        <v>1</v>
      </c>
      <c r="AI303">
        <v>1</v>
      </c>
      <c r="AJ303">
        <v>1</v>
      </c>
      <c r="AL303">
        <v>1</v>
      </c>
      <c r="AN303">
        <v>1</v>
      </c>
      <c r="AO303">
        <v>1</v>
      </c>
      <c r="AP303">
        <v>1</v>
      </c>
      <c r="AQ303">
        <v>1</v>
      </c>
      <c r="AR303">
        <v>1</v>
      </c>
      <c r="AS303">
        <v>1</v>
      </c>
      <c r="AT303">
        <v>1</v>
      </c>
      <c r="AU303">
        <v>1</v>
      </c>
      <c r="AV303">
        <v>1</v>
      </c>
      <c r="AW303">
        <v>1</v>
      </c>
      <c r="AX303">
        <v>1</v>
      </c>
      <c r="AZ303">
        <v>1</v>
      </c>
      <c r="BB303">
        <v>1</v>
      </c>
      <c r="BC303">
        <v>1</v>
      </c>
      <c r="BD303">
        <v>1</v>
      </c>
      <c r="BE303">
        <v>1</v>
      </c>
      <c r="BF303">
        <v>1</v>
      </c>
      <c r="BG303">
        <v>1</v>
      </c>
      <c r="BH303">
        <v>1</v>
      </c>
      <c r="BI303">
        <v>1</v>
      </c>
      <c r="BJ303">
        <v>1</v>
      </c>
      <c r="BK303">
        <v>1</v>
      </c>
      <c r="BL303">
        <v>1</v>
      </c>
      <c r="BM303">
        <v>1</v>
      </c>
      <c r="BO303">
        <v>1</v>
      </c>
      <c r="BP303">
        <v>1</v>
      </c>
      <c r="BQ303">
        <v>1</v>
      </c>
      <c r="BR303">
        <v>1</v>
      </c>
      <c r="BS303">
        <v>1</v>
      </c>
      <c r="BT303">
        <v>1</v>
      </c>
      <c r="BU303">
        <v>1</v>
      </c>
      <c r="BV303">
        <v>1</v>
      </c>
      <c r="BW303">
        <v>1</v>
      </c>
      <c r="BX303">
        <v>1</v>
      </c>
      <c r="BY303">
        <v>1</v>
      </c>
      <c r="BZ303">
        <v>1</v>
      </c>
      <c r="CA303">
        <v>1</v>
      </c>
      <c r="CB303">
        <v>1</v>
      </c>
      <c r="CC303">
        <v>1</v>
      </c>
      <c r="CD303">
        <v>1</v>
      </c>
      <c r="CE303">
        <v>1</v>
      </c>
      <c r="CF303">
        <v>1</v>
      </c>
      <c r="CG303">
        <v>1</v>
      </c>
      <c r="CH303">
        <v>1</v>
      </c>
      <c r="CI303">
        <v>1</v>
      </c>
      <c r="CJ303">
        <v>1</v>
      </c>
      <c r="CM303">
        <v>1</v>
      </c>
      <c r="CN303">
        <v>1</v>
      </c>
      <c r="CO303">
        <v>1</v>
      </c>
      <c r="CP303">
        <v>1</v>
      </c>
      <c r="CQ303">
        <v>1</v>
      </c>
      <c r="CR303">
        <v>1</v>
      </c>
      <c r="CS303">
        <v>1</v>
      </c>
      <c r="CT303">
        <v>1</v>
      </c>
      <c r="CU303">
        <v>1</v>
      </c>
      <c r="DA303">
        <v>1</v>
      </c>
      <c r="DB303">
        <v>1</v>
      </c>
      <c r="DC303">
        <v>1</v>
      </c>
      <c r="DD303">
        <v>1</v>
      </c>
      <c r="DE303">
        <v>1</v>
      </c>
      <c r="DF303">
        <v>1</v>
      </c>
      <c r="DG303">
        <v>1</v>
      </c>
      <c r="DH303">
        <v>1</v>
      </c>
      <c r="DO303">
        <v>1</v>
      </c>
      <c r="DP303">
        <v>1</v>
      </c>
      <c r="DQ303">
        <v>1</v>
      </c>
      <c r="DR303">
        <v>1</v>
      </c>
      <c r="DS303">
        <v>1</v>
      </c>
      <c r="DT303">
        <v>1</v>
      </c>
      <c r="DU303">
        <v>1</v>
      </c>
      <c r="DV303">
        <v>1</v>
      </c>
      <c r="EC303">
        <v>1</v>
      </c>
      <c r="ED303">
        <v>1</v>
      </c>
      <c r="EE303">
        <v>1</v>
      </c>
      <c r="EF303">
        <v>1</v>
      </c>
      <c r="EG303">
        <v>1</v>
      </c>
      <c r="EH303">
        <v>1</v>
      </c>
      <c r="EQ303">
        <v>1</v>
      </c>
      <c r="ER303">
        <v>1</v>
      </c>
      <c r="ES303">
        <v>1</v>
      </c>
      <c r="ET303">
        <v>1</v>
      </c>
      <c r="EU303">
        <v>1</v>
      </c>
      <c r="FE303">
        <v>1</v>
      </c>
      <c r="FG303">
        <v>1</v>
      </c>
      <c r="FH303">
        <v>1</v>
      </c>
      <c r="FU303">
        <v>1</v>
      </c>
      <c r="FV303" s="18">
        <f t="shared" si="583"/>
        <v>0.50226244343891402</v>
      </c>
    </row>
    <row r="304" spans="1:178" ht="14.25" customHeight="1" x14ac:dyDescent="0.25">
      <c r="A304" s="86" t="s">
        <v>273</v>
      </c>
      <c r="B304">
        <v>9</v>
      </c>
      <c r="C304">
        <v>75</v>
      </c>
      <c r="D304" s="23" t="s">
        <v>12</v>
      </c>
      <c r="E304" s="23" t="s">
        <v>13</v>
      </c>
      <c r="F304" s="8" t="s">
        <v>197</v>
      </c>
      <c r="G304" s="8" t="s">
        <v>201</v>
      </c>
      <c r="H304" s="23" t="s">
        <v>194</v>
      </c>
      <c r="I304">
        <v>1</v>
      </c>
      <c r="J304">
        <v>1</v>
      </c>
      <c r="K304">
        <v>1</v>
      </c>
      <c r="P304">
        <v>1</v>
      </c>
      <c r="Q304">
        <v>1</v>
      </c>
      <c r="R304">
        <v>1</v>
      </c>
      <c r="V304">
        <v>1</v>
      </c>
      <c r="W304">
        <v>1</v>
      </c>
      <c r="AA304">
        <v>1</v>
      </c>
      <c r="AB304">
        <v>1</v>
      </c>
      <c r="AJ304">
        <v>1</v>
      </c>
      <c r="AK304">
        <v>1</v>
      </c>
      <c r="AY304">
        <v>1</v>
      </c>
      <c r="BA304">
        <v>1</v>
      </c>
      <c r="BI304">
        <v>1</v>
      </c>
      <c r="BM304">
        <v>1</v>
      </c>
      <c r="FV304" s="18">
        <f t="shared" ref="FV304:FV367" si="589">SUMPRODUCT(I304:FU304,$I$1:$FU$1)/(SUM($I$1:$FU$1))</f>
        <v>7.3906485671191555E-2</v>
      </c>
    </row>
    <row r="305" spans="1:178" ht="14.25" customHeight="1" x14ac:dyDescent="0.25">
      <c r="A305" s="86" t="s">
        <v>273</v>
      </c>
      <c r="B305">
        <v>9</v>
      </c>
      <c r="C305">
        <v>75</v>
      </c>
      <c r="D305" s="23" t="s">
        <v>12</v>
      </c>
      <c r="E305" s="23" t="s">
        <v>13</v>
      </c>
      <c r="F305" s="8" t="s">
        <v>197</v>
      </c>
      <c r="G305" s="8" t="s">
        <v>201</v>
      </c>
      <c r="H305" s="23" t="s">
        <v>195</v>
      </c>
      <c r="L305">
        <v>1</v>
      </c>
      <c r="M305">
        <v>1</v>
      </c>
      <c r="N305">
        <v>1</v>
      </c>
      <c r="O305">
        <v>1</v>
      </c>
      <c r="S305">
        <v>1</v>
      </c>
      <c r="X305">
        <v>1</v>
      </c>
      <c r="Y305">
        <v>1</v>
      </c>
      <c r="Z305">
        <v>1</v>
      </c>
      <c r="AI305">
        <v>1</v>
      </c>
      <c r="AL305">
        <v>1</v>
      </c>
      <c r="AM305">
        <v>1</v>
      </c>
      <c r="AV305">
        <v>1</v>
      </c>
      <c r="AZ305">
        <v>1</v>
      </c>
      <c r="BN305">
        <v>1</v>
      </c>
      <c r="CA305">
        <v>1</v>
      </c>
      <c r="CB305">
        <v>1</v>
      </c>
      <c r="CO305">
        <v>1</v>
      </c>
      <c r="DC305">
        <v>1</v>
      </c>
      <c r="DQ305">
        <v>1</v>
      </c>
      <c r="EE305">
        <v>1</v>
      </c>
      <c r="ES305">
        <v>1</v>
      </c>
      <c r="FG305">
        <v>1</v>
      </c>
      <c r="FV305" s="18">
        <f t="shared" si="589"/>
        <v>8.8989441930618404E-2</v>
      </c>
    </row>
    <row r="306" spans="1:178" ht="14.25" customHeight="1" x14ac:dyDescent="0.25">
      <c r="A306" s="86" t="s">
        <v>273</v>
      </c>
      <c r="B306">
        <v>9</v>
      </c>
      <c r="C306">
        <v>75</v>
      </c>
      <c r="D306" s="23" t="s">
        <v>11</v>
      </c>
      <c r="E306" s="23" t="s">
        <v>12</v>
      </c>
      <c r="F306" s="8" t="s">
        <v>197</v>
      </c>
      <c r="G306" s="8" t="s">
        <v>201</v>
      </c>
      <c r="H306" s="20" t="s">
        <v>194</v>
      </c>
      <c r="I306">
        <v>1</v>
      </c>
      <c r="J306">
        <v>1</v>
      </c>
      <c r="Q306">
        <v>1</v>
      </c>
      <c r="R306">
        <v>1</v>
      </c>
      <c r="U306">
        <v>1</v>
      </c>
      <c r="V306">
        <v>1</v>
      </c>
      <c r="W306">
        <v>1</v>
      </c>
      <c r="AA306">
        <v>1</v>
      </c>
      <c r="AB306">
        <v>1</v>
      </c>
      <c r="AK306">
        <v>1</v>
      </c>
      <c r="AN306">
        <v>1</v>
      </c>
      <c r="AW306">
        <v>1</v>
      </c>
      <c r="AY306">
        <v>1</v>
      </c>
      <c r="BA306">
        <v>1</v>
      </c>
      <c r="BI306">
        <v>1</v>
      </c>
      <c r="BM306">
        <v>1</v>
      </c>
      <c r="FV306" s="18">
        <f t="shared" si="589"/>
        <v>7.3906485671191555E-2</v>
      </c>
    </row>
    <row r="307" spans="1:178" ht="14.25" customHeight="1" x14ac:dyDescent="0.25">
      <c r="A307" s="86" t="s">
        <v>273</v>
      </c>
      <c r="B307">
        <v>9</v>
      </c>
      <c r="C307">
        <v>75</v>
      </c>
      <c r="D307" s="23" t="s">
        <v>11</v>
      </c>
      <c r="E307" s="23" t="s">
        <v>12</v>
      </c>
      <c r="F307" s="8" t="s">
        <v>197</v>
      </c>
      <c r="G307" s="8" t="s">
        <v>201</v>
      </c>
      <c r="H307" s="21" t="s">
        <v>195</v>
      </c>
      <c r="K307">
        <v>1</v>
      </c>
      <c r="L307">
        <v>1</v>
      </c>
      <c r="M307">
        <v>1</v>
      </c>
      <c r="N307">
        <v>1</v>
      </c>
      <c r="O307">
        <v>1</v>
      </c>
      <c r="P307">
        <v>1</v>
      </c>
      <c r="S307">
        <v>1</v>
      </c>
      <c r="T307">
        <v>1</v>
      </c>
      <c r="X307">
        <v>1</v>
      </c>
      <c r="Y307">
        <v>1</v>
      </c>
      <c r="Z307">
        <v>1</v>
      </c>
      <c r="AI307">
        <v>1</v>
      </c>
      <c r="AJ307">
        <v>1</v>
      </c>
      <c r="AL307">
        <v>1</v>
      </c>
      <c r="AM307">
        <v>1</v>
      </c>
      <c r="AV307">
        <v>1</v>
      </c>
      <c r="AZ307">
        <v>1</v>
      </c>
      <c r="BN307">
        <v>1</v>
      </c>
      <c r="BO307">
        <v>1</v>
      </c>
      <c r="CA307">
        <v>1</v>
      </c>
      <c r="CB307">
        <v>1</v>
      </c>
      <c r="CO307">
        <v>1</v>
      </c>
      <c r="CP307">
        <v>1</v>
      </c>
      <c r="DC307">
        <v>1</v>
      </c>
      <c r="DD307">
        <v>1</v>
      </c>
      <c r="DQ307">
        <v>1</v>
      </c>
      <c r="EE307">
        <v>1</v>
      </c>
      <c r="ES307">
        <v>1</v>
      </c>
      <c r="FG307">
        <v>1</v>
      </c>
      <c r="FV307" s="18">
        <f t="shared" si="589"/>
        <v>0.11613876319758673</v>
      </c>
    </row>
    <row r="308" spans="1:178" ht="14.25" customHeight="1" x14ac:dyDescent="0.25">
      <c r="A308" s="86" t="s">
        <v>273</v>
      </c>
      <c r="B308">
        <v>9</v>
      </c>
      <c r="C308">
        <v>75</v>
      </c>
      <c r="D308" s="23" t="s">
        <v>11</v>
      </c>
      <c r="E308" s="23" t="s">
        <v>13</v>
      </c>
      <c r="F308" s="8" t="s">
        <v>197</v>
      </c>
      <c r="G308" s="8" t="s">
        <v>201</v>
      </c>
      <c r="H308" s="23" t="s">
        <v>194</v>
      </c>
      <c r="I308">
        <v>1</v>
      </c>
      <c r="J308">
        <v>1</v>
      </c>
      <c r="Q308">
        <v>1</v>
      </c>
      <c r="R308">
        <v>1</v>
      </c>
      <c r="U308">
        <v>1</v>
      </c>
      <c r="V308">
        <v>1</v>
      </c>
      <c r="W308">
        <v>1</v>
      </c>
      <c r="AA308">
        <v>1</v>
      </c>
      <c r="AB308">
        <v>1</v>
      </c>
      <c r="AK308">
        <v>1</v>
      </c>
      <c r="AN308">
        <v>1</v>
      </c>
      <c r="AW308">
        <v>1</v>
      </c>
      <c r="AY308">
        <v>1</v>
      </c>
      <c r="BA308">
        <v>1</v>
      </c>
      <c r="BI308">
        <v>1</v>
      </c>
      <c r="BM308">
        <v>1</v>
      </c>
      <c r="FV308" s="18">
        <f t="shared" ref="FV308:FV309" si="590">SUMPRODUCT(I308:FU308,$I$1:$FU$1)/(SUM($I$1:$FU$1))</f>
        <v>7.3906485671191555E-2</v>
      </c>
    </row>
    <row r="309" spans="1:178" ht="14.25" customHeight="1" x14ac:dyDescent="0.25">
      <c r="A309" s="86" t="s">
        <v>273</v>
      </c>
      <c r="B309">
        <v>9</v>
      </c>
      <c r="C309">
        <v>75</v>
      </c>
      <c r="D309" s="23" t="s">
        <v>11</v>
      </c>
      <c r="E309" s="23" t="s">
        <v>13</v>
      </c>
      <c r="F309" s="8" t="s">
        <v>197</v>
      </c>
      <c r="G309" s="8" t="s">
        <v>201</v>
      </c>
      <c r="H309" s="23" t="s">
        <v>195</v>
      </c>
      <c r="K309">
        <v>1</v>
      </c>
      <c r="L309">
        <v>1</v>
      </c>
      <c r="M309">
        <v>1</v>
      </c>
      <c r="N309">
        <v>1</v>
      </c>
      <c r="O309">
        <v>1</v>
      </c>
      <c r="P309">
        <v>1</v>
      </c>
      <c r="S309">
        <v>1</v>
      </c>
      <c r="T309">
        <v>1</v>
      </c>
      <c r="X309">
        <v>1</v>
      </c>
      <c r="Y309">
        <v>1</v>
      </c>
      <c r="Z309">
        <v>1</v>
      </c>
      <c r="AI309">
        <v>1</v>
      </c>
      <c r="AJ309">
        <v>1</v>
      </c>
      <c r="AL309">
        <v>1</v>
      </c>
      <c r="AM309">
        <v>1</v>
      </c>
      <c r="AV309">
        <v>1</v>
      </c>
      <c r="AZ309">
        <v>1</v>
      </c>
      <c r="BN309">
        <v>1</v>
      </c>
      <c r="BO309">
        <v>1</v>
      </c>
      <c r="CA309">
        <v>1</v>
      </c>
      <c r="CB309">
        <v>1</v>
      </c>
      <c r="CO309">
        <v>1</v>
      </c>
      <c r="CP309">
        <v>1</v>
      </c>
      <c r="DC309">
        <v>1</v>
      </c>
      <c r="DD309">
        <v>1</v>
      </c>
      <c r="DQ309">
        <v>1</v>
      </c>
      <c r="EE309">
        <v>1</v>
      </c>
      <c r="ES309">
        <v>1</v>
      </c>
      <c r="FG309">
        <v>1</v>
      </c>
      <c r="FV309" s="18">
        <f t="shared" si="590"/>
        <v>0.11613876319758673</v>
      </c>
    </row>
    <row r="310" spans="1:178" ht="14.25" customHeight="1" x14ac:dyDescent="0.25">
      <c r="A310" s="86" t="s">
        <v>273</v>
      </c>
      <c r="B310">
        <v>9</v>
      </c>
      <c r="C310">
        <v>75</v>
      </c>
      <c r="D310" s="23" t="s">
        <v>10</v>
      </c>
      <c r="E310" s="23" t="s">
        <v>12</v>
      </c>
      <c r="F310" s="8" t="s">
        <v>197</v>
      </c>
      <c r="G310" s="8" t="s">
        <v>201</v>
      </c>
      <c r="H310" s="20" t="s">
        <v>194</v>
      </c>
      <c r="I310">
        <v>1</v>
      </c>
      <c r="J310">
        <v>1</v>
      </c>
      <c r="O310">
        <v>1</v>
      </c>
      <c r="P310">
        <v>1</v>
      </c>
      <c r="Q310">
        <v>1</v>
      </c>
      <c r="V310">
        <v>1</v>
      </c>
      <c r="W310">
        <v>1</v>
      </c>
      <c r="AA310">
        <v>1</v>
      </c>
      <c r="AC310">
        <v>1</v>
      </c>
      <c r="AD310">
        <v>1</v>
      </c>
      <c r="AK310">
        <v>1</v>
      </c>
      <c r="AN310">
        <v>1</v>
      </c>
      <c r="AX310">
        <v>1</v>
      </c>
      <c r="AY310">
        <v>1</v>
      </c>
      <c r="BA310">
        <v>1</v>
      </c>
      <c r="BB310">
        <v>1</v>
      </c>
      <c r="BJ310">
        <v>1</v>
      </c>
      <c r="BM310">
        <v>1</v>
      </c>
      <c r="BV310">
        <v>1</v>
      </c>
      <c r="FV310" s="18">
        <f t="shared" si="589"/>
        <v>8.8989441930618404E-2</v>
      </c>
    </row>
    <row r="311" spans="1:178" ht="14.25" customHeight="1" x14ac:dyDescent="0.25">
      <c r="A311" s="86" t="s">
        <v>273</v>
      </c>
      <c r="B311">
        <v>9</v>
      </c>
      <c r="C311">
        <v>75</v>
      </c>
      <c r="D311" s="23" t="s">
        <v>10</v>
      </c>
      <c r="E311" s="23" t="s">
        <v>12</v>
      </c>
      <c r="F311" s="8" t="s">
        <v>197</v>
      </c>
      <c r="G311" s="8" t="s">
        <v>201</v>
      </c>
      <c r="H311" s="21" t="s">
        <v>195</v>
      </c>
      <c r="K311">
        <v>1</v>
      </c>
      <c r="L311">
        <v>1</v>
      </c>
      <c r="M311">
        <v>1</v>
      </c>
      <c r="N311">
        <v>1</v>
      </c>
      <c r="R311">
        <v>1</v>
      </c>
      <c r="S311">
        <v>1</v>
      </c>
      <c r="T311">
        <v>1</v>
      </c>
      <c r="U311">
        <v>1</v>
      </c>
      <c r="X311">
        <v>1</v>
      </c>
      <c r="Y311">
        <v>1</v>
      </c>
      <c r="Z311">
        <v>1</v>
      </c>
      <c r="AB311">
        <v>1</v>
      </c>
      <c r="AI311">
        <v>1</v>
      </c>
      <c r="AJ311">
        <v>1</v>
      </c>
      <c r="AL311">
        <v>1</v>
      </c>
      <c r="AM311">
        <v>1</v>
      </c>
      <c r="AO311">
        <v>1</v>
      </c>
      <c r="AV311">
        <v>1</v>
      </c>
      <c r="AW311">
        <v>1</v>
      </c>
      <c r="AZ311">
        <v>1</v>
      </c>
      <c r="BI311">
        <v>1</v>
      </c>
      <c r="BN311">
        <v>1</v>
      </c>
      <c r="BO311">
        <v>1</v>
      </c>
      <c r="CA311">
        <v>1</v>
      </c>
      <c r="CB311">
        <v>1</v>
      </c>
      <c r="CC311">
        <v>1</v>
      </c>
      <c r="CO311">
        <v>1</v>
      </c>
      <c r="CP311">
        <v>1</v>
      </c>
      <c r="CQ311">
        <v>1</v>
      </c>
      <c r="DC311">
        <v>1</v>
      </c>
      <c r="DD311">
        <v>1</v>
      </c>
      <c r="DQ311">
        <v>1</v>
      </c>
      <c r="DR311">
        <v>1</v>
      </c>
      <c r="EE311">
        <v>1</v>
      </c>
      <c r="EF311">
        <v>1</v>
      </c>
      <c r="ES311">
        <v>1</v>
      </c>
      <c r="FG311">
        <v>1</v>
      </c>
      <c r="FU311">
        <v>1</v>
      </c>
      <c r="FV311" s="18">
        <f t="shared" si="589"/>
        <v>0.15686274509803921</v>
      </c>
    </row>
    <row r="312" spans="1:178" ht="14.25" customHeight="1" x14ac:dyDescent="0.25">
      <c r="A312" s="86" t="s">
        <v>273</v>
      </c>
      <c r="B312">
        <v>9</v>
      </c>
      <c r="C312">
        <v>75</v>
      </c>
      <c r="D312" s="23" t="s">
        <v>10</v>
      </c>
      <c r="E312" s="23" t="s">
        <v>13</v>
      </c>
      <c r="F312" s="8" t="s">
        <v>197</v>
      </c>
      <c r="G312" s="8" t="s">
        <v>201</v>
      </c>
      <c r="H312" s="23" t="s">
        <v>194</v>
      </c>
      <c r="I312">
        <v>1</v>
      </c>
      <c r="J312">
        <v>1</v>
      </c>
      <c r="O312">
        <v>1</v>
      </c>
      <c r="P312">
        <v>1</v>
      </c>
      <c r="Q312">
        <v>1</v>
      </c>
      <c r="V312">
        <v>1</v>
      </c>
      <c r="W312">
        <v>1</v>
      </c>
      <c r="AA312">
        <v>1</v>
      </c>
      <c r="AC312">
        <v>1</v>
      </c>
      <c r="AD312">
        <v>1</v>
      </c>
      <c r="AK312">
        <v>1</v>
      </c>
      <c r="AN312">
        <v>1</v>
      </c>
      <c r="AX312">
        <v>1</v>
      </c>
      <c r="AY312">
        <v>1</v>
      </c>
      <c r="BA312">
        <v>1</v>
      </c>
      <c r="BB312">
        <v>1</v>
      </c>
      <c r="BJ312">
        <v>1</v>
      </c>
      <c r="BM312">
        <v>1</v>
      </c>
      <c r="BV312">
        <v>1</v>
      </c>
      <c r="FV312" s="18">
        <f t="shared" ref="FV312:FV313" si="591">SUMPRODUCT(I312:FU312,$I$1:$FU$1)/(SUM($I$1:$FU$1))</f>
        <v>8.8989441930618404E-2</v>
      </c>
    </row>
    <row r="313" spans="1:178" ht="14.25" customHeight="1" x14ac:dyDescent="0.25">
      <c r="A313" s="86" t="s">
        <v>273</v>
      </c>
      <c r="B313">
        <v>9</v>
      </c>
      <c r="C313">
        <v>75</v>
      </c>
      <c r="D313" s="23" t="s">
        <v>10</v>
      </c>
      <c r="E313" s="23" t="s">
        <v>13</v>
      </c>
      <c r="F313" s="8" t="s">
        <v>197</v>
      </c>
      <c r="G313" s="8" t="s">
        <v>201</v>
      </c>
      <c r="H313" s="23" t="s">
        <v>195</v>
      </c>
      <c r="K313">
        <v>1</v>
      </c>
      <c r="L313">
        <v>1</v>
      </c>
      <c r="M313">
        <v>1</v>
      </c>
      <c r="N313">
        <v>1</v>
      </c>
      <c r="R313">
        <v>1</v>
      </c>
      <c r="S313">
        <v>1</v>
      </c>
      <c r="T313">
        <v>1</v>
      </c>
      <c r="U313">
        <v>1</v>
      </c>
      <c r="X313">
        <v>1</v>
      </c>
      <c r="Y313">
        <v>1</v>
      </c>
      <c r="Z313">
        <v>1</v>
      </c>
      <c r="AB313">
        <v>1</v>
      </c>
      <c r="AI313">
        <v>1</v>
      </c>
      <c r="AJ313">
        <v>1</v>
      </c>
      <c r="AL313">
        <v>1</v>
      </c>
      <c r="AM313">
        <v>1</v>
      </c>
      <c r="AO313">
        <v>1</v>
      </c>
      <c r="AV313">
        <v>1</v>
      </c>
      <c r="AW313">
        <v>1</v>
      </c>
      <c r="AZ313">
        <v>1</v>
      </c>
      <c r="BI313">
        <v>1</v>
      </c>
      <c r="BN313">
        <v>1</v>
      </c>
      <c r="BO313">
        <v>1</v>
      </c>
      <c r="CA313">
        <v>1</v>
      </c>
      <c r="CB313">
        <v>1</v>
      </c>
      <c r="CC313">
        <v>1</v>
      </c>
      <c r="CO313">
        <v>1</v>
      </c>
      <c r="CP313">
        <v>1</v>
      </c>
      <c r="CQ313">
        <v>1</v>
      </c>
      <c r="DC313">
        <v>1</v>
      </c>
      <c r="DD313">
        <v>1</v>
      </c>
      <c r="DQ313">
        <v>1</v>
      </c>
      <c r="DR313">
        <v>1</v>
      </c>
      <c r="EE313">
        <v>1</v>
      </c>
      <c r="EF313">
        <v>1</v>
      </c>
      <c r="ES313">
        <v>1</v>
      </c>
      <c r="FG313">
        <v>1</v>
      </c>
      <c r="FU313">
        <v>1</v>
      </c>
      <c r="FV313" s="18">
        <f t="shared" si="591"/>
        <v>0.15686274509803921</v>
      </c>
    </row>
    <row r="314" spans="1:178" ht="14.25" customHeight="1" x14ac:dyDescent="0.25">
      <c r="A314" s="86" t="s">
        <v>273</v>
      </c>
      <c r="B314">
        <v>9</v>
      </c>
      <c r="C314">
        <v>75</v>
      </c>
      <c r="D314" s="23" t="s">
        <v>9</v>
      </c>
      <c r="E314" s="23" t="s">
        <v>12</v>
      </c>
      <c r="F314" s="8" t="s">
        <v>197</v>
      </c>
      <c r="G314" s="8" t="s">
        <v>201</v>
      </c>
      <c r="H314" s="20" t="s">
        <v>194</v>
      </c>
      <c r="I314">
        <v>1</v>
      </c>
      <c r="J314">
        <v>1</v>
      </c>
      <c r="K314">
        <v>1</v>
      </c>
      <c r="L314">
        <v>1</v>
      </c>
      <c r="M314">
        <v>1</v>
      </c>
      <c r="O314">
        <v>1</v>
      </c>
      <c r="R314">
        <v>1</v>
      </c>
      <c r="V314">
        <v>1</v>
      </c>
      <c r="W314">
        <v>1</v>
      </c>
      <c r="X314">
        <v>1</v>
      </c>
      <c r="Y314">
        <v>1</v>
      </c>
      <c r="Z314">
        <v>1</v>
      </c>
      <c r="AA314">
        <v>1</v>
      </c>
      <c r="AI314">
        <v>1</v>
      </c>
      <c r="AK314">
        <v>1</v>
      </c>
      <c r="AM314">
        <v>1</v>
      </c>
      <c r="AZ314">
        <v>1</v>
      </c>
      <c r="BM314">
        <v>1</v>
      </c>
      <c r="BN314">
        <v>1</v>
      </c>
      <c r="CA314">
        <v>1</v>
      </c>
      <c r="CP314">
        <v>1</v>
      </c>
      <c r="FV314" s="18">
        <f t="shared" si="589"/>
        <v>8.2956259426847659E-2</v>
      </c>
    </row>
    <row r="315" spans="1:178" ht="14.25" customHeight="1" x14ac:dyDescent="0.25">
      <c r="A315" s="86" t="s">
        <v>273</v>
      </c>
      <c r="B315">
        <v>9</v>
      </c>
      <c r="C315">
        <v>75</v>
      </c>
      <c r="D315" s="23" t="s">
        <v>9</v>
      </c>
      <c r="E315" s="23" t="s">
        <v>12</v>
      </c>
      <c r="F315" s="8" t="s">
        <v>197</v>
      </c>
      <c r="G315" s="8" t="s">
        <v>201</v>
      </c>
      <c r="H315" s="21" t="s">
        <v>195</v>
      </c>
      <c r="N315">
        <v>1</v>
      </c>
      <c r="P315">
        <v>1</v>
      </c>
      <c r="Q315">
        <v>1</v>
      </c>
      <c r="S315">
        <v>1</v>
      </c>
      <c r="T315">
        <v>1</v>
      </c>
      <c r="U315">
        <v>1</v>
      </c>
      <c r="AB315">
        <v>1</v>
      </c>
      <c r="AC315">
        <v>1</v>
      </c>
      <c r="AD315">
        <v>1</v>
      </c>
      <c r="AJ315">
        <v>1</v>
      </c>
      <c r="AL315">
        <v>1</v>
      </c>
      <c r="AN315">
        <v>1</v>
      </c>
      <c r="AV315">
        <v>1</v>
      </c>
      <c r="AW315">
        <v>1</v>
      </c>
      <c r="AX315">
        <v>1</v>
      </c>
      <c r="AY315">
        <v>1</v>
      </c>
      <c r="BA315">
        <v>1</v>
      </c>
      <c r="BI315">
        <v>1</v>
      </c>
      <c r="BO315">
        <v>1</v>
      </c>
      <c r="CB315">
        <v>1</v>
      </c>
      <c r="CC315">
        <v>1</v>
      </c>
      <c r="CO315">
        <v>1</v>
      </c>
      <c r="CQ315">
        <v>1</v>
      </c>
      <c r="DC315">
        <v>1</v>
      </c>
      <c r="DD315">
        <v>1</v>
      </c>
      <c r="DQ315">
        <v>1</v>
      </c>
      <c r="DR315">
        <v>1</v>
      </c>
      <c r="EE315">
        <v>1</v>
      </c>
      <c r="EF315">
        <v>1</v>
      </c>
      <c r="ES315">
        <v>1</v>
      </c>
      <c r="FG315">
        <v>1</v>
      </c>
      <c r="FU315">
        <v>1</v>
      </c>
      <c r="FV315" s="18">
        <f t="shared" si="589"/>
        <v>0.13876319758672701</v>
      </c>
    </row>
    <row r="316" spans="1:178" ht="14.25" customHeight="1" x14ac:dyDescent="0.25">
      <c r="A316" s="86" t="s">
        <v>273</v>
      </c>
      <c r="B316">
        <v>9</v>
      </c>
      <c r="C316">
        <v>75</v>
      </c>
      <c r="D316" s="23" t="s">
        <v>9</v>
      </c>
      <c r="E316" s="23" t="s">
        <v>13</v>
      </c>
      <c r="F316" s="8" t="s">
        <v>197</v>
      </c>
      <c r="G316" s="8" t="s">
        <v>201</v>
      </c>
      <c r="H316" s="23" t="s">
        <v>194</v>
      </c>
      <c r="I316">
        <v>1</v>
      </c>
      <c r="J316">
        <v>1</v>
      </c>
      <c r="K316">
        <v>1</v>
      </c>
      <c r="L316">
        <v>1</v>
      </c>
      <c r="M316">
        <v>1</v>
      </c>
      <c r="O316">
        <v>1</v>
      </c>
      <c r="R316">
        <v>1</v>
      </c>
      <c r="V316">
        <v>1</v>
      </c>
      <c r="W316">
        <v>1</v>
      </c>
      <c r="X316">
        <v>1</v>
      </c>
      <c r="Y316">
        <v>1</v>
      </c>
      <c r="Z316">
        <v>1</v>
      </c>
      <c r="AA316">
        <v>1</v>
      </c>
      <c r="AI316">
        <v>1</v>
      </c>
      <c r="AK316">
        <v>1</v>
      </c>
      <c r="AM316">
        <v>1</v>
      </c>
      <c r="AZ316">
        <v>1</v>
      </c>
      <c r="BM316">
        <v>1</v>
      </c>
      <c r="BN316">
        <v>1</v>
      </c>
      <c r="CA316">
        <v>1</v>
      </c>
      <c r="CP316">
        <v>1</v>
      </c>
      <c r="FV316" s="18">
        <f t="shared" ref="FV316:FV318" si="592">SUMPRODUCT(I316:FU316,$I$1:$FU$1)/(SUM($I$1:$FU$1))</f>
        <v>8.2956259426847659E-2</v>
      </c>
    </row>
    <row r="317" spans="1:178" ht="14.25" customHeight="1" x14ac:dyDescent="0.25">
      <c r="A317" s="86" t="s">
        <v>273</v>
      </c>
      <c r="B317">
        <v>9</v>
      </c>
      <c r="C317">
        <v>75</v>
      </c>
      <c r="D317" s="23" t="s">
        <v>9</v>
      </c>
      <c r="E317" s="23" t="s">
        <v>13</v>
      </c>
      <c r="F317" s="8" t="s">
        <v>197</v>
      </c>
      <c r="G317" s="8" t="s">
        <v>201</v>
      </c>
      <c r="H317" s="23" t="s">
        <v>195</v>
      </c>
      <c r="N317">
        <v>1</v>
      </c>
      <c r="P317">
        <v>1</v>
      </c>
      <c r="Q317">
        <v>1</v>
      </c>
      <c r="S317">
        <v>1</v>
      </c>
      <c r="T317">
        <v>1</v>
      </c>
      <c r="U317">
        <v>1</v>
      </c>
      <c r="AB317">
        <v>1</v>
      </c>
      <c r="AC317">
        <v>1</v>
      </c>
      <c r="AD317">
        <v>1</v>
      </c>
      <c r="AJ317">
        <v>1</v>
      </c>
      <c r="AL317">
        <v>1</v>
      </c>
      <c r="AN317">
        <v>1</v>
      </c>
      <c r="AV317">
        <v>1</v>
      </c>
      <c r="AW317">
        <v>1</v>
      </c>
      <c r="AX317">
        <v>1</v>
      </c>
      <c r="AY317">
        <v>1</v>
      </c>
      <c r="BA317">
        <v>1</v>
      </c>
      <c r="BI317">
        <v>1</v>
      </c>
      <c r="BO317">
        <v>1</v>
      </c>
      <c r="CB317">
        <v>1</v>
      </c>
      <c r="CC317">
        <v>1</v>
      </c>
      <c r="CO317">
        <v>1</v>
      </c>
      <c r="CQ317">
        <v>1</v>
      </c>
      <c r="DC317">
        <v>1</v>
      </c>
      <c r="DD317">
        <v>1</v>
      </c>
      <c r="DQ317">
        <v>1</v>
      </c>
      <c r="DR317">
        <v>1</v>
      </c>
      <c r="EE317">
        <v>1</v>
      </c>
      <c r="EF317">
        <v>1</v>
      </c>
      <c r="ES317">
        <v>1</v>
      </c>
      <c r="FG317">
        <v>1</v>
      </c>
      <c r="FU317">
        <v>1</v>
      </c>
      <c r="FV317" s="18">
        <f t="shared" si="592"/>
        <v>0.13876319758672701</v>
      </c>
    </row>
    <row r="318" spans="1:178" ht="14.25" customHeight="1" x14ac:dyDescent="0.25">
      <c r="A318" s="86" t="s">
        <v>273</v>
      </c>
      <c r="B318">
        <v>9</v>
      </c>
      <c r="C318">
        <v>75</v>
      </c>
      <c r="D318" s="23" t="s">
        <v>8</v>
      </c>
      <c r="E318" s="23" t="s">
        <v>12</v>
      </c>
      <c r="F318" s="8" t="s">
        <v>197</v>
      </c>
      <c r="G318" s="8" t="s">
        <v>201</v>
      </c>
      <c r="H318" s="20" t="s">
        <v>194</v>
      </c>
      <c r="I318">
        <v>1</v>
      </c>
      <c r="J318">
        <v>1</v>
      </c>
      <c r="N318">
        <v>1</v>
      </c>
      <c r="O318">
        <v>1</v>
      </c>
      <c r="Q318">
        <v>1</v>
      </c>
      <c r="R318">
        <v>1</v>
      </c>
      <c r="V318">
        <v>1</v>
      </c>
      <c r="W318">
        <v>1</v>
      </c>
      <c r="Y318">
        <v>1</v>
      </c>
      <c r="Z318">
        <v>1</v>
      </c>
      <c r="AA318">
        <v>1</v>
      </c>
      <c r="AI318">
        <v>1</v>
      </c>
      <c r="AK318">
        <v>1</v>
      </c>
      <c r="AM318">
        <v>1</v>
      </c>
      <c r="AY318">
        <v>1</v>
      </c>
      <c r="AZ318">
        <v>1</v>
      </c>
      <c r="BA318">
        <v>1</v>
      </c>
      <c r="BM318">
        <v>1</v>
      </c>
      <c r="FV318" s="18">
        <f t="shared" si="592"/>
        <v>7.3906485671191555E-2</v>
      </c>
    </row>
    <row r="319" spans="1:178" ht="14.25" customHeight="1" x14ac:dyDescent="0.25">
      <c r="A319" s="86" t="s">
        <v>273</v>
      </c>
      <c r="B319">
        <v>9</v>
      </c>
      <c r="C319">
        <v>75</v>
      </c>
      <c r="D319" s="23" t="s">
        <v>8</v>
      </c>
      <c r="E319" s="23" t="s">
        <v>12</v>
      </c>
      <c r="F319" s="8" t="s">
        <v>197</v>
      </c>
      <c r="G319" s="8" t="s">
        <v>201</v>
      </c>
      <c r="H319" s="21" t="s">
        <v>195</v>
      </c>
      <c r="K319">
        <v>1</v>
      </c>
      <c r="L319">
        <v>1</v>
      </c>
      <c r="M319">
        <v>1</v>
      </c>
      <c r="P319">
        <v>1</v>
      </c>
      <c r="S319">
        <v>1</v>
      </c>
      <c r="T319">
        <v>1</v>
      </c>
      <c r="U319">
        <v>1</v>
      </c>
      <c r="X319">
        <v>1</v>
      </c>
      <c r="AB319">
        <v>1</v>
      </c>
      <c r="AC319">
        <v>1</v>
      </c>
      <c r="AD319">
        <v>1</v>
      </c>
      <c r="AE319">
        <v>1</v>
      </c>
      <c r="AF319">
        <v>1</v>
      </c>
      <c r="AG319">
        <v>1</v>
      </c>
      <c r="AH319">
        <v>1</v>
      </c>
      <c r="AJ319">
        <v>1</v>
      </c>
      <c r="AL319">
        <v>1</v>
      </c>
      <c r="AN319">
        <v>1</v>
      </c>
      <c r="AO319">
        <v>1</v>
      </c>
      <c r="AP319">
        <v>1</v>
      </c>
      <c r="AQ319">
        <v>1</v>
      </c>
      <c r="AR319">
        <v>1</v>
      </c>
      <c r="AS319">
        <v>1</v>
      </c>
      <c r="AT319">
        <v>1</v>
      </c>
      <c r="AU319">
        <v>1</v>
      </c>
      <c r="AV319">
        <v>1</v>
      </c>
      <c r="AW319">
        <v>1</v>
      </c>
      <c r="AX319">
        <v>1</v>
      </c>
      <c r="BB319">
        <v>1</v>
      </c>
      <c r="BC319">
        <v>1</v>
      </c>
      <c r="BD319">
        <v>1</v>
      </c>
      <c r="BE319">
        <v>1</v>
      </c>
      <c r="BF319">
        <v>1</v>
      </c>
      <c r="BG319">
        <v>1</v>
      </c>
      <c r="BH319">
        <v>1</v>
      </c>
      <c r="BI319">
        <v>1</v>
      </c>
      <c r="BJ319">
        <v>1</v>
      </c>
      <c r="BK319">
        <v>1</v>
      </c>
      <c r="BL319">
        <v>1</v>
      </c>
      <c r="BN319">
        <v>1</v>
      </c>
      <c r="BO319">
        <v>1</v>
      </c>
      <c r="BP319">
        <v>1</v>
      </c>
      <c r="BQ319">
        <v>1</v>
      </c>
      <c r="BR319">
        <v>1</v>
      </c>
      <c r="BS319">
        <v>1</v>
      </c>
      <c r="BT319">
        <v>1</v>
      </c>
      <c r="BU319">
        <v>1</v>
      </c>
      <c r="BV319">
        <v>1</v>
      </c>
      <c r="BW319">
        <v>1</v>
      </c>
      <c r="BX319">
        <v>1</v>
      </c>
      <c r="BY319">
        <v>1</v>
      </c>
      <c r="BZ319">
        <v>1</v>
      </c>
      <c r="CA319">
        <v>1</v>
      </c>
      <c r="CB319">
        <v>1</v>
      </c>
      <c r="CC319">
        <v>1</v>
      </c>
      <c r="CD319">
        <v>1</v>
      </c>
      <c r="CE319">
        <v>1</v>
      </c>
      <c r="CF319">
        <v>1</v>
      </c>
      <c r="CG319">
        <v>1</v>
      </c>
      <c r="CH319">
        <v>1</v>
      </c>
      <c r="CI319">
        <v>1</v>
      </c>
      <c r="CJ319">
        <v>1</v>
      </c>
      <c r="CK319">
        <v>1</v>
      </c>
      <c r="CL319">
        <v>1</v>
      </c>
      <c r="CM319">
        <v>1</v>
      </c>
      <c r="CN319">
        <v>1</v>
      </c>
      <c r="CO319">
        <v>1</v>
      </c>
      <c r="CP319">
        <v>1</v>
      </c>
      <c r="CQ319">
        <v>1</v>
      </c>
      <c r="CR319">
        <v>1</v>
      </c>
      <c r="CS319">
        <v>1</v>
      </c>
      <c r="CT319">
        <v>1</v>
      </c>
      <c r="CU319">
        <v>1</v>
      </c>
      <c r="CV319">
        <v>1</v>
      </c>
      <c r="CW319">
        <v>1</v>
      </c>
      <c r="DA319">
        <v>1</v>
      </c>
      <c r="DB319">
        <v>1</v>
      </c>
      <c r="DC319">
        <v>1</v>
      </c>
      <c r="DD319">
        <v>1</v>
      </c>
      <c r="DE319">
        <v>1</v>
      </c>
      <c r="DF319">
        <v>1</v>
      </c>
      <c r="DG319">
        <v>1</v>
      </c>
      <c r="DH319">
        <v>1</v>
      </c>
      <c r="DI319">
        <v>1</v>
      </c>
      <c r="DJ319">
        <v>1</v>
      </c>
      <c r="DO319">
        <v>1</v>
      </c>
      <c r="DP319">
        <v>1</v>
      </c>
      <c r="DQ319">
        <v>1</v>
      </c>
      <c r="DR319">
        <v>1</v>
      </c>
      <c r="DS319">
        <v>1</v>
      </c>
      <c r="DT319">
        <v>1</v>
      </c>
      <c r="DU319">
        <v>1</v>
      </c>
      <c r="DV319">
        <v>1</v>
      </c>
      <c r="EC319">
        <v>1</v>
      </c>
      <c r="ED319">
        <v>1</v>
      </c>
      <c r="EE319">
        <v>1</v>
      </c>
      <c r="EF319">
        <v>1</v>
      </c>
      <c r="EG319">
        <v>1</v>
      </c>
      <c r="EH319">
        <v>1</v>
      </c>
      <c r="EI319">
        <v>1</v>
      </c>
      <c r="EQ319">
        <v>1</v>
      </c>
      <c r="ER319">
        <v>1</v>
      </c>
      <c r="ES319">
        <v>1</v>
      </c>
      <c r="ET319">
        <v>1</v>
      </c>
      <c r="EU319">
        <v>1</v>
      </c>
      <c r="EV319">
        <v>1</v>
      </c>
      <c r="FE319">
        <v>1</v>
      </c>
      <c r="FG319">
        <v>1</v>
      </c>
      <c r="FH319">
        <v>1</v>
      </c>
      <c r="FI319">
        <v>1</v>
      </c>
      <c r="FU319">
        <v>1</v>
      </c>
      <c r="FV319" s="18">
        <f t="shared" si="589"/>
        <v>0.5641025641025641</v>
      </c>
    </row>
    <row r="320" spans="1:178" ht="14.25" customHeight="1" x14ac:dyDescent="0.25">
      <c r="A320" s="86" t="s">
        <v>273</v>
      </c>
      <c r="B320">
        <v>9</v>
      </c>
      <c r="C320">
        <v>75</v>
      </c>
      <c r="D320" s="23" t="s">
        <v>8</v>
      </c>
      <c r="E320" s="23" t="s">
        <v>13</v>
      </c>
      <c r="F320" s="8" t="s">
        <v>197</v>
      </c>
      <c r="G320" s="8" t="s">
        <v>201</v>
      </c>
      <c r="H320" s="23" t="s">
        <v>194</v>
      </c>
      <c r="I320">
        <v>1</v>
      </c>
      <c r="J320">
        <v>1</v>
      </c>
      <c r="N320">
        <v>1</v>
      </c>
      <c r="O320">
        <v>1</v>
      </c>
      <c r="Q320">
        <v>1</v>
      </c>
      <c r="R320">
        <v>1</v>
      </c>
      <c r="V320">
        <v>1</v>
      </c>
      <c r="W320">
        <v>1</v>
      </c>
      <c r="Y320">
        <v>1</v>
      </c>
      <c r="Z320">
        <v>1</v>
      </c>
      <c r="AA320">
        <v>1</v>
      </c>
      <c r="AI320">
        <v>1</v>
      </c>
      <c r="AK320">
        <v>1</v>
      </c>
      <c r="AM320">
        <v>1</v>
      </c>
      <c r="AY320">
        <v>1</v>
      </c>
      <c r="AZ320">
        <v>1</v>
      </c>
      <c r="BA320">
        <v>1</v>
      </c>
      <c r="BM320">
        <v>1</v>
      </c>
      <c r="FV320" s="18">
        <f t="shared" si="589"/>
        <v>7.3906485671191555E-2</v>
      </c>
    </row>
    <row r="321" spans="1:178" ht="14.25" customHeight="1" x14ac:dyDescent="0.25">
      <c r="A321" s="86" t="s">
        <v>273</v>
      </c>
      <c r="B321">
        <v>9</v>
      </c>
      <c r="C321">
        <v>75</v>
      </c>
      <c r="D321" s="23" t="s">
        <v>8</v>
      </c>
      <c r="E321" s="23" t="s">
        <v>13</v>
      </c>
      <c r="F321" s="8" t="s">
        <v>197</v>
      </c>
      <c r="G321" s="8" t="s">
        <v>201</v>
      </c>
      <c r="H321" s="23" t="s">
        <v>195</v>
      </c>
      <c r="K321">
        <v>1</v>
      </c>
      <c r="L321">
        <v>1</v>
      </c>
      <c r="M321">
        <v>1</v>
      </c>
      <c r="P321">
        <v>1</v>
      </c>
      <c r="S321">
        <v>1</v>
      </c>
      <c r="T321">
        <v>1</v>
      </c>
      <c r="U321">
        <v>1</v>
      </c>
      <c r="X321">
        <v>1</v>
      </c>
      <c r="AB321">
        <v>1</v>
      </c>
      <c r="AC321">
        <v>1</v>
      </c>
      <c r="AD321">
        <v>1</v>
      </c>
      <c r="AE321">
        <v>1</v>
      </c>
      <c r="AF321">
        <v>1</v>
      </c>
      <c r="AG321">
        <v>1</v>
      </c>
      <c r="AH321">
        <v>1</v>
      </c>
      <c r="AJ321">
        <v>1</v>
      </c>
      <c r="AL321">
        <v>1</v>
      </c>
      <c r="AN321">
        <v>1</v>
      </c>
      <c r="AO321">
        <v>1</v>
      </c>
      <c r="AP321">
        <v>1</v>
      </c>
      <c r="AQ321">
        <v>1</v>
      </c>
      <c r="AR321">
        <v>1</v>
      </c>
      <c r="AS321">
        <v>1</v>
      </c>
      <c r="AT321">
        <v>1</v>
      </c>
      <c r="AU321">
        <v>1</v>
      </c>
      <c r="AV321">
        <v>1</v>
      </c>
      <c r="AW321">
        <v>1</v>
      </c>
      <c r="AX321">
        <v>1</v>
      </c>
      <c r="BB321">
        <v>1</v>
      </c>
      <c r="BC321">
        <v>1</v>
      </c>
      <c r="BD321">
        <v>1</v>
      </c>
      <c r="BE321">
        <v>1</v>
      </c>
      <c r="BF321">
        <v>1</v>
      </c>
      <c r="BG321">
        <v>1</v>
      </c>
      <c r="BH321">
        <v>1</v>
      </c>
      <c r="BI321">
        <v>1</v>
      </c>
      <c r="BJ321">
        <v>1</v>
      </c>
      <c r="BK321">
        <v>1</v>
      </c>
      <c r="BL321">
        <v>1</v>
      </c>
      <c r="BN321">
        <v>1</v>
      </c>
      <c r="BO321">
        <v>1</v>
      </c>
      <c r="BP321">
        <v>1</v>
      </c>
      <c r="BQ321">
        <v>1</v>
      </c>
      <c r="BR321">
        <v>1</v>
      </c>
      <c r="BS321">
        <v>1</v>
      </c>
      <c r="BT321">
        <v>1</v>
      </c>
      <c r="BU321">
        <v>1</v>
      </c>
      <c r="BV321">
        <v>1</v>
      </c>
      <c r="BW321">
        <v>1</v>
      </c>
      <c r="BX321">
        <v>1</v>
      </c>
      <c r="BY321">
        <v>1</v>
      </c>
      <c r="BZ321">
        <v>1</v>
      </c>
      <c r="CA321">
        <v>1</v>
      </c>
      <c r="CB321">
        <v>1</v>
      </c>
      <c r="CC321">
        <v>1</v>
      </c>
      <c r="CD321">
        <v>1</v>
      </c>
      <c r="CE321">
        <v>1</v>
      </c>
      <c r="CF321">
        <v>1</v>
      </c>
      <c r="CG321">
        <v>1</v>
      </c>
      <c r="CH321">
        <v>1</v>
      </c>
      <c r="CI321">
        <v>1</v>
      </c>
      <c r="CJ321">
        <v>1</v>
      </c>
      <c r="CK321">
        <v>1</v>
      </c>
      <c r="CL321">
        <v>1</v>
      </c>
      <c r="CM321">
        <v>1</v>
      </c>
      <c r="CN321">
        <v>1</v>
      </c>
      <c r="CO321">
        <v>1</v>
      </c>
      <c r="CP321">
        <v>1</v>
      </c>
      <c r="CQ321">
        <v>1</v>
      </c>
      <c r="CR321">
        <v>1</v>
      </c>
      <c r="CS321">
        <v>1</v>
      </c>
      <c r="CT321">
        <v>1</v>
      </c>
      <c r="CU321">
        <v>1</v>
      </c>
      <c r="CV321">
        <v>1</v>
      </c>
      <c r="CW321">
        <v>1</v>
      </c>
      <c r="DA321">
        <v>1</v>
      </c>
      <c r="DB321">
        <v>1</v>
      </c>
      <c r="DC321">
        <v>1</v>
      </c>
      <c r="DD321">
        <v>1</v>
      </c>
      <c r="DE321">
        <v>1</v>
      </c>
      <c r="DF321">
        <v>1</v>
      </c>
      <c r="DG321">
        <v>1</v>
      </c>
      <c r="DH321">
        <v>1</v>
      </c>
      <c r="DI321">
        <v>1</v>
      </c>
      <c r="DJ321">
        <v>1</v>
      </c>
      <c r="DO321">
        <v>1</v>
      </c>
      <c r="DP321">
        <v>1</v>
      </c>
      <c r="DQ321">
        <v>1</v>
      </c>
      <c r="DR321">
        <v>1</v>
      </c>
      <c r="DS321">
        <v>1</v>
      </c>
      <c r="DT321">
        <v>1</v>
      </c>
      <c r="DU321">
        <v>1</v>
      </c>
      <c r="DV321">
        <v>1</v>
      </c>
      <c r="EC321">
        <v>1</v>
      </c>
      <c r="ED321">
        <v>1</v>
      </c>
      <c r="EE321">
        <v>1</v>
      </c>
      <c r="EF321">
        <v>1</v>
      </c>
      <c r="EG321">
        <v>1</v>
      </c>
      <c r="EH321">
        <v>1</v>
      </c>
      <c r="EI321">
        <v>1</v>
      </c>
      <c r="EQ321">
        <v>1</v>
      </c>
      <c r="ER321">
        <v>1</v>
      </c>
      <c r="ES321">
        <v>1</v>
      </c>
      <c r="ET321">
        <v>1</v>
      </c>
      <c r="EU321">
        <v>1</v>
      </c>
      <c r="EV321">
        <v>1</v>
      </c>
      <c r="FE321">
        <v>1</v>
      </c>
      <c r="FG321">
        <v>1</v>
      </c>
      <c r="FH321">
        <v>1</v>
      </c>
      <c r="FI321">
        <v>1</v>
      </c>
      <c r="FU321">
        <v>1</v>
      </c>
      <c r="FV321" s="18">
        <f t="shared" ref="FV321" si="593">SUMPRODUCT(I321:FU321,$I$1:$FU$1)/(SUM($I$1:$FU$1))</f>
        <v>0.5641025641025641</v>
      </c>
    </row>
    <row r="322" spans="1:178" ht="14.25" customHeight="1" x14ac:dyDescent="0.25">
      <c r="A322" s="86" t="s">
        <v>273</v>
      </c>
      <c r="B322">
        <v>9</v>
      </c>
      <c r="C322">
        <v>75</v>
      </c>
      <c r="D322" s="23" t="s">
        <v>10</v>
      </c>
      <c r="E322" s="23" t="s">
        <v>11</v>
      </c>
      <c r="F322" s="8" t="s">
        <v>197</v>
      </c>
      <c r="G322" s="8" t="s">
        <v>201</v>
      </c>
      <c r="H322" s="20" t="s">
        <v>194</v>
      </c>
      <c r="I322">
        <v>1</v>
      </c>
      <c r="J322">
        <v>1</v>
      </c>
      <c r="K322">
        <v>1</v>
      </c>
      <c r="S322">
        <v>1</v>
      </c>
      <c r="T322">
        <v>1</v>
      </c>
      <c r="U322">
        <v>1</v>
      </c>
      <c r="V322">
        <v>1</v>
      </c>
      <c r="W322">
        <v>1</v>
      </c>
      <c r="AD322">
        <v>1</v>
      </c>
      <c r="AE322">
        <v>1</v>
      </c>
      <c r="AF322">
        <v>1</v>
      </c>
      <c r="AK322">
        <v>1</v>
      </c>
      <c r="AN322">
        <v>1</v>
      </c>
      <c r="AO322">
        <v>1</v>
      </c>
      <c r="AY322">
        <v>1</v>
      </c>
      <c r="BB322">
        <v>1</v>
      </c>
      <c r="BJ322">
        <v>1</v>
      </c>
      <c r="BK322">
        <v>1</v>
      </c>
      <c r="BL322">
        <v>1</v>
      </c>
      <c r="BM322">
        <v>1</v>
      </c>
      <c r="BP322">
        <v>1</v>
      </c>
      <c r="BV322">
        <v>1</v>
      </c>
      <c r="CC322">
        <v>1</v>
      </c>
      <c r="CI322">
        <v>1</v>
      </c>
      <c r="FV322" s="18">
        <f t="shared" si="589"/>
        <v>0.11613876319758673</v>
      </c>
    </row>
    <row r="323" spans="1:178" ht="14.25" customHeight="1" x14ac:dyDescent="0.25">
      <c r="A323" s="86" t="s">
        <v>273</v>
      </c>
      <c r="B323">
        <v>9</v>
      </c>
      <c r="C323">
        <v>75</v>
      </c>
      <c r="D323" s="23" t="s">
        <v>10</v>
      </c>
      <c r="E323" s="23" t="s">
        <v>11</v>
      </c>
      <c r="F323" s="8" t="s">
        <v>197</v>
      </c>
      <c r="G323" s="8" t="s">
        <v>201</v>
      </c>
      <c r="H323" s="21" t="s">
        <v>195</v>
      </c>
      <c r="L323">
        <v>1</v>
      </c>
      <c r="M323">
        <v>1</v>
      </c>
      <c r="N323">
        <v>1</v>
      </c>
      <c r="O323">
        <v>1</v>
      </c>
      <c r="P323">
        <v>1</v>
      </c>
      <c r="Q323">
        <v>1</v>
      </c>
      <c r="R323">
        <v>1</v>
      </c>
      <c r="X323">
        <v>1</v>
      </c>
      <c r="Y323">
        <v>1</v>
      </c>
      <c r="Z323">
        <v>1</v>
      </c>
      <c r="AA323">
        <v>1</v>
      </c>
      <c r="AB323">
        <v>1</v>
      </c>
      <c r="AC323">
        <v>1</v>
      </c>
      <c r="AI323">
        <v>1</v>
      </c>
      <c r="AJ323">
        <v>1</v>
      </c>
      <c r="AL323">
        <v>1</v>
      </c>
      <c r="AM323">
        <v>1</v>
      </c>
      <c r="AV323">
        <v>1</v>
      </c>
      <c r="AW323">
        <v>1</v>
      </c>
      <c r="AX323">
        <v>1</v>
      </c>
      <c r="AZ323">
        <v>1</v>
      </c>
      <c r="BA323">
        <v>1</v>
      </c>
      <c r="BI323">
        <v>1</v>
      </c>
      <c r="BN323">
        <v>1</v>
      </c>
      <c r="BO323">
        <v>1</v>
      </c>
      <c r="CA323">
        <v>1</v>
      </c>
      <c r="CB323">
        <v>1</v>
      </c>
      <c r="CO323">
        <v>1</v>
      </c>
      <c r="CP323">
        <v>1</v>
      </c>
      <c r="CQ323">
        <v>1</v>
      </c>
      <c r="DC323">
        <v>1</v>
      </c>
      <c r="DD323">
        <v>1</v>
      </c>
      <c r="DQ323">
        <v>1</v>
      </c>
      <c r="DR323">
        <v>1</v>
      </c>
      <c r="EE323">
        <v>1</v>
      </c>
      <c r="EF323">
        <v>1</v>
      </c>
      <c r="ES323">
        <v>1</v>
      </c>
      <c r="FG323">
        <v>1</v>
      </c>
      <c r="FU323">
        <v>1</v>
      </c>
      <c r="FV323" s="18">
        <f t="shared" si="589"/>
        <v>0.16591251885369532</v>
      </c>
    </row>
    <row r="324" spans="1:178" ht="14.25" customHeight="1" x14ac:dyDescent="0.25">
      <c r="A324" s="86" t="s">
        <v>273</v>
      </c>
      <c r="B324">
        <v>9</v>
      </c>
      <c r="C324">
        <v>75</v>
      </c>
      <c r="D324" s="23" t="s">
        <v>9</v>
      </c>
      <c r="E324" s="23" t="s">
        <v>11</v>
      </c>
      <c r="F324" s="8" t="s">
        <v>197</v>
      </c>
      <c r="G324" s="8" t="s">
        <v>201</v>
      </c>
      <c r="H324" s="23" t="s">
        <v>194</v>
      </c>
      <c r="I324">
        <v>1</v>
      </c>
      <c r="J324">
        <v>1</v>
      </c>
      <c r="K324">
        <v>1</v>
      </c>
      <c r="M324">
        <v>1</v>
      </c>
      <c r="O324">
        <v>1</v>
      </c>
      <c r="P324">
        <v>1</v>
      </c>
      <c r="Q324">
        <v>1</v>
      </c>
      <c r="R324">
        <v>1</v>
      </c>
      <c r="V324">
        <v>1</v>
      </c>
      <c r="W324">
        <v>1</v>
      </c>
      <c r="Y324">
        <v>1</v>
      </c>
      <c r="Z324">
        <v>1</v>
      </c>
      <c r="AA324">
        <v>1</v>
      </c>
      <c r="AJ324">
        <v>1</v>
      </c>
      <c r="AK324">
        <v>1</v>
      </c>
      <c r="AL324">
        <v>1</v>
      </c>
      <c r="AM324">
        <v>1</v>
      </c>
      <c r="AV324">
        <v>1</v>
      </c>
      <c r="AY324">
        <v>1</v>
      </c>
      <c r="AZ324">
        <v>1</v>
      </c>
      <c r="BI324">
        <v>1</v>
      </c>
      <c r="BJ324">
        <v>1</v>
      </c>
      <c r="BM324">
        <v>1</v>
      </c>
      <c r="BN324">
        <v>1</v>
      </c>
      <c r="BO324">
        <v>1</v>
      </c>
      <c r="CB324">
        <v>1</v>
      </c>
      <c r="CO324">
        <v>1</v>
      </c>
      <c r="FV324" s="18">
        <f t="shared" si="589"/>
        <v>0.12066365007541478</v>
      </c>
    </row>
    <row r="325" spans="1:178" ht="14.25" customHeight="1" x14ac:dyDescent="0.25">
      <c r="A325" s="86" t="s">
        <v>273</v>
      </c>
      <c r="B325">
        <v>9</v>
      </c>
      <c r="C325">
        <v>75</v>
      </c>
      <c r="D325" s="23" t="s">
        <v>9</v>
      </c>
      <c r="E325" s="23" t="s">
        <v>11</v>
      </c>
      <c r="F325" s="8" t="s">
        <v>197</v>
      </c>
      <c r="G325" s="8" t="s">
        <v>201</v>
      </c>
      <c r="H325" s="23" t="s">
        <v>195</v>
      </c>
      <c r="L325">
        <v>1</v>
      </c>
      <c r="N325">
        <v>1</v>
      </c>
      <c r="S325">
        <v>1</v>
      </c>
      <c r="T325">
        <v>1</v>
      </c>
      <c r="U325">
        <v>1</v>
      </c>
      <c r="X325">
        <v>1</v>
      </c>
      <c r="AB325">
        <v>1</v>
      </c>
      <c r="AC325">
        <v>1</v>
      </c>
      <c r="AD325">
        <v>1</v>
      </c>
      <c r="AE325">
        <v>1</v>
      </c>
      <c r="AF325">
        <v>1</v>
      </c>
      <c r="AI325">
        <v>1</v>
      </c>
      <c r="AN325">
        <v>1</v>
      </c>
      <c r="AO325">
        <v>1</v>
      </c>
      <c r="AW325">
        <v>1</v>
      </c>
      <c r="AX325">
        <v>1</v>
      </c>
      <c r="BA325">
        <v>1</v>
      </c>
      <c r="BB325">
        <v>1</v>
      </c>
      <c r="BK325">
        <v>1</v>
      </c>
      <c r="BL325">
        <v>1</v>
      </c>
      <c r="BP325">
        <v>1</v>
      </c>
      <c r="BV325">
        <v>1</v>
      </c>
      <c r="CA325">
        <v>1</v>
      </c>
      <c r="CC325">
        <v>1</v>
      </c>
      <c r="CP325">
        <v>1</v>
      </c>
      <c r="CQ325">
        <v>1</v>
      </c>
      <c r="DC325">
        <v>1</v>
      </c>
      <c r="DD325">
        <v>1</v>
      </c>
      <c r="DQ325">
        <v>1</v>
      </c>
      <c r="DR325">
        <v>1</v>
      </c>
      <c r="EE325">
        <v>1</v>
      </c>
      <c r="EF325">
        <v>1</v>
      </c>
      <c r="ES325">
        <v>1</v>
      </c>
      <c r="FG325">
        <v>1</v>
      </c>
      <c r="FU325">
        <v>1</v>
      </c>
      <c r="FV325" s="18">
        <f t="shared" si="589"/>
        <v>0.15233785822021115</v>
      </c>
    </row>
    <row r="326" spans="1:178" ht="14.25" customHeight="1" x14ac:dyDescent="0.25">
      <c r="A326" s="86" t="s">
        <v>273</v>
      </c>
      <c r="B326">
        <v>9</v>
      </c>
      <c r="C326">
        <v>75</v>
      </c>
      <c r="D326" s="23" t="s">
        <v>8</v>
      </c>
      <c r="E326" s="23" t="s">
        <v>11</v>
      </c>
      <c r="F326" s="8" t="s">
        <v>197</v>
      </c>
      <c r="G326" s="8" t="s">
        <v>201</v>
      </c>
      <c r="H326" s="20" t="s">
        <v>194</v>
      </c>
      <c r="I326">
        <v>1</v>
      </c>
      <c r="J326">
        <v>1</v>
      </c>
      <c r="K326">
        <v>1</v>
      </c>
      <c r="L326">
        <v>1</v>
      </c>
      <c r="Q326">
        <v>1</v>
      </c>
      <c r="R326">
        <v>1</v>
      </c>
      <c r="V326">
        <v>1</v>
      </c>
      <c r="W326">
        <v>1</v>
      </c>
      <c r="AB326">
        <v>1</v>
      </c>
      <c r="AC326">
        <v>1</v>
      </c>
      <c r="AI326">
        <v>1</v>
      </c>
      <c r="AJ326">
        <v>1</v>
      </c>
      <c r="AK326">
        <v>1</v>
      </c>
      <c r="AY326">
        <v>1</v>
      </c>
      <c r="AZ326">
        <v>1</v>
      </c>
      <c r="BA326">
        <v>1</v>
      </c>
      <c r="BJ326">
        <v>1</v>
      </c>
      <c r="BM326">
        <v>1</v>
      </c>
      <c r="BN326">
        <v>1</v>
      </c>
      <c r="BO326">
        <v>1</v>
      </c>
      <c r="BP326">
        <v>1</v>
      </c>
      <c r="CA326">
        <v>1</v>
      </c>
      <c r="CB326">
        <v>1</v>
      </c>
      <c r="CP326">
        <v>1</v>
      </c>
      <c r="DR326">
        <v>1</v>
      </c>
      <c r="DV326">
        <v>1</v>
      </c>
      <c r="FV326" s="18">
        <f t="shared" si="589"/>
        <v>0.11764705882352941</v>
      </c>
    </row>
    <row r="327" spans="1:178" ht="14.25" customHeight="1" x14ac:dyDescent="0.25">
      <c r="A327" s="86" t="s">
        <v>273</v>
      </c>
      <c r="B327">
        <v>9</v>
      </c>
      <c r="C327">
        <v>75</v>
      </c>
      <c r="D327" s="23" t="s">
        <v>8</v>
      </c>
      <c r="E327" s="23" t="s">
        <v>11</v>
      </c>
      <c r="F327" s="8" t="s">
        <v>197</v>
      </c>
      <c r="G327" s="8" t="s">
        <v>201</v>
      </c>
      <c r="H327" s="21" t="s">
        <v>195</v>
      </c>
      <c r="M327">
        <v>1</v>
      </c>
      <c r="N327">
        <v>1</v>
      </c>
      <c r="O327">
        <v>1</v>
      </c>
      <c r="P327">
        <v>1</v>
      </c>
      <c r="S327">
        <v>1</v>
      </c>
      <c r="T327">
        <v>1</v>
      </c>
      <c r="U327">
        <v>1</v>
      </c>
      <c r="X327">
        <v>1</v>
      </c>
      <c r="Y327">
        <v>1</v>
      </c>
      <c r="Z327">
        <v>1</v>
      </c>
      <c r="AA327">
        <v>1</v>
      </c>
      <c r="AD327">
        <v>1</v>
      </c>
      <c r="AE327">
        <v>1</v>
      </c>
      <c r="AF327">
        <v>1</v>
      </c>
      <c r="AG327">
        <v>1</v>
      </c>
      <c r="AH327">
        <v>1</v>
      </c>
      <c r="AL327">
        <v>1</v>
      </c>
      <c r="AM327">
        <v>1</v>
      </c>
      <c r="AN327">
        <v>1</v>
      </c>
      <c r="AO327">
        <v>1</v>
      </c>
      <c r="AP327">
        <v>1</v>
      </c>
      <c r="AQ327">
        <v>1</v>
      </c>
      <c r="AR327">
        <v>1</v>
      </c>
      <c r="AS327">
        <v>1</v>
      </c>
      <c r="AT327">
        <v>1</v>
      </c>
      <c r="AU327">
        <v>1</v>
      </c>
      <c r="AV327">
        <v>1</v>
      </c>
      <c r="AW327">
        <v>1</v>
      </c>
      <c r="AX327">
        <v>1</v>
      </c>
      <c r="BB327">
        <v>1</v>
      </c>
      <c r="BC327">
        <v>1</v>
      </c>
      <c r="BD327">
        <v>1</v>
      </c>
      <c r="BE327">
        <v>1</v>
      </c>
      <c r="BF327">
        <v>1</v>
      </c>
      <c r="BG327">
        <v>1</v>
      </c>
      <c r="BH327">
        <v>1</v>
      </c>
      <c r="BI327">
        <v>1</v>
      </c>
      <c r="BK327">
        <v>1</v>
      </c>
      <c r="BL327">
        <v>1</v>
      </c>
      <c r="BQ327">
        <v>1</v>
      </c>
      <c r="BR327">
        <v>1</v>
      </c>
      <c r="BS327">
        <v>1</v>
      </c>
      <c r="BT327">
        <v>1</v>
      </c>
      <c r="BU327">
        <v>1</v>
      </c>
      <c r="BV327">
        <v>1</v>
      </c>
      <c r="BW327">
        <v>1</v>
      </c>
      <c r="BX327">
        <v>1</v>
      </c>
      <c r="BY327">
        <v>1</v>
      </c>
      <c r="BZ327">
        <v>1</v>
      </c>
      <c r="CC327">
        <v>1</v>
      </c>
      <c r="CD327">
        <v>1</v>
      </c>
      <c r="CE327">
        <v>1</v>
      </c>
      <c r="CF327">
        <v>1</v>
      </c>
      <c r="CG327">
        <v>1</v>
      </c>
      <c r="CH327">
        <v>1</v>
      </c>
      <c r="CI327">
        <v>1</v>
      </c>
      <c r="CJ327">
        <v>1</v>
      </c>
      <c r="CK327">
        <v>1</v>
      </c>
      <c r="CL327">
        <v>1</v>
      </c>
      <c r="CM327">
        <v>1</v>
      </c>
      <c r="CN327">
        <v>1</v>
      </c>
      <c r="CO327">
        <v>1</v>
      </c>
      <c r="CQ327">
        <v>1</v>
      </c>
      <c r="CR327">
        <v>1</v>
      </c>
      <c r="CS327">
        <v>1</v>
      </c>
      <c r="CT327">
        <v>1</v>
      </c>
      <c r="CU327">
        <v>1</v>
      </c>
      <c r="CV327">
        <v>1</v>
      </c>
      <c r="CW327">
        <v>1</v>
      </c>
      <c r="CX327">
        <v>1</v>
      </c>
      <c r="CY327">
        <v>1</v>
      </c>
      <c r="CZ327">
        <v>1</v>
      </c>
      <c r="DA327">
        <v>1</v>
      </c>
      <c r="DB327">
        <v>1</v>
      </c>
      <c r="DC327">
        <v>1</v>
      </c>
      <c r="DD327">
        <v>1</v>
      </c>
      <c r="DE327">
        <v>1</v>
      </c>
      <c r="DF327">
        <v>1</v>
      </c>
      <c r="DG327">
        <v>1</v>
      </c>
      <c r="DH327">
        <v>1</v>
      </c>
      <c r="DI327">
        <v>1</v>
      </c>
      <c r="DJ327">
        <v>1</v>
      </c>
      <c r="DK327">
        <v>1</v>
      </c>
      <c r="DM327">
        <v>1</v>
      </c>
      <c r="DN327">
        <v>1</v>
      </c>
      <c r="DO327">
        <v>1</v>
      </c>
      <c r="DP327">
        <v>1</v>
      </c>
      <c r="DQ327">
        <v>1</v>
      </c>
      <c r="DS327">
        <v>1</v>
      </c>
      <c r="DT327">
        <v>1</v>
      </c>
      <c r="DU327">
        <v>1</v>
      </c>
      <c r="DW327">
        <v>1</v>
      </c>
      <c r="DX327">
        <v>1</v>
      </c>
      <c r="EC327">
        <v>1</v>
      </c>
      <c r="ED327">
        <v>1</v>
      </c>
      <c r="EE327">
        <v>1</v>
      </c>
      <c r="EF327">
        <v>1</v>
      </c>
      <c r="EG327">
        <v>1</v>
      </c>
      <c r="EH327">
        <v>1</v>
      </c>
      <c r="EI327">
        <v>1</v>
      </c>
      <c r="EJ327">
        <v>1</v>
      </c>
      <c r="EK327">
        <v>1</v>
      </c>
      <c r="EQ327">
        <v>1</v>
      </c>
      <c r="ER327">
        <v>1</v>
      </c>
      <c r="ES327">
        <v>1</v>
      </c>
      <c r="ET327">
        <v>1</v>
      </c>
      <c r="EU327">
        <v>1</v>
      </c>
      <c r="EV327">
        <v>1</v>
      </c>
      <c r="EW327">
        <v>1</v>
      </c>
      <c r="FE327">
        <v>1</v>
      </c>
      <c r="FG327">
        <v>1</v>
      </c>
      <c r="FH327">
        <v>1</v>
      </c>
      <c r="FI327">
        <v>1</v>
      </c>
      <c r="FJ327">
        <v>1</v>
      </c>
      <c r="FU327">
        <v>1</v>
      </c>
      <c r="FV327" s="18">
        <f t="shared" si="589"/>
        <v>0.62895927601809953</v>
      </c>
    </row>
    <row r="328" spans="1:178" ht="14.25" customHeight="1" x14ac:dyDescent="0.25">
      <c r="A328" s="86" t="s">
        <v>273</v>
      </c>
      <c r="B328">
        <v>9</v>
      </c>
      <c r="C328">
        <v>75</v>
      </c>
      <c r="D328" s="23" t="s">
        <v>9</v>
      </c>
      <c r="E328" s="23" t="s">
        <v>10</v>
      </c>
      <c r="F328" s="8" t="s">
        <v>197</v>
      </c>
      <c r="G328" s="8" t="s">
        <v>201</v>
      </c>
      <c r="H328" s="23" t="s">
        <v>194</v>
      </c>
      <c r="I328">
        <v>1</v>
      </c>
      <c r="J328">
        <v>1</v>
      </c>
      <c r="K328">
        <v>1</v>
      </c>
      <c r="M328">
        <v>1</v>
      </c>
      <c r="O328">
        <v>1</v>
      </c>
      <c r="P328">
        <v>1</v>
      </c>
      <c r="Q328">
        <v>1</v>
      </c>
      <c r="R328">
        <v>1</v>
      </c>
      <c r="V328">
        <v>1</v>
      </c>
      <c r="W328">
        <v>1</v>
      </c>
      <c r="Y328">
        <v>1</v>
      </c>
      <c r="Z328">
        <v>1</v>
      </c>
      <c r="AA328">
        <v>1</v>
      </c>
      <c r="AJ328">
        <v>1</v>
      </c>
      <c r="AK328">
        <v>1</v>
      </c>
      <c r="AL328">
        <v>1</v>
      </c>
      <c r="AM328">
        <v>1</v>
      </c>
      <c r="AV328">
        <v>1</v>
      </c>
      <c r="AY328">
        <v>1</v>
      </c>
      <c r="AZ328">
        <v>1</v>
      </c>
      <c r="BI328">
        <v>1</v>
      </c>
      <c r="BJ328">
        <v>1</v>
      </c>
      <c r="BM328">
        <v>1</v>
      </c>
      <c r="BN328">
        <v>1</v>
      </c>
      <c r="BO328">
        <v>1</v>
      </c>
      <c r="CB328">
        <v>1</v>
      </c>
      <c r="CO328">
        <v>1</v>
      </c>
      <c r="FV328" s="18">
        <f t="shared" si="589"/>
        <v>0.12066365007541478</v>
      </c>
    </row>
    <row r="329" spans="1:178" ht="14.25" customHeight="1" x14ac:dyDescent="0.25">
      <c r="A329" s="86" t="s">
        <v>273</v>
      </c>
      <c r="B329">
        <v>9</v>
      </c>
      <c r="C329">
        <v>75</v>
      </c>
      <c r="D329" s="23" t="s">
        <v>9</v>
      </c>
      <c r="E329" s="23" t="s">
        <v>10</v>
      </c>
      <c r="F329" s="8" t="s">
        <v>197</v>
      </c>
      <c r="G329" s="8" t="s">
        <v>201</v>
      </c>
      <c r="H329" s="23" t="s">
        <v>195</v>
      </c>
      <c r="L329">
        <v>1</v>
      </c>
      <c r="N329">
        <v>1</v>
      </c>
      <c r="S329">
        <v>1</v>
      </c>
      <c r="T329">
        <v>1</v>
      </c>
      <c r="U329">
        <v>1</v>
      </c>
      <c r="X329">
        <v>1</v>
      </c>
      <c r="AB329">
        <v>1</v>
      </c>
      <c r="AC329">
        <v>1</v>
      </c>
      <c r="AD329">
        <v>1</v>
      </c>
      <c r="AE329">
        <v>1</v>
      </c>
      <c r="AF329">
        <v>1</v>
      </c>
      <c r="AI329">
        <v>1</v>
      </c>
      <c r="AN329">
        <v>1</v>
      </c>
      <c r="AO329">
        <v>1</v>
      </c>
      <c r="AW329">
        <v>1</v>
      </c>
      <c r="AX329">
        <v>1</v>
      </c>
      <c r="BA329">
        <v>1</v>
      </c>
      <c r="BB329">
        <v>1</v>
      </c>
      <c r="BK329">
        <v>1</v>
      </c>
      <c r="BL329">
        <v>1</v>
      </c>
      <c r="BP329">
        <v>1</v>
      </c>
      <c r="BV329">
        <v>1</v>
      </c>
      <c r="CA329">
        <v>1</v>
      </c>
      <c r="CC329">
        <v>1</v>
      </c>
      <c r="CP329">
        <v>1</v>
      </c>
      <c r="CQ329">
        <v>1</v>
      </c>
      <c r="DC329">
        <v>1</v>
      </c>
      <c r="DD329">
        <v>1</v>
      </c>
      <c r="DQ329">
        <v>1</v>
      </c>
      <c r="DR329">
        <v>1</v>
      </c>
      <c r="EE329">
        <v>1</v>
      </c>
      <c r="EF329">
        <v>1</v>
      </c>
      <c r="ES329">
        <v>1</v>
      </c>
      <c r="FG329">
        <v>1</v>
      </c>
      <c r="FU329">
        <v>1</v>
      </c>
      <c r="FV329" s="18">
        <f t="shared" si="589"/>
        <v>0.15233785822021115</v>
      </c>
    </row>
    <row r="330" spans="1:178" ht="14.25" customHeight="1" x14ac:dyDescent="0.25">
      <c r="A330" s="86" t="s">
        <v>273</v>
      </c>
      <c r="B330">
        <v>9</v>
      </c>
      <c r="C330">
        <v>75</v>
      </c>
      <c r="D330" s="23" t="s">
        <v>8</v>
      </c>
      <c r="E330" s="23" t="s">
        <v>10</v>
      </c>
      <c r="F330" s="8" t="s">
        <v>197</v>
      </c>
      <c r="G330" s="8" t="s">
        <v>201</v>
      </c>
      <c r="H330" s="20" t="s">
        <v>194</v>
      </c>
      <c r="I330">
        <v>1</v>
      </c>
      <c r="J330">
        <v>1</v>
      </c>
      <c r="K330">
        <v>1</v>
      </c>
      <c r="L330">
        <v>1</v>
      </c>
      <c r="M330">
        <v>1</v>
      </c>
      <c r="R330">
        <v>1</v>
      </c>
      <c r="S330">
        <v>1</v>
      </c>
      <c r="V330">
        <v>1</v>
      </c>
      <c r="W330">
        <v>1</v>
      </c>
      <c r="X330">
        <v>1</v>
      </c>
      <c r="Y330">
        <v>1</v>
      </c>
      <c r="Z330">
        <v>1</v>
      </c>
      <c r="AD330">
        <v>1</v>
      </c>
      <c r="AE330">
        <v>1</v>
      </c>
      <c r="AI330">
        <v>1</v>
      </c>
      <c r="AJ330">
        <v>1</v>
      </c>
      <c r="AK330">
        <v>1</v>
      </c>
      <c r="AV330">
        <v>1</v>
      </c>
      <c r="AY330">
        <v>1</v>
      </c>
      <c r="BB330">
        <v>1</v>
      </c>
      <c r="BJ330">
        <v>1</v>
      </c>
      <c r="BM330">
        <v>1</v>
      </c>
      <c r="BN330">
        <v>1</v>
      </c>
      <c r="BO330">
        <v>1</v>
      </c>
      <c r="BP330">
        <v>1</v>
      </c>
      <c r="BX330">
        <v>1</v>
      </c>
      <c r="BY330">
        <v>1</v>
      </c>
      <c r="CA330">
        <v>1</v>
      </c>
      <c r="CB330">
        <v>1</v>
      </c>
      <c r="CC330">
        <v>1</v>
      </c>
      <c r="CD330">
        <v>1</v>
      </c>
      <c r="CO330">
        <v>1</v>
      </c>
      <c r="CP330">
        <v>1</v>
      </c>
      <c r="CQ330">
        <v>1</v>
      </c>
      <c r="DD330">
        <v>1</v>
      </c>
      <c r="DR330">
        <v>1</v>
      </c>
      <c r="DV330">
        <v>1</v>
      </c>
      <c r="FV330" s="18">
        <f t="shared" si="589"/>
        <v>0.17043740573152338</v>
      </c>
    </row>
    <row r="331" spans="1:178" ht="14.25" customHeight="1" x14ac:dyDescent="0.25">
      <c r="A331" s="86" t="s">
        <v>273</v>
      </c>
      <c r="B331">
        <v>9</v>
      </c>
      <c r="C331">
        <v>75</v>
      </c>
      <c r="D331" s="23" t="s">
        <v>8</v>
      </c>
      <c r="E331" s="23" t="s">
        <v>10</v>
      </c>
      <c r="F331" s="8" t="s">
        <v>197</v>
      </c>
      <c r="G331" s="8" t="s">
        <v>201</v>
      </c>
      <c r="H331" s="21" t="s">
        <v>195</v>
      </c>
      <c r="N331">
        <v>1</v>
      </c>
      <c r="O331">
        <v>1</v>
      </c>
      <c r="P331">
        <v>1</v>
      </c>
      <c r="Q331">
        <v>1</v>
      </c>
      <c r="T331">
        <v>1</v>
      </c>
      <c r="U331">
        <v>1</v>
      </c>
      <c r="AA331">
        <v>1</v>
      </c>
      <c r="AB331">
        <v>1</v>
      </c>
      <c r="AC331">
        <v>1</v>
      </c>
      <c r="AF331">
        <v>1</v>
      </c>
      <c r="AG331">
        <v>1</v>
      </c>
      <c r="AH331">
        <v>1</v>
      </c>
      <c r="AL331">
        <v>1</v>
      </c>
      <c r="AM331">
        <v>1</v>
      </c>
      <c r="AN331">
        <v>1</v>
      </c>
      <c r="AO331">
        <v>1</v>
      </c>
      <c r="AP331">
        <v>1</v>
      </c>
      <c r="AQ331">
        <v>1</v>
      </c>
      <c r="AR331">
        <v>1</v>
      </c>
      <c r="AS331">
        <v>1</v>
      </c>
      <c r="AT331">
        <v>1</v>
      </c>
      <c r="AU331">
        <v>1</v>
      </c>
      <c r="AW331">
        <v>1</v>
      </c>
      <c r="AX331">
        <v>1</v>
      </c>
      <c r="AZ331">
        <v>1</v>
      </c>
      <c r="BA331">
        <v>1</v>
      </c>
      <c r="BC331">
        <v>1</v>
      </c>
      <c r="BD331">
        <v>1</v>
      </c>
      <c r="BE331">
        <v>1</v>
      </c>
      <c r="BF331">
        <v>1</v>
      </c>
      <c r="BG331">
        <v>1</v>
      </c>
      <c r="BH331">
        <v>1</v>
      </c>
      <c r="BI331">
        <v>1</v>
      </c>
      <c r="BK331">
        <v>1</v>
      </c>
      <c r="BL331">
        <v>1</v>
      </c>
      <c r="BQ331">
        <v>1</v>
      </c>
      <c r="BR331">
        <v>1</v>
      </c>
      <c r="BS331">
        <v>1</v>
      </c>
      <c r="BT331">
        <v>1</v>
      </c>
      <c r="BU331">
        <v>1</v>
      </c>
      <c r="BV331">
        <v>1</v>
      </c>
      <c r="BW331">
        <v>1</v>
      </c>
      <c r="BZ331">
        <v>1</v>
      </c>
      <c r="CE331">
        <v>1</v>
      </c>
      <c r="CF331">
        <v>1</v>
      </c>
      <c r="CG331">
        <v>1</v>
      </c>
      <c r="CH331">
        <v>1</v>
      </c>
      <c r="CI331">
        <v>1</v>
      </c>
      <c r="CJ331">
        <v>1</v>
      </c>
      <c r="CK331">
        <v>1</v>
      </c>
      <c r="CL331">
        <v>1</v>
      </c>
      <c r="CM331">
        <v>1</v>
      </c>
      <c r="CN331">
        <v>1</v>
      </c>
      <c r="CR331">
        <v>1</v>
      </c>
      <c r="CS331">
        <v>1</v>
      </c>
      <c r="CT331">
        <v>1</v>
      </c>
      <c r="CU331">
        <v>1</v>
      </c>
      <c r="CV331">
        <v>1</v>
      </c>
      <c r="CW331">
        <v>1</v>
      </c>
      <c r="CX331">
        <v>1</v>
      </c>
      <c r="CY331">
        <v>1</v>
      </c>
      <c r="CZ331">
        <v>1</v>
      </c>
      <c r="DA331">
        <v>1</v>
      </c>
      <c r="DB331">
        <v>1</v>
      </c>
      <c r="DC331">
        <v>1</v>
      </c>
      <c r="DE331">
        <v>1</v>
      </c>
      <c r="DF331">
        <v>1</v>
      </c>
      <c r="DG331">
        <v>1</v>
      </c>
      <c r="DH331">
        <v>1</v>
      </c>
      <c r="DI331">
        <v>1</v>
      </c>
      <c r="DJ331">
        <v>1</v>
      </c>
      <c r="DK331">
        <v>1</v>
      </c>
      <c r="DL331">
        <v>1</v>
      </c>
      <c r="DM331">
        <v>1</v>
      </c>
      <c r="DN331">
        <v>1</v>
      </c>
      <c r="DO331">
        <v>1</v>
      </c>
      <c r="DP331">
        <v>1</v>
      </c>
      <c r="DQ331">
        <v>1</v>
      </c>
      <c r="DS331">
        <v>1</v>
      </c>
      <c r="DT331">
        <v>1</v>
      </c>
      <c r="DU331">
        <v>1</v>
      </c>
      <c r="DW331">
        <v>1</v>
      </c>
      <c r="DX331">
        <v>1</v>
      </c>
      <c r="DY331">
        <v>1</v>
      </c>
      <c r="DZ331">
        <v>1</v>
      </c>
      <c r="EB331">
        <v>1</v>
      </c>
      <c r="EC331">
        <v>1</v>
      </c>
      <c r="ED331">
        <v>1</v>
      </c>
      <c r="EE331">
        <v>1</v>
      </c>
      <c r="EF331">
        <v>1</v>
      </c>
      <c r="EG331">
        <v>1</v>
      </c>
      <c r="EH331">
        <v>1</v>
      </c>
      <c r="EI331">
        <v>1</v>
      </c>
      <c r="EJ331">
        <v>1</v>
      </c>
      <c r="EK331">
        <v>1</v>
      </c>
      <c r="EL331">
        <v>1</v>
      </c>
      <c r="EP331">
        <v>1</v>
      </c>
      <c r="EQ331">
        <v>1</v>
      </c>
      <c r="ER331">
        <v>1</v>
      </c>
      <c r="ES331">
        <v>1</v>
      </c>
      <c r="ET331">
        <v>1</v>
      </c>
      <c r="EU331">
        <v>1</v>
      </c>
      <c r="EV331">
        <v>1</v>
      </c>
      <c r="EW331">
        <v>1</v>
      </c>
      <c r="EX331">
        <v>1</v>
      </c>
      <c r="FE331">
        <v>1</v>
      </c>
      <c r="FG331">
        <v>1</v>
      </c>
      <c r="FH331">
        <v>1</v>
      </c>
      <c r="FI331">
        <v>1</v>
      </c>
      <c r="FJ331">
        <v>1</v>
      </c>
      <c r="FK331">
        <v>1</v>
      </c>
      <c r="FU331">
        <v>1</v>
      </c>
      <c r="FV331" s="18">
        <f t="shared" si="589"/>
        <v>0.64856711915535448</v>
      </c>
    </row>
    <row r="332" spans="1:178" ht="14.25" customHeight="1" x14ac:dyDescent="0.25">
      <c r="A332" s="86" t="s">
        <v>273</v>
      </c>
      <c r="B332">
        <v>9</v>
      </c>
      <c r="C332">
        <v>75</v>
      </c>
      <c r="D332" s="23" t="s">
        <v>8</v>
      </c>
      <c r="E332" s="23" t="s">
        <v>9</v>
      </c>
      <c r="F332" s="8" t="s">
        <v>197</v>
      </c>
      <c r="G332" s="8" t="s">
        <v>201</v>
      </c>
      <c r="H332" s="23" t="s">
        <v>194</v>
      </c>
      <c r="I332">
        <v>1</v>
      </c>
      <c r="J332">
        <v>1</v>
      </c>
      <c r="K332">
        <v>1</v>
      </c>
      <c r="L332">
        <v>1</v>
      </c>
      <c r="V332">
        <v>1</v>
      </c>
      <c r="W332">
        <v>1</v>
      </c>
      <c r="AI332">
        <v>1</v>
      </c>
      <c r="AK332">
        <v>1</v>
      </c>
      <c r="AY332">
        <v>1</v>
      </c>
      <c r="BM332">
        <v>1</v>
      </c>
      <c r="CH332">
        <v>1</v>
      </c>
      <c r="CT332">
        <v>1</v>
      </c>
      <c r="CU332">
        <v>1</v>
      </c>
      <c r="CY332">
        <v>1</v>
      </c>
      <c r="CZ332">
        <v>1</v>
      </c>
      <c r="DX332">
        <v>1</v>
      </c>
      <c r="EJ332">
        <v>1</v>
      </c>
      <c r="EV332">
        <v>1</v>
      </c>
      <c r="EW332">
        <v>1</v>
      </c>
      <c r="FI332">
        <v>1</v>
      </c>
      <c r="FV332" s="18">
        <f t="shared" si="589"/>
        <v>0.12217194570135746</v>
      </c>
    </row>
    <row r="333" spans="1:178" ht="14.25" customHeight="1" x14ac:dyDescent="0.25">
      <c r="A333" s="86" t="s">
        <v>273</v>
      </c>
      <c r="B333">
        <v>9</v>
      </c>
      <c r="C333">
        <v>75</v>
      </c>
      <c r="D333" s="23" t="s">
        <v>8</v>
      </c>
      <c r="E333" s="23" t="s">
        <v>9</v>
      </c>
      <c r="F333" s="8" t="s">
        <v>197</v>
      </c>
      <c r="G333" s="8" t="s">
        <v>201</v>
      </c>
      <c r="H333" s="23" t="s">
        <v>195</v>
      </c>
      <c r="M333">
        <v>1</v>
      </c>
      <c r="N333">
        <v>1</v>
      </c>
      <c r="O333">
        <v>1</v>
      </c>
      <c r="P333">
        <v>1</v>
      </c>
      <c r="Q333">
        <v>1</v>
      </c>
      <c r="R333">
        <v>1</v>
      </c>
      <c r="S333">
        <v>1</v>
      </c>
      <c r="T333">
        <v>1</v>
      </c>
      <c r="U333">
        <v>1</v>
      </c>
      <c r="X333">
        <v>1</v>
      </c>
      <c r="Y333">
        <v>1</v>
      </c>
      <c r="Z333">
        <v>1</v>
      </c>
      <c r="AA333">
        <v>1</v>
      </c>
      <c r="AB333">
        <v>1</v>
      </c>
      <c r="AC333">
        <v>1</v>
      </c>
      <c r="AD333">
        <v>1</v>
      </c>
      <c r="AE333">
        <v>1</v>
      </c>
      <c r="AF333">
        <v>1</v>
      </c>
      <c r="AG333">
        <v>1</v>
      </c>
      <c r="AH333">
        <v>1</v>
      </c>
      <c r="AJ333">
        <v>1</v>
      </c>
      <c r="AL333">
        <v>1</v>
      </c>
      <c r="AM333">
        <v>1</v>
      </c>
      <c r="AN333">
        <v>1</v>
      </c>
      <c r="AO333">
        <v>1</v>
      </c>
      <c r="AP333">
        <v>1</v>
      </c>
      <c r="AQ333">
        <v>1</v>
      </c>
      <c r="AR333">
        <v>1</v>
      </c>
      <c r="AS333">
        <v>1</v>
      </c>
      <c r="AT333">
        <v>1</v>
      </c>
      <c r="AU333">
        <v>1</v>
      </c>
      <c r="AV333">
        <v>1</v>
      </c>
      <c r="AW333">
        <v>1</v>
      </c>
      <c r="AX333">
        <v>1</v>
      </c>
      <c r="AZ333">
        <v>1</v>
      </c>
      <c r="BA333">
        <v>1</v>
      </c>
      <c r="BB333">
        <v>1</v>
      </c>
      <c r="BC333">
        <v>1</v>
      </c>
      <c r="BD333">
        <v>1</v>
      </c>
      <c r="BE333">
        <v>1</v>
      </c>
      <c r="BF333">
        <v>1</v>
      </c>
      <c r="BG333">
        <v>1</v>
      </c>
      <c r="BH333">
        <v>1</v>
      </c>
      <c r="BI333">
        <v>1</v>
      </c>
      <c r="BJ333">
        <v>1</v>
      </c>
      <c r="BK333">
        <v>1</v>
      </c>
      <c r="BL333">
        <v>1</v>
      </c>
      <c r="BN333">
        <v>1</v>
      </c>
      <c r="BO333">
        <v>1</v>
      </c>
      <c r="BP333">
        <v>1</v>
      </c>
      <c r="BQ333">
        <v>1</v>
      </c>
      <c r="BR333">
        <v>1</v>
      </c>
      <c r="BS333">
        <v>1</v>
      </c>
      <c r="BT333">
        <v>1</v>
      </c>
      <c r="BU333">
        <v>1</v>
      </c>
      <c r="BV333">
        <v>1</v>
      </c>
      <c r="BW333">
        <v>1</v>
      </c>
      <c r="BX333">
        <v>1</v>
      </c>
      <c r="BY333">
        <v>1</v>
      </c>
      <c r="BZ333">
        <v>1</v>
      </c>
      <c r="CA333">
        <v>1</v>
      </c>
      <c r="CB333">
        <v>1</v>
      </c>
      <c r="CC333">
        <v>1</v>
      </c>
      <c r="CD333">
        <v>1</v>
      </c>
      <c r="CE333">
        <v>1</v>
      </c>
      <c r="CF333">
        <v>1</v>
      </c>
      <c r="CG333">
        <v>1</v>
      </c>
      <c r="CI333">
        <v>1</v>
      </c>
      <c r="CJ333">
        <v>1</v>
      </c>
      <c r="CK333">
        <v>1</v>
      </c>
      <c r="CL333">
        <v>1</v>
      </c>
      <c r="CM333">
        <v>1</v>
      </c>
      <c r="CN333">
        <v>1</v>
      </c>
      <c r="CO333">
        <v>1</v>
      </c>
      <c r="CP333">
        <v>1</v>
      </c>
      <c r="CQ333">
        <v>1</v>
      </c>
      <c r="CR333">
        <v>1</v>
      </c>
      <c r="CS333">
        <v>1</v>
      </c>
      <c r="CV333">
        <v>1</v>
      </c>
      <c r="CW333">
        <v>1</v>
      </c>
      <c r="CX333">
        <v>1</v>
      </c>
      <c r="DA333">
        <v>1</v>
      </c>
      <c r="DB333">
        <v>1</v>
      </c>
      <c r="DC333">
        <v>1</v>
      </c>
      <c r="DD333">
        <v>1</v>
      </c>
      <c r="DE333">
        <v>1</v>
      </c>
      <c r="DF333">
        <v>1</v>
      </c>
      <c r="DG333">
        <v>1</v>
      </c>
      <c r="DI333">
        <v>1</v>
      </c>
      <c r="DJ333">
        <v>1</v>
      </c>
      <c r="DK333">
        <v>1</v>
      </c>
      <c r="DP333">
        <v>1</v>
      </c>
      <c r="DQ333">
        <v>1</v>
      </c>
      <c r="DR333">
        <v>1</v>
      </c>
      <c r="DS333">
        <v>1</v>
      </c>
      <c r="DT333">
        <v>1</v>
      </c>
      <c r="DU333">
        <v>1</v>
      </c>
      <c r="DV333">
        <v>1</v>
      </c>
      <c r="DW333">
        <v>1</v>
      </c>
      <c r="EE333">
        <v>1</v>
      </c>
      <c r="EF333">
        <v>1</v>
      </c>
      <c r="EG333">
        <v>1</v>
      </c>
      <c r="EH333">
        <v>1</v>
      </c>
      <c r="EI333">
        <v>1</v>
      </c>
      <c r="ER333">
        <v>1</v>
      </c>
      <c r="ES333">
        <v>1</v>
      </c>
      <c r="ET333">
        <v>1</v>
      </c>
      <c r="EU333">
        <v>1</v>
      </c>
      <c r="FG333">
        <v>1</v>
      </c>
      <c r="FH333">
        <v>1</v>
      </c>
      <c r="FU333">
        <v>1</v>
      </c>
      <c r="FV333" s="18">
        <f t="shared" si="589"/>
        <v>0.53996983408748112</v>
      </c>
    </row>
    <row r="334" spans="1:178" ht="14.25" customHeight="1" x14ac:dyDescent="0.25">
      <c r="A334" s="86" t="s">
        <v>273</v>
      </c>
      <c r="B334">
        <v>9</v>
      </c>
      <c r="C334">
        <v>75</v>
      </c>
      <c r="D334" s="23" t="s">
        <v>8</v>
      </c>
      <c r="E334" s="23" t="s">
        <v>234</v>
      </c>
      <c r="F334" s="8" t="s">
        <v>197</v>
      </c>
      <c r="G334" s="8" t="s">
        <v>201</v>
      </c>
      <c r="H334" s="20" t="s">
        <v>194</v>
      </c>
      <c r="I334">
        <v>1</v>
      </c>
      <c r="J334">
        <v>1</v>
      </c>
      <c r="K334">
        <v>1</v>
      </c>
      <c r="L334">
        <v>1</v>
      </c>
      <c r="M334">
        <v>1</v>
      </c>
      <c r="N334">
        <v>1</v>
      </c>
      <c r="O334">
        <v>1</v>
      </c>
      <c r="P334">
        <v>1</v>
      </c>
      <c r="Q334">
        <v>1</v>
      </c>
      <c r="R334">
        <v>1</v>
      </c>
      <c r="S334">
        <v>1</v>
      </c>
      <c r="T334">
        <v>1</v>
      </c>
      <c r="U334">
        <v>1</v>
      </c>
      <c r="V334">
        <v>1</v>
      </c>
      <c r="W334">
        <v>1</v>
      </c>
      <c r="X334">
        <v>1</v>
      </c>
      <c r="Y334">
        <v>1</v>
      </c>
      <c r="Z334">
        <v>1</v>
      </c>
      <c r="AA334">
        <v>1</v>
      </c>
      <c r="AB334">
        <v>1</v>
      </c>
      <c r="AC334">
        <v>1</v>
      </c>
      <c r="AD334">
        <v>1</v>
      </c>
      <c r="AE334">
        <v>1</v>
      </c>
      <c r="AI334">
        <v>1</v>
      </c>
      <c r="AJ334">
        <v>1</v>
      </c>
      <c r="AK334">
        <v>1</v>
      </c>
      <c r="AL334">
        <v>1</v>
      </c>
      <c r="AM334">
        <v>1</v>
      </c>
      <c r="AN334">
        <v>1</v>
      </c>
      <c r="AO334">
        <v>1</v>
      </c>
      <c r="AV334">
        <v>1</v>
      </c>
      <c r="AW334">
        <v>1</v>
      </c>
      <c r="AY334">
        <v>1</v>
      </c>
      <c r="AZ334">
        <v>1</v>
      </c>
      <c r="BA334">
        <v>1</v>
      </c>
      <c r="BB334">
        <v>1</v>
      </c>
      <c r="BI334">
        <v>1</v>
      </c>
      <c r="BM334">
        <v>1</v>
      </c>
      <c r="BN334">
        <v>1</v>
      </c>
      <c r="BO334">
        <v>1</v>
      </c>
      <c r="BU334">
        <v>1</v>
      </c>
      <c r="BV334">
        <v>1</v>
      </c>
      <c r="CA334">
        <v>1</v>
      </c>
      <c r="CB334">
        <v>1</v>
      </c>
      <c r="CC334">
        <v>1</v>
      </c>
      <c r="CG334">
        <v>1</v>
      </c>
      <c r="CH334">
        <v>1</v>
      </c>
      <c r="CO334">
        <v>1</v>
      </c>
      <c r="CP334">
        <v>1</v>
      </c>
      <c r="CT334">
        <v>1</v>
      </c>
      <c r="CU334">
        <v>1</v>
      </c>
      <c r="DC334">
        <v>1</v>
      </c>
      <c r="DD334">
        <v>1</v>
      </c>
      <c r="DH334">
        <v>1</v>
      </c>
      <c r="DQ334">
        <v>1</v>
      </c>
      <c r="DR334">
        <v>1</v>
      </c>
      <c r="DU334">
        <v>1</v>
      </c>
      <c r="DZ334">
        <v>1</v>
      </c>
      <c r="EA334">
        <v>1</v>
      </c>
      <c r="EF334">
        <v>1</v>
      </c>
      <c r="EL334">
        <v>1</v>
      </c>
      <c r="EM334">
        <v>1</v>
      </c>
      <c r="EN334">
        <v>1</v>
      </c>
      <c r="EO334">
        <v>1</v>
      </c>
      <c r="EP334">
        <v>1</v>
      </c>
      <c r="EX334">
        <v>1</v>
      </c>
      <c r="EY334">
        <v>1</v>
      </c>
      <c r="EZ334">
        <v>1</v>
      </c>
      <c r="FA334">
        <v>1</v>
      </c>
      <c r="FB334">
        <v>1</v>
      </c>
      <c r="FC334">
        <v>1</v>
      </c>
      <c r="FD334">
        <v>1</v>
      </c>
      <c r="FJ334">
        <v>1</v>
      </c>
      <c r="FK334">
        <v>1</v>
      </c>
      <c r="FL334">
        <v>1</v>
      </c>
      <c r="FM334">
        <v>1</v>
      </c>
      <c r="FN334">
        <v>1</v>
      </c>
      <c r="FO334">
        <v>1</v>
      </c>
      <c r="FP334">
        <v>1</v>
      </c>
      <c r="FQ334">
        <v>1</v>
      </c>
      <c r="FR334">
        <v>1</v>
      </c>
      <c r="FV334" s="18">
        <f t="shared" si="589"/>
        <v>0.43891402714932126</v>
      </c>
    </row>
    <row r="335" spans="1:178" ht="14.25" customHeight="1" x14ac:dyDescent="0.25">
      <c r="A335" s="86" t="s">
        <v>273</v>
      </c>
      <c r="B335">
        <v>9</v>
      </c>
      <c r="C335">
        <v>75</v>
      </c>
      <c r="D335" s="23" t="s">
        <v>8</v>
      </c>
      <c r="E335" s="23" t="s">
        <v>234</v>
      </c>
      <c r="F335" s="8" t="s">
        <v>197</v>
      </c>
      <c r="G335" s="8" t="s">
        <v>201</v>
      </c>
      <c r="H335" s="21" t="s">
        <v>195</v>
      </c>
      <c r="AF335">
        <v>1</v>
      </c>
      <c r="AG335">
        <v>1</v>
      </c>
      <c r="AH335">
        <v>1</v>
      </c>
      <c r="AP335">
        <v>1</v>
      </c>
      <c r="AQ335">
        <v>1</v>
      </c>
      <c r="AR335">
        <v>1</v>
      </c>
      <c r="AS335">
        <v>1</v>
      </c>
      <c r="AT335">
        <v>1</v>
      </c>
      <c r="AU335">
        <v>1</v>
      </c>
      <c r="AX335">
        <v>1</v>
      </c>
      <c r="BC335">
        <v>1</v>
      </c>
      <c r="BD335">
        <v>1</v>
      </c>
      <c r="BE335">
        <v>1</v>
      </c>
      <c r="BF335">
        <v>1</v>
      </c>
      <c r="BG335">
        <v>1</v>
      </c>
      <c r="BH335">
        <v>1</v>
      </c>
      <c r="BJ335">
        <v>1</v>
      </c>
      <c r="BK335">
        <v>1</v>
      </c>
      <c r="BL335">
        <v>1</v>
      </c>
      <c r="BP335">
        <v>1</v>
      </c>
      <c r="BQ335">
        <v>1</v>
      </c>
      <c r="BR335">
        <v>1</v>
      </c>
      <c r="BS335">
        <v>1</v>
      </c>
      <c r="BT335">
        <v>1</v>
      </c>
      <c r="BW335">
        <v>1</v>
      </c>
      <c r="BX335">
        <v>1</v>
      </c>
      <c r="BY335">
        <v>1</v>
      </c>
      <c r="BZ335">
        <v>1</v>
      </c>
      <c r="CD335">
        <v>1</v>
      </c>
      <c r="CE335">
        <v>1</v>
      </c>
      <c r="CF335">
        <v>1</v>
      </c>
      <c r="CI335">
        <v>1</v>
      </c>
      <c r="CJ335">
        <v>1</v>
      </c>
      <c r="CK335">
        <v>1</v>
      </c>
      <c r="CL335">
        <v>1</v>
      </c>
      <c r="CM335">
        <v>1</v>
      </c>
      <c r="CN335">
        <v>1</v>
      </c>
      <c r="CQ335">
        <v>1</v>
      </c>
      <c r="CR335">
        <v>1</v>
      </c>
      <c r="CS335">
        <v>1</v>
      </c>
      <c r="CV335">
        <v>1</v>
      </c>
      <c r="CW335">
        <v>1</v>
      </c>
      <c r="CX335">
        <v>1</v>
      </c>
      <c r="CY335">
        <v>1</v>
      </c>
      <c r="CZ335">
        <v>1</v>
      </c>
      <c r="DA335">
        <v>1</v>
      </c>
      <c r="DB335">
        <v>1</v>
      </c>
      <c r="DE335">
        <v>1</v>
      </c>
      <c r="DF335">
        <v>1</v>
      </c>
      <c r="DG335">
        <v>1</v>
      </c>
      <c r="DI335">
        <v>1</v>
      </c>
      <c r="DJ335">
        <v>1</v>
      </c>
      <c r="DK335">
        <v>1</v>
      </c>
      <c r="DL335">
        <v>1</v>
      </c>
      <c r="DM335">
        <v>1</v>
      </c>
      <c r="DN335">
        <v>1</v>
      </c>
      <c r="DO335">
        <v>1</v>
      </c>
      <c r="DP335">
        <v>1</v>
      </c>
      <c r="DS335">
        <v>1</v>
      </c>
      <c r="DT335">
        <v>1</v>
      </c>
      <c r="DV335">
        <v>1</v>
      </c>
      <c r="DW335">
        <v>1</v>
      </c>
      <c r="DX335">
        <v>1</v>
      </c>
      <c r="DY335">
        <v>1</v>
      </c>
      <c r="EB335">
        <v>1</v>
      </c>
      <c r="EC335">
        <v>1</v>
      </c>
      <c r="ED335">
        <v>1</v>
      </c>
      <c r="EE335">
        <v>1</v>
      </c>
      <c r="EG335">
        <v>1</v>
      </c>
      <c r="EH335">
        <v>1</v>
      </c>
      <c r="EI335">
        <v>1</v>
      </c>
      <c r="EJ335">
        <v>1</v>
      </c>
      <c r="EK335">
        <v>1</v>
      </c>
      <c r="EQ335">
        <v>1</v>
      </c>
      <c r="ER335">
        <v>1</v>
      </c>
      <c r="ES335">
        <v>1</v>
      </c>
      <c r="ET335">
        <v>1</v>
      </c>
      <c r="EU335">
        <v>1</v>
      </c>
      <c r="EV335">
        <v>1</v>
      </c>
      <c r="EW335">
        <v>1</v>
      </c>
      <c r="FE335">
        <v>1</v>
      </c>
      <c r="FF335">
        <v>1</v>
      </c>
      <c r="FG335">
        <v>1</v>
      </c>
      <c r="FH335">
        <v>1</v>
      </c>
      <c r="FI335">
        <v>1</v>
      </c>
      <c r="FS335">
        <v>1</v>
      </c>
      <c r="FT335">
        <v>1</v>
      </c>
      <c r="FU335">
        <v>1</v>
      </c>
      <c r="FV335" s="18">
        <f t="shared" si="589"/>
        <v>0.56108597285067874</v>
      </c>
    </row>
    <row r="336" spans="1:178" ht="14.25" customHeight="1" x14ac:dyDescent="0.25">
      <c r="A336" s="86" t="s">
        <v>273</v>
      </c>
      <c r="B336">
        <v>9</v>
      </c>
      <c r="C336">
        <v>75</v>
      </c>
      <c r="D336" s="24" t="s">
        <v>9</v>
      </c>
      <c r="E336" s="24" t="s">
        <v>8</v>
      </c>
      <c r="F336" s="8" t="s">
        <v>197</v>
      </c>
      <c r="G336" s="8" t="s">
        <v>201</v>
      </c>
      <c r="H336" s="24" t="s">
        <v>194</v>
      </c>
      <c r="I336">
        <v>1</v>
      </c>
      <c r="J336">
        <v>1</v>
      </c>
      <c r="K336">
        <v>1</v>
      </c>
      <c r="V336">
        <v>1</v>
      </c>
      <c r="W336">
        <v>1</v>
      </c>
      <c r="AJ336">
        <v>1</v>
      </c>
      <c r="DI336">
        <v>1</v>
      </c>
      <c r="DV336">
        <v>1</v>
      </c>
      <c r="DW336">
        <v>1</v>
      </c>
      <c r="EI336">
        <v>1</v>
      </c>
      <c r="FV336" s="18">
        <f t="shared" si="589"/>
        <v>6.9381598793363503E-2</v>
      </c>
    </row>
    <row r="337" spans="1:178" ht="14.25" customHeight="1" x14ac:dyDescent="0.25">
      <c r="A337" s="86" t="s">
        <v>273</v>
      </c>
      <c r="B337">
        <v>9</v>
      </c>
      <c r="C337">
        <v>75</v>
      </c>
      <c r="D337" s="24" t="s">
        <v>9</v>
      </c>
      <c r="E337" s="24" t="s">
        <v>8</v>
      </c>
      <c r="F337" s="8" t="s">
        <v>197</v>
      </c>
      <c r="G337" s="8" t="s">
        <v>201</v>
      </c>
      <c r="H337" s="24" t="s">
        <v>195</v>
      </c>
      <c r="O337">
        <v>1</v>
      </c>
      <c r="P337">
        <v>1</v>
      </c>
      <c r="Q337">
        <v>1</v>
      </c>
      <c r="S337">
        <v>1</v>
      </c>
      <c r="T337">
        <v>1</v>
      </c>
      <c r="U337">
        <v>1</v>
      </c>
      <c r="AA337">
        <v>1</v>
      </c>
      <c r="AB337">
        <v>1</v>
      </c>
      <c r="AC337">
        <v>1</v>
      </c>
      <c r="AD337">
        <v>1</v>
      </c>
      <c r="AE337">
        <v>1</v>
      </c>
      <c r="AF337">
        <v>1</v>
      </c>
      <c r="AG337">
        <v>1</v>
      </c>
      <c r="AH337">
        <v>1</v>
      </c>
      <c r="AL337">
        <v>1</v>
      </c>
      <c r="AN337">
        <v>1</v>
      </c>
      <c r="AO337">
        <v>1</v>
      </c>
      <c r="AP337">
        <v>1</v>
      </c>
      <c r="AQ337">
        <v>1</v>
      </c>
      <c r="AR337">
        <v>1</v>
      </c>
      <c r="AS337">
        <v>1</v>
      </c>
      <c r="AT337">
        <v>1</v>
      </c>
      <c r="AU337">
        <v>1</v>
      </c>
      <c r="AW337">
        <v>1</v>
      </c>
      <c r="AX337">
        <v>1</v>
      </c>
      <c r="AZ337">
        <v>1</v>
      </c>
      <c r="BB337">
        <v>1</v>
      </c>
      <c r="BC337">
        <v>1</v>
      </c>
      <c r="BD337">
        <v>1</v>
      </c>
      <c r="BE337">
        <v>1</v>
      </c>
      <c r="BF337">
        <v>1</v>
      </c>
      <c r="BI337">
        <v>1</v>
      </c>
      <c r="BK337">
        <v>1</v>
      </c>
      <c r="BL337">
        <v>1</v>
      </c>
      <c r="BN337">
        <v>1</v>
      </c>
      <c r="BO337">
        <v>1</v>
      </c>
      <c r="BP337">
        <v>1</v>
      </c>
      <c r="BQ337">
        <v>1</v>
      </c>
      <c r="BT337">
        <v>1</v>
      </c>
      <c r="BU337">
        <v>1</v>
      </c>
      <c r="BV337">
        <v>1</v>
      </c>
      <c r="BW337">
        <v>1</v>
      </c>
      <c r="BX337">
        <v>1</v>
      </c>
      <c r="BY337">
        <v>1</v>
      </c>
      <c r="BZ337">
        <v>1</v>
      </c>
      <c r="CA337">
        <v>1</v>
      </c>
      <c r="CB337">
        <v>1</v>
      </c>
      <c r="CC337">
        <v>1</v>
      </c>
      <c r="CE337">
        <v>1</v>
      </c>
      <c r="CF337">
        <v>1</v>
      </c>
      <c r="CI337">
        <v>1</v>
      </c>
      <c r="CJ337">
        <v>1</v>
      </c>
      <c r="CK337">
        <v>1</v>
      </c>
      <c r="CL337">
        <v>1</v>
      </c>
      <c r="CO337">
        <v>1</v>
      </c>
      <c r="CP337">
        <v>1</v>
      </c>
      <c r="CR337">
        <v>1</v>
      </c>
      <c r="CS337">
        <v>1</v>
      </c>
      <c r="CV337">
        <v>1</v>
      </c>
      <c r="CW337">
        <v>1</v>
      </c>
      <c r="CX337">
        <v>1</v>
      </c>
      <c r="DC337">
        <v>1</v>
      </c>
      <c r="DD337">
        <v>1</v>
      </c>
      <c r="DF337">
        <v>1</v>
      </c>
      <c r="DQ337">
        <v>1</v>
      </c>
      <c r="DR337">
        <v>1</v>
      </c>
      <c r="DT337">
        <v>1</v>
      </c>
      <c r="EE337">
        <v>1</v>
      </c>
      <c r="EF337">
        <v>1</v>
      </c>
      <c r="ES337">
        <v>1</v>
      </c>
      <c r="EV337">
        <v>1</v>
      </c>
      <c r="FG337">
        <v>1</v>
      </c>
      <c r="FI337">
        <v>1</v>
      </c>
      <c r="FU337">
        <v>1</v>
      </c>
      <c r="FV337" s="18">
        <f t="shared" si="589"/>
        <v>0.34992458521870284</v>
      </c>
    </row>
    <row r="338" spans="1:178" ht="14.25" customHeight="1" x14ac:dyDescent="0.25">
      <c r="A338" s="86" t="s">
        <v>273</v>
      </c>
      <c r="B338">
        <v>9</v>
      </c>
      <c r="C338">
        <v>75</v>
      </c>
      <c r="D338" s="24" t="s">
        <v>9</v>
      </c>
      <c r="E338" s="24" t="s">
        <v>8</v>
      </c>
      <c r="F338" s="8" t="s">
        <v>197</v>
      </c>
      <c r="G338" s="8" t="s">
        <v>201</v>
      </c>
      <c r="H338" s="24" t="s">
        <v>196</v>
      </c>
      <c r="CG338">
        <v>1</v>
      </c>
      <c r="CH338">
        <v>1</v>
      </c>
      <c r="CT338">
        <v>1</v>
      </c>
      <c r="CU338">
        <v>1</v>
      </c>
      <c r="CZ338">
        <v>1</v>
      </c>
      <c r="DA338">
        <v>1</v>
      </c>
      <c r="DG338">
        <v>1</v>
      </c>
      <c r="DH338">
        <v>1</v>
      </c>
      <c r="DL338">
        <v>1</v>
      </c>
      <c r="DM338">
        <v>1</v>
      </c>
      <c r="DN338">
        <v>1</v>
      </c>
      <c r="DO338">
        <v>1</v>
      </c>
      <c r="DP338">
        <v>1</v>
      </c>
      <c r="DU338">
        <v>1</v>
      </c>
      <c r="DX338">
        <v>1</v>
      </c>
      <c r="DY338">
        <v>1</v>
      </c>
      <c r="DZ338">
        <v>1</v>
      </c>
      <c r="EA338">
        <v>1</v>
      </c>
      <c r="EB338">
        <v>1</v>
      </c>
      <c r="EC338">
        <v>1</v>
      </c>
      <c r="ED338">
        <v>1</v>
      </c>
      <c r="EJ338">
        <v>1</v>
      </c>
      <c r="EK338">
        <v>1</v>
      </c>
      <c r="EL338">
        <v>1</v>
      </c>
      <c r="EM338">
        <v>1</v>
      </c>
      <c r="EQ338">
        <v>1</v>
      </c>
      <c r="ER338">
        <v>1</v>
      </c>
      <c r="EU338">
        <v>1</v>
      </c>
      <c r="EW338">
        <v>1</v>
      </c>
      <c r="EX338">
        <v>1</v>
      </c>
      <c r="EY338">
        <v>1</v>
      </c>
      <c r="EZ338">
        <v>1</v>
      </c>
      <c r="FH338">
        <v>1</v>
      </c>
      <c r="FJ338">
        <v>1</v>
      </c>
      <c r="FK338">
        <v>1</v>
      </c>
      <c r="FL338">
        <v>1</v>
      </c>
      <c r="FV338" s="18">
        <f t="shared" si="589"/>
        <v>0.27149321266968324</v>
      </c>
    </row>
    <row r="339" spans="1:178" ht="14.25" customHeight="1" x14ac:dyDescent="0.25">
      <c r="A339" s="86" t="s">
        <v>273</v>
      </c>
      <c r="B339">
        <v>9</v>
      </c>
      <c r="C339">
        <v>75</v>
      </c>
      <c r="D339" s="24" t="s">
        <v>9</v>
      </c>
      <c r="E339" s="24" t="s">
        <v>9</v>
      </c>
      <c r="F339" s="24" t="s">
        <v>8</v>
      </c>
      <c r="G339" s="24" t="s">
        <v>231</v>
      </c>
      <c r="H339" s="24" t="s">
        <v>194</v>
      </c>
      <c r="R339">
        <v>1</v>
      </c>
      <c r="AI339">
        <v>1</v>
      </c>
      <c r="AK339">
        <v>1</v>
      </c>
      <c r="AV339">
        <v>1</v>
      </c>
      <c r="FV339" s="18">
        <f t="shared" si="589"/>
        <v>2.564102564102564E-2</v>
      </c>
    </row>
    <row r="340" spans="1:178" ht="14.25" customHeight="1" x14ac:dyDescent="0.25">
      <c r="A340" s="86" t="s">
        <v>273</v>
      </c>
      <c r="B340">
        <v>9</v>
      </c>
      <c r="C340">
        <v>75</v>
      </c>
      <c r="D340" s="24" t="s">
        <v>9</v>
      </c>
      <c r="E340" s="24" t="s">
        <v>9</v>
      </c>
      <c r="F340" s="24" t="s">
        <v>8</v>
      </c>
      <c r="G340" s="24" t="s">
        <v>231</v>
      </c>
      <c r="H340" s="24" t="s">
        <v>195</v>
      </c>
      <c r="L340">
        <v>1</v>
      </c>
      <c r="M340">
        <v>1</v>
      </c>
      <c r="N340">
        <v>1</v>
      </c>
      <c r="X340">
        <v>1</v>
      </c>
      <c r="Y340">
        <v>1</v>
      </c>
      <c r="Z340">
        <v>1</v>
      </c>
      <c r="AM340">
        <v>1</v>
      </c>
      <c r="AY340">
        <v>1</v>
      </c>
      <c r="BA340">
        <v>1</v>
      </c>
      <c r="BJ340">
        <v>1</v>
      </c>
      <c r="BM340">
        <v>1</v>
      </c>
      <c r="FV340" s="18">
        <f t="shared" si="589"/>
        <v>4.2232277526395176E-2</v>
      </c>
    </row>
    <row r="341" spans="1:178" ht="14.25" customHeight="1" x14ac:dyDescent="0.25">
      <c r="A341" s="86" t="s">
        <v>273</v>
      </c>
      <c r="B341">
        <v>9</v>
      </c>
      <c r="C341">
        <v>75</v>
      </c>
      <c r="D341" s="24" t="s">
        <v>9</v>
      </c>
      <c r="E341" s="24" t="s">
        <v>9</v>
      </c>
      <c r="F341" s="24" t="s">
        <v>8</v>
      </c>
      <c r="G341" s="24" t="s">
        <v>231</v>
      </c>
      <c r="H341" s="24" t="s">
        <v>196</v>
      </c>
      <c r="BG341">
        <v>1</v>
      </c>
      <c r="BH341">
        <v>1</v>
      </c>
      <c r="BR341">
        <v>1</v>
      </c>
      <c r="BS341">
        <v>1</v>
      </c>
      <c r="CD341">
        <v>1</v>
      </c>
      <c r="CM341">
        <v>1</v>
      </c>
      <c r="CN341">
        <v>1</v>
      </c>
      <c r="CQ341">
        <v>1</v>
      </c>
      <c r="CY341">
        <v>1</v>
      </c>
      <c r="DB341">
        <v>1</v>
      </c>
      <c r="DE341">
        <v>1</v>
      </c>
      <c r="DJ341">
        <v>1</v>
      </c>
      <c r="DK341">
        <v>1</v>
      </c>
      <c r="DS341">
        <v>1</v>
      </c>
      <c r="EG341">
        <v>1</v>
      </c>
      <c r="EH341">
        <v>1</v>
      </c>
      <c r="ET341">
        <v>1</v>
      </c>
      <c r="FV341" s="18">
        <f t="shared" si="589"/>
        <v>8.7481146304675711E-2</v>
      </c>
    </row>
    <row r="342" spans="1:178" ht="14.25" customHeight="1" x14ac:dyDescent="0.25">
      <c r="A342" s="86" t="s">
        <v>273</v>
      </c>
      <c r="B342">
        <v>9</v>
      </c>
      <c r="C342">
        <v>40</v>
      </c>
      <c r="D342" s="8" t="s">
        <v>10</v>
      </c>
      <c r="E342" s="8" t="s">
        <v>197</v>
      </c>
      <c r="F342" s="8" t="s">
        <v>197</v>
      </c>
      <c r="G342" s="8" t="s">
        <v>201</v>
      </c>
      <c r="H342" s="8" t="s">
        <v>194</v>
      </c>
      <c r="I342">
        <v>1</v>
      </c>
      <c r="J342">
        <v>1</v>
      </c>
      <c r="K342">
        <v>1</v>
      </c>
      <c r="L342">
        <v>1</v>
      </c>
      <c r="M342">
        <v>1</v>
      </c>
      <c r="N342">
        <v>1</v>
      </c>
      <c r="O342">
        <v>1</v>
      </c>
      <c r="P342">
        <v>1</v>
      </c>
      <c r="Q342">
        <v>1</v>
      </c>
      <c r="R342">
        <v>1</v>
      </c>
      <c r="S342">
        <v>1</v>
      </c>
      <c r="T342">
        <v>1</v>
      </c>
      <c r="U342">
        <v>1</v>
      </c>
      <c r="V342">
        <v>1</v>
      </c>
      <c r="W342">
        <v>1</v>
      </c>
      <c r="X342">
        <v>1</v>
      </c>
      <c r="Y342">
        <v>1</v>
      </c>
      <c r="Z342">
        <v>1</v>
      </c>
      <c r="AA342">
        <v>1</v>
      </c>
      <c r="AB342">
        <v>1</v>
      </c>
      <c r="AC342">
        <v>1</v>
      </c>
      <c r="AD342">
        <v>1</v>
      </c>
      <c r="AE342">
        <v>1</v>
      </c>
      <c r="AF342">
        <v>1</v>
      </c>
      <c r="AG342">
        <v>1</v>
      </c>
      <c r="AH342">
        <v>1</v>
      </c>
      <c r="AI342">
        <v>1</v>
      </c>
      <c r="AJ342">
        <v>1</v>
      </c>
      <c r="AK342">
        <v>1</v>
      </c>
      <c r="AL342">
        <v>1</v>
      </c>
      <c r="AM342">
        <v>1</v>
      </c>
      <c r="AN342">
        <v>1</v>
      </c>
      <c r="AO342">
        <v>1</v>
      </c>
      <c r="AP342">
        <v>1</v>
      </c>
      <c r="AQ342">
        <v>1</v>
      </c>
      <c r="AR342">
        <v>1</v>
      </c>
      <c r="AS342">
        <v>1</v>
      </c>
      <c r="AT342">
        <v>1</v>
      </c>
      <c r="AU342">
        <v>1</v>
      </c>
      <c r="AV342">
        <v>1</v>
      </c>
      <c r="AW342">
        <v>1</v>
      </c>
      <c r="AX342">
        <v>1</v>
      </c>
      <c r="AY342">
        <v>1</v>
      </c>
      <c r="AZ342">
        <v>1</v>
      </c>
      <c r="BA342">
        <v>1</v>
      </c>
      <c r="BB342">
        <v>1</v>
      </c>
      <c r="BC342">
        <v>1</v>
      </c>
      <c r="BD342">
        <v>1</v>
      </c>
      <c r="BE342">
        <v>1</v>
      </c>
      <c r="BF342">
        <v>1</v>
      </c>
      <c r="BG342">
        <v>1</v>
      </c>
      <c r="BI342">
        <v>1</v>
      </c>
      <c r="BJ342">
        <v>1</v>
      </c>
      <c r="BK342">
        <v>1</v>
      </c>
      <c r="BL342">
        <v>1</v>
      </c>
      <c r="BM342">
        <v>1</v>
      </c>
      <c r="BN342">
        <v>1</v>
      </c>
      <c r="BO342">
        <v>1</v>
      </c>
      <c r="BP342">
        <v>1</v>
      </c>
      <c r="BQ342">
        <v>1</v>
      </c>
      <c r="BR342">
        <v>1</v>
      </c>
      <c r="BS342">
        <v>1</v>
      </c>
      <c r="BV342">
        <v>1</v>
      </c>
      <c r="BW342">
        <v>1</v>
      </c>
      <c r="BX342">
        <v>1</v>
      </c>
      <c r="BY342">
        <v>1</v>
      </c>
      <c r="BZ342">
        <v>1</v>
      </c>
      <c r="CA342">
        <v>1</v>
      </c>
      <c r="CB342">
        <v>1</v>
      </c>
      <c r="CC342">
        <v>1</v>
      </c>
      <c r="CD342">
        <v>1</v>
      </c>
      <c r="CE342">
        <v>1</v>
      </c>
      <c r="CI342">
        <v>1</v>
      </c>
      <c r="CJ342">
        <v>1</v>
      </c>
      <c r="CK342">
        <v>1</v>
      </c>
      <c r="CL342">
        <v>1</v>
      </c>
      <c r="CM342">
        <v>1</v>
      </c>
      <c r="CN342">
        <v>1</v>
      </c>
      <c r="CO342">
        <v>1</v>
      </c>
      <c r="CP342">
        <v>1</v>
      </c>
      <c r="CQ342">
        <v>1</v>
      </c>
      <c r="CR342">
        <v>1</v>
      </c>
      <c r="CV342">
        <v>1</v>
      </c>
      <c r="CW342">
        <v>1</v>
      </c>
      <c r="CX342">
        <v>1</v>
      </c>
      <c r="DC342">
        <v>1</v>
      </c>
      <c r="DD342">
        <v>1</v>
      </c>
      <c r="DE342">
        <v>1</v>
      </c>
      <c r="DI342">
        <v>1</v>
      </c>
      <c r="DJ342">
        <v>1</v>
      </c>
      <c r="DQ342">
        <v>1</v>
      </c>
      <c r="DR342">
        <v>1</v>
      </c>
      <c r="DS342">
        <v>1</v>
      </c>
      <c r="DV342">
        <v>1</v>
      </c>
      <c r="EE342">
        <v>1</v>
      </c>
      <c r="EF342">
        <v>1</v>
      </c>
      <c r="EI342">
        <v>1</v>
      </c>
      <c r="ES342">
        <v>1</v>
      </c>
      <c r="EV342">
        <v>1</v>
      </c>
      <c r="FG342">
        <v>1</v>
      </c>
      <c r="FI342">
        <v>1</v>
      </c>
      <c r="FU342">
        <v>1</v>
      </c>
      <c r="FV342" s="18">
        <f t="shared" si="589"/>
        <v>0.50829562594268474</v>
      </c>
    </row>
    <row r="343" spans="1:178" ht="14.25" customHeight="1" x14ac:dyDescent="0.25">
      <c r="A343" s="86" t="s">
        <v>273</v>
      </c>
      <c r="B343">
        <v>9</v>
      </c>
      <c r="C343">
        <v>40</v>
      </c>
      <c r="D343" s="8" t="s">
        <v>15</v>
      </c>
      <c r="E343" s="8" t="s">
        <v>197</v>
      </c>
      <c r="F343" s="8" t="s">
        <v>197</v>
      </c>
      <c r="G343" s="8" t="s">
        <v>201</v>
      </c>
      <c r="H343" s="8" t="s">
        <v>194</v>
      </c>
      <c r="I343">
        <v>1</v>
      </c>
      <c r="J343">
        <v>1</v>
      </c>
      <c r="K343">
        <v>1</v>
      </c>
      <c r="L343">
        <v>1</v>
      </c>
      <c r="M343">
        <v>1</v>
      </c>
      <c r="N343">
        <v>1</v>
      </c>
      <c r="O343">
        <v>1</v>
      </c>
      <c r="P343">
        <v>1</v>
      </c>
      <c r="Q343">
        <v>1</v>
      </c>
      <c r="R343">
        <v>1</v>
      </c>
      <c r="S343">
        <v>1</v>
      </c>
      <c r="T343">
        <v>1</v>
      </c>
      <c r="V343">
        <v>1</v>
      </c>
      <c r="W343">
        <v>1</v>
      </c>
      <c r="X343">
        <v>1</v>
      </c>
      <c r="Y343">
        <v>1</v>
      </c>
      <c r="Z343">
        <v>1</v>
      </c>
      <c r="AA343">
        <v>1</v>
      </c>
      <c r="AB343">
        <v>1</v>
      </c>
      <c r="AI343">
        <v>1</v>
      </c>
      <c r="AJ343">
        <v>1</v>
      </c>
      <c r="AK343">
        <v>1</v>
      </c>
      <c r="AL343">
        <v>1</v>
      </c>
      <c r="AM343">
        <v>1</v>
      </c>
      <c r="AN343">
        <v>1</v>
      </c>
      <c r="AV343">
        <v>1</v>
      </c>
      <c r="AW343">
        <v>1</v>
      </c>
      <c r="AY343">
        <v>1</v>
      </c>
      <c r="AZ343">
        <v>1</v>
      </c>
      <c r="BA343">
        <v>1</v>
      </c>
      <c r="BI343">
        <v>1</v>
      </c>
      <c r="BM343">
        <v>1</v>
      </c>
      <c r="BN343">
        <v>1</v>
      </c>
      <c r="CA343">
        <v>1</v>
      </c>
      <c r="CO343">
        <v>1</v>
      </c>
      <c r="DC343">
        <v>1</v>
      </c>
      <c r="DQ343">
        <v>1</v>
      </c>
      <c r="FV343" s="18">
        <f t="shared" si="589"/>
        <v>0.16138763197586728</v>
      </c>
    </row>
    <row r="344" spans="1:178" ht="14.25" customHeight="1" x14ac:dyDescent="0.25">
      <c r="A344" s="86" t="s">
        <v>273</v>
      </c>
      <c r="B344">
        <v>9</v>
      </c>
      <c r="C344">
        <v>40</v>
      </c>
      <c r="D344" s="8" t="s">
        <v>242</v>
      </c>
      <c r="E344" s="8" t="s">
        <v>197</v>
      </c>
      <c r="F344" s="8" t="s">
        <v>197</v>
      </c>
      <c r="G344" s="8" t="s">
        <v>201</v>
      </c>
      <c r="H344" s="8" t="s">
        <v>194</v>
      </c>
      <c r="I344">
        <v>1</v>
      </c>
      <c r="J344">
        <v>1</v>
      </c>
      <c r="K344">
        <v>1</v>
      </c>
      <c r="L344">
        <v>1</v>
      </c>
      <c r="M344">
        <v>1</v>
      </c>
      <c r="N344">
        <v>1</v>
      </c>
      <c r="O344">
        <v>1</v>
      </c>
      <c r="P344">
        <v>1</v>
      </c>
      <c r="Q344">
        <v>1</v>
      </c>
      <c r="R344">
        <v>1</v>
      </c>
      <c r="S344">
        <v>1</v>
      </c>
      <c r="T344">
        <v>1</v>
      </c>
      <c r="U344">
        <v>1</v>
      </c>
      <c r="V344">
        <v>1</v>
      </c>
      <c r="W344">
        <v>1</v>
      </c>
      <c r="X344">
        <v>1</v>
      </c>
      <c r="Y344">
        <v>1</v>
      </c>
      <c r="Z344">
        <v>1</v>
      </c>
      <c r="AA344">
        <v>1</v>
      </c>
      <c r="AB344">
        <v>1</v>
      </c>
      <c r="AI344">
        <v>1</v>
      </c>
      <c r="AJ344">
        <v>1</v>
      </c>
      <c r="AK344">
        <v>1</v>
      </c>
      <c r="AL344">
        <v>1</v>
      </c>
      <c r="AM344">
        <v>1</v>
      </c>
      <c r="AN344">
        <v>1</v>
      </c>
      <c r="AV344">
        <v>1</v>
      </c>
      <c r="AW344">
        <v>1</v>
      </c>
      <c r="AY344">
        <v>1</v>
      </c>
      <c r="AZ344">
        <v>1</v>
      </c>
      <c r="BA344">
        <v>1</v>
      </c>
      <c r="BI344">
        <v>1</v>
      </c>
      <c r="BM344">
        <v>1</v>
      </c>
      <c r="BN344">
        <v>1</v>
      </c>
      <c r="BO344">
        <v>1</v>
      </c>
      <c r="CA344">
        <v>1</v>
      </c>
      <c r="CB344">
        <v>1</v>
      </c>
      <c r="CO344">
        <v>1</v>
      </c>
      <c r="DC344">
        <v>1</v>
      </c>
      <c r="DQ344">
        <v>1</v>
      </c>
      <c r="EE344">
        <v>1</v>
      </c>
      <c r="FV344" s="18">
        <f t="shared" si="589"/>
        <v>0.17496229260935142</v>
      </c>
    </row>
    <row r="345" spans="1:178" ht="14.25" customHeight="1" x14ac:dyDescent="0.25">
      <c r="A345" s="86" t="s">
        <v>273</v>
      </c>
      <c r="B345">
        <v>9</v>
      </c>
      <c r="C345">
        <v>40</v>
      </c>
      <c r="D345" s="8" t="s">
        <v>14</v>
      </c>
      <c r="E345" s="8" t="s">
        <v>197</v>
      </c>
      <c r="F345" s="8" t="s">
        <v>197</v>
      </c>
      <c r="G345" s="8" t="s">
        <v>201</v>
      </c>
      <c r="H345" s="8" t="s">
        <v>194</v>
      </c>
      <c r="I345">
        <v>1</v>
      </c>
      <c r="J345">
        <v>1</v>
      </c>
      <c r="K345">
        <v>1</v>
      </c>
      <c r="L345">
        <v>1</v>
      </c>
      <c r="M345">
        <v>1</v>
      </c>
      <c r="N345">
        <v>1</v>
      </c>
      <c r="O345">
        <v>1</v>
      </c>
      <c r="P345">
        <v>1</v>
      </c>
      <c r="Q345">
        <v>1</v>
      </c>
      <c r="R345">
        <v>1</v>
      </c>
      <c r="S345">
        <v>1</v>
      </c>
      <c r="T345">
        <v>1</v>
      </c>
      <c r="U345">
        <v>1</v>
      </c>
      <c r="V345">
        <v>1</v>
      </c>
      <c r="W345">
        <v>1</v>
      </c>
      <c r="X345">
        <v>1</v>
      </c>
      <c r="Y345">
        <v>1</v>
      </c>
      <c r="Z345">
        <v>1</v>
      </c>
      <c r="AA345">
        <v>1</v>
      </c>
      <c r="AB345">
        <v>1</v>
      </c>
      <c r="AC345">
        <v>1</v>
      </c>
      <c r="AD345">
        <v>1</v>
      </c>
      <c r="AI345">
        <v>1</v>
      </c>
      <c r="AJ345">
        <v>1</v>
      </c>
      <c r="AK345">
        <v>1</v>
      </c>
      <c r="AL345">
        <v>1</v>
      </c>
      <c r="AM345">
        <v>1</v>
      </c>
      <c r="AN345">
        <v>1</v>
      </c>
      <c r="AV345">
        <v>1</v>
      </c>
      <c r="AW345">
        <v>1</v>
      </c>
      <c r="AX345">
        <v>1</v>
      </c>
      <c r="AY345">
        <v>1</v>
      </c>
      <c r="AZ345">
        <v>1</v>
      </c>
      <c r="BA345">
        <v>1</v>
      </c>
      <c r="BB345">
        <v>1</v>
      </c>
      <c r="BI345">
        <v>1</v>
      </c>
      <c r="BJ345">
        <v>1</v>
      </c>
      <c r="BM345">
        <v>1</v>
      </c>
      <c r="BN345">
        <v>1</v>
      </c>
      <c r="BO345">
        <v>1</v>
      </c>
      <c r="CA345">
        <v>1</v>
      </c>
      <c r="CB345">
        <v>1</v>
      </c>
      <c r="CO345">
        <v>1</v>
      </c>
      <c r="CP345">
        <v>1</v>
      </c>
      <c r="DC345">
        <v>1</v>
      </c>
      <c r="DQ345">
        <v>1</v>
      </c>
      <c r="EE345">
        <v>1</v>
      </c>
      <c r="FV345" s="18">
        <f t="shared" si="589"/>
        <v>0.20512820512820512</v>
      </c>
    </row>
    <row r="346" spans="1:178" ht="14.25" customHeight="1" x14ac:dyDescent="0.25">
      <c r="A346" s="86" t="s">
        <v>273</v>
      </c>
      <c r="B346">
        <v>9</v>
      </c>
      <c r="C346">
        <v>40</v>
      </c>
      <c r="D346" s="8" t="s">
        <v>13</v>
      </c>
      <c r="E346" s="8" t="s">
        <v>197</v>
      </c>
      <c r="F346" s="8" t="s">
        <v>197</v>
      </c>
      <c r="G346" s="8" t="s">
        <v>201</v>
      </c>
      <c r="H346" s="8" t="s">
        <v>194</v>
      </c>
      <c r="I346">
        <v>1</v>
      </c>
      <c r="J346">
        <v>1</v>
      </c>
      <c r="K346">
        <v>1</v>
      </c>
      <c r="L346">
        <v>1</v>
      </c>
      <c r="M346">
        <v>1</v>
      </c>
      <c r="N346">
        <v>1</v>
      </c>
      <c r="O346">
        <v>1</v>
      </c>
      <c r="P346">
        <v>1</v>
      </c>
      <c r="Q346">
        <v>1</v>
      </c>
      <c r="R346">
        <v>1</v>
      </c>
      <c r="S346">
        <v>1</v>
      </c>
      <c r="T346">
        <v>1</v>
      </c>
      <c r="U346">
        <v>1</v>
      </c>
      <c r="V346">
        <v>1</v>
      </c>
      <c r="W346">
        <v>1</v>
      </c>
      <c r="X346">
        <v>1</v>
      </c>
      <c r="Y346">
        <v>1</v>
      </c>
      <c r="Z346">
        <v>1</v>
      </c>
      <c r="AA346">
        <v>1</v>
      </c>
      <c r="AB346">
        <v>1</v>
      </c>
      <c r="AC346">
        <v>1</v>
      </c>
      <c r="AD346">
        <v>1</v>
      </c>
      <c r="AE346">
        <v>1</v>
      </c>
      <c r="AI346">
        <v>1</v>
      </c>
      <c r="AJ346">
        <v>1</v>
      </c>
      <c r="AK346">
        <v>1</v>
      </c>
      <c r="AL346">
        <v>1</v>
      </c>
      <c r="AM346">
        <v>1</v>
      </c>
      <c r="AN346">
        <v>1</v>
      </c>
      <c r="AO346">
        <v>1</v>
      </c>
      <c r="AV346">
        <v>1</v>
      </c>
      <c r="AW346">
        <v>1</v>
      </c>
      <c r="AX346">
        <v>1</v>
      </c>
      <c r="AY346">
        <v>1</v>
      </c>
      <c r="AZ346">
        <v>1</v>
      </c>
      <c r="BA346">
        <v>1</v>
      </c>
      <c r="BB346">
        <v>1</v>
      </c>
      <c r="BI346">
        <v>1</v>
      </c>
      <c r="BJ346">
        <v>1</v>
      </c>
      <c r="BL346">
        <v>1</v>
      </c>
      <c r="BM346">
        <v>1</v>
      </c>
      <c r="BN346">
        <v>1</v>
      </c>
      <c r="BO346">
        <v>1</v>
      </c>
      <c r="BV346">
        <v>1</v>
      </c>
      <c r="CA346">
        <v>1</v>
      </c>
      <c r="CB346">
        <v>1</v>
      </c>
      <c r="CC346">
        <v>1</v>
      </c>
      <c r="CO346">
        <v>1</v>
      </c>
      <c r="CP346">
        <v>1</v>
      </c>
      <c r="DC346">
        <v>1</v>
      </c>
      <c r="DD346">
        <v>1</v>
      </c>
      <c r="DQ346">
        <v>1</v>
      </c>
      <c r="EE346">
        <v>1</v>
      </c>
      <c r="FV346" s="18">
        <f t="shared" si="589"/>
        <v>0.23529411764705882</v>
      </c>
    </row>
    <row r="347" spans="1:178" ht="14.25" customHeight="1" x14ac:dyDescent="0.25">
      <c r="A347" s="86" t="s">
        <v>273</v>
      </c>
      <c r="B347">
        <v>9</v>
      </c>
      <c r="C347">
        <v>40</v>
      </c>
      <c r="D347" s="8" t="s">
        <v>12</v>
      </c>
      <c r="E347" s="8" t="s">
        <v>197</v>
      </c>
      <c r="F347" s="8" t="s">
        <v>197</v>
      </c>
      <c r="G347" s="8" t="s">
        <v>201</v>
      </c>
      <c r="H347" s="8" t="s">
        <v>194</v>
      </c>
      <c r="I347">
        <v>1</v>
      </c>
      <c r="J347">
        <v>1</v>
      </c>
      <c r="K347">
        <v>1</v>
      </c>
      <c r="L347">
        <v>1</v>
      </c>
      <c r="M347">
        <v>1</v>
      </c>
      <c r="N347">
        <v>1</v>
      </c>
      <c r="O347">
        <v>1</v>
      </c>
      <c r="P347">
        <v>1</v>
      </c>
      <c r="Q347">
        <v>1</v>
      </c>
      <c r="R347">
        <v>1</v>
      </c>
      <c r="S347">
        <v>1</v>
      </c>
      <c r="T347">
        <v>1</v>
      </c>
      <c r="U347">
        <v>1</v>
      </c>
      <c r="V347">
        <v>1</v>
      </c>
      <c r="W347">
        <v>1</v>
      </c>
      <c r="X347">
        <v>1</v>
      </c>
      <c r="Y347">
        <v>1</v>
      </c>
      <c r="Z347">
        <v>1</v>
      </c>
      <c r="AA347">
        <v>1</v>
      </c>
      <c r="AB347">
        <v>1</v>
      </c>
      <c r="AC347">
        <v>1</v>
      </c>
      <c r="AD347">
        <v>1</v>
      </c>
      <c r="AE347">
        <v>1</v>
      </c>
      <c r="AF347">
        <v>1</v>
      </c>
      <c r="AG347">
        <v>1</v>
      </c>
      <c r="AI347">
        <v>1</v>
      </c>
      <c r="AJ347">
        <v>1</v>
      </c>
      <c r="AK347">
        <v>1</v>
      </c>
      <c r="AL347">
        <v>1</v>
      </c>
      <c r="AM347">
        <v>1</v>
      </c>
      <c r="AN347">
        <v>1</v>
      </c>
      <c r="AO347">
        <v>1</v>
      </c>
      <c r="AP347">
        <v>1</v>
      </c>
      <c r="AV347">
        <v>1</v>
      </c>
      <c r="AW347">
        <v>1</v>
      </c>
      <c r="AX347">
        <v>1</v>
      </c>
      <c r="AY347">
        <v>1</v>
      </c>
      <c r="AZ347">
        <v>1</v>
      </c>
      <c r="BA347">
        <v>1</v>
      </c>
      <c r="BB347">
        <v>1</v>
      </c>
      <c r="BC347">
        <v>1</v>
      </c>
      <c r="BI347">
        <v>1</v>
      </c>
      <c r="BJ347">
        <v>1</v>
      </c>
      <c r="BK347">
        <v>1</v>
      </c>
      <c r="BL347">
        <v>1</v>
      </c>
      <c r="BM347">
        <v>1</v>
      </c>
      <c r="BN347">
        <v>1</v>
      </c>
      <c r="BO347">
        <v>1</v>
      </c>
      <c r="BP347">
        <v>1</v>
      </c>
      <c r="BV347">
        <v>1</v>
      </c>
      <c r="CA347">
        <v>1</v>
      </c>
      <c r="CB347">
        <v>1</v>
      </c>
      <c r="CC347">
        <v>1</v>
      </c>
      <c r="CI347">
        <v>1</v>
      </c>
      <c r="CO347">
        <v>1</v>
      </c>
      <c r="CP347">
        <v>1</v>
      </c>
      <c r="CQ347">
        <v>1</v>
      </c>
      <c r="DC347">
        <v>1</v>
      </c>
      <c r="DD347">
        <v>1</v>
      </c>
      <c r="DQ347">
        <v>1</v>
      </c>
      <c r="DR347">
        <v>1</v>
      </c>
      <c r="EE347">
        <v>1</v>
      </c>
      <c r="EF347">
        <v>1</v>
      </c>
      <c r="ES347">
        <v>1</v>
      </c>
      <c r="FG347">
        <v>1</v>
      </c>
      <c r="FV347" s="18">
        <f t="shared" si="589"/>
        <v>0.28657616892911009</v>
      </c>
    </row>
    <row r="348" spans="1:178" ht="14.25" customHeight="1" x14ac:dyDescent="0.25">
      <c r="A348" s="86" t="s">
        <v>273</v>
      </c>
      <c r="B348">
        <v>9</v>
      </c>
      <c r="C348">
        <v>40</v>
      </c>
      <c r="D348" s="8" t="s">
        <v>11</v>
      </c>
      <c r="E348" s="8" t="s">
        <v>197</v>
      </c>
      <c r="F348" s="8" t="s">
        <v>197</v>
      </c>
      <c r="G348" s="8" t="s">
        <v>201</v>
      </c>
      <c r="H348" s="8" t="s">
        <v>194</v>
      </c>
      <c r="I348">
        <v>1</v>
      </c>
      <c r="J348">
        <v>1</v>
      </c>
      <c r="K348">
        <v>1</v>
      </c>
      <c r="L348">
        <v>1</v>
      </c>
      <c r="M348">
        <v>1</v>
      </c>
      <c r="N348">
        <v>1</v>
      </c>
      <c r="O348">
        <v>1</v>
      </c>
      <c r="P348">
        <v>1</v>
      </c>
      <c r="Q348">
        <v>1</v>
      </c>
      <c r="R348">
        <v>1</v>
      </c>
      <c r="S348">
        <v>1</v>
      </c>
      <c r="T348">
        <v>1</v>
      </c>
      <c r="U348">
        <v>1</v>
      </c>
      <c r="V348">
        <v>1</v>
      </c>
      <c r="W348">
        <v>1</v>
      </c>
      <c r="X348">
        <v>1</v>
      </c>
      <c r="Y348">
        <v>1</v>
      </c>
      <c r="Z348">
        <v>1</v>
      </c>
      <c r="AA348">
        <v>1</v>
      </c>
      <c r="AB348">
        <v>1</v>
      </c>
      <c r="AC348">
        <v>1</v>
      </c>
      <c r="AD348">
        <v>1</v>
      </c>
      <c r="AE348">
        <v>1</v>
      </c>
      <c r="AF348">
        <v>1</v>
      </c>
      <c r="AG348">
        <v>1</v>
      </c>
      <c r="AH348">
        <v>1</v>
      </c>
      <c r="AI348">
        <v>1</v>
      </c>
      <c r="AJ348">
        <v>1</v>
      </c>
      <c r="AK348">
        <v>1</v>
      </c>
      <c r="AL348">
        <v>1</v>
      </c>
      <c r="AM348">
        <v>1</v>
      </c>
      <c r="AN348">
        <v>1</v>
      </c>
      <c r="AO348">
        <v>1</v>
      </c>
      <c r="AP348">
        <v>1</v>
      </c>
      <c r="AQ348">
        <v>1</v>
      </c>
      <c r="AR348">
        <v>1</v>
      </c>
      <c r="AS348">
        <v>1</v>
      </c>
      <c r="AV348">
        <v>1</v>
      </c>
      <c r="AW348">
        <v>1</v>
      </c>
      <c r="AX348">
        <v>1</v>
      </c>
      <c r="AY348">
        <v>1</v>
      </c>
      <c r="AZ348">
        <v>1</v>
      </c>
      <c r="BA348">
        <v>1</v>
      </c>
      <c r="BB348">
        <v>1</v>
      </c>
      <c r="BC348">
        <v>1</v>
      </c>
      <c r="BD348">
        <v>1</v>
      </c>
      <c r="BI348">
        <v>1</v>
      </c>
      <c r="BJ348">
        <v>1</v>
      </c>
      <c r="BK348">
        <v>1</v>
      </c>
      <c r="BL348">
        <v>1</v>
      </c>
      <c r="BM348">
        <v>1</v>
      </c>
      <c r="BN348">
        <v>1</v>
      </c>
      <c r="BO348">
        <v>1</v>
      </c>
      <c r="BP348">
        <v>1</v>
      </c>
      <c r="BQ348">
        <v>1</v>
      </c>
      <c r="BV348">
        <v>1</v>
      </c>
      <c r="BW348">
        <v>1</v>
      </c>
      <c r="BX348">
        <v>1</v>
      </c>
      <c r="BZ348">
        <v>1</v>
      </c>
      <c r="CA348">
        <v>1</v>
      </c>
      <c r="CB348">
        <v>1</v>
      </c>
      <c r="CC348">
        <v>1</v>
      </c>
      <c r="CD348">
        <v>1</v>
      </c>
      <c r="CI348">
        <v>1</v>
      </c>
      <c r="CO348">
        <v>1</v>
      </c>
      <c r="CP348">
        <v>1</v>
      </c>
      <c r="CQ348">
        <v>1</v>
      </c>
      <c r="CV348">
        <v>1</v>
      </c>
      <c r="DC348">
        <v>1</v>
      </c>
      <c r="DD348">
        <v>1</v>
      </c>
      <c r="DI348">
        <v>1</v>
      </c>
      <c r="DQ348">
        <v>1</v>
      </c>
      <c r="DR348">
        <v>1</v>
      </c>
      <c r="DV348">
        <v>1</v>
      </c>
      <c r="EE348">
        <v>1</v>
      </c>
      <c r="EF348">
        <v>1</v>
      </c>
      <c r="ES348">
        <v>1</v>
      </c>
      <c r="FG348">
        <v>1</v>
      </c>
      <c r="FV348" s="18">
        <f t="shared" si="589"/>
        <v>0.36199095022624433</v>
      </c>
    </row>
    <row r="349" spans="1:178" ht="14.25" customHeight="1" x14ac:dyDescent="0.25">
      <c r="A349" s="86" t="s">
        <v>273</v>
      </c>
      <c r="B349">
        <v>9</v>
      </c>
      <c r="C349">
        <v>40</v>
      </c>
      <c r="D349" s="8" t="s">
        <v>9</v>
      </c>
      <c r="E349" s="8" t="s">
        <v>197</v>
      </c>
      <c r="F349" s="8" t="s">
        <v>197</v>
      </c>
      <c r="G349" s="8" t="s">
        <v>201</v>
      </c>
      <c r="H349" s="8" t="s">
        <v>194</v>
      </c>
      <c r="I349">
        <v>1</v>
      </c>
      <c r="K349">
        <v>1</v>
      </c>
      <c r="L349">
        <v>1</v>
      </c>
      <c r="N349">
        <v>1</v>
      </c>
      <c r="O349">
        <v>1</v>
      </c>
      <c r="P349">
        <v>1</v>
      </c>
      <c r="R349">
        <v>1</v>
      </c>
      <c r="V349">
        <v>1</v>
      </c>
      <c r="W349">
        <v>1</v>
      </c>
      <c r="Y349">
        <v>1</v>
      </c>
      <c r="Z349">
        <v>1</v>
      </c>
      <c r="AA349">
        <v>1</v>
      </c>
      <c r="AJ349">
        <v>1</v>
      </c>
      <c r="AK349">
        <v>1</v>
      </c>
      <c r="AL349">
        <v>1</v>
      </c>
      <c r="AM349">
        <v>1</v>
      </c>
      <c r="AN349">
        <v>1</v>
      </c>
      <c r="AW349">
        <v>1</v>
      </c>
      <c r="AX349">
        <v>1</v>
      </c>
      <c r="AY349">
        <v>1</v>
      </c>
      <c r="AZ349">
        <v>1</v>
      </c>
      <c r="BA349">
        <v>1</v>
      </c>
      <c r="BE349">
        <v>1</v>
      </c>
      <c r="BF349">
        <v>1</v>
      </c>
      <c r="BG349">
        <v>1</v>
      </c>
      <c r="BH349">
        <v>1</v>
      </c>
      <c r="BJ349">
        <v>1</v>
      </c>
      <c r="BK349">
        <v>1</v>
      </c>
      <c r="BN349">
        <v>1</v>
      </c>
      <c r="BR349">
        <v>1</v>
      </c>
      <c r="BS349">
        <v>1</v>
      </c>
      <c r="BT349">
        <v>1</v>
      </c>
      <c r="BU349">
        <v>1</v>
      </c>
      <c r="BV349">
        <v>1</v>
      </c>
      <c r="CD349">
        <v>1</v>
      </c>
      <c r="CE349">
        <v>1</v>
      </c>
      <c r="CI349">
        <v>1</v>
      </c>
      <c r="CO349">
        <v>1</v>
      </c>
      <c r="CR349">
        <v>1</v>
      </c>
      <c r="CV349">
        <v>1</v>
      </c>
      <c r="CW349">
        <v>1</v>
      </c>
      <c r="CX349">
        <v>1</v>
      </c>
      <c r="CY349">
        <v>1</v>
      </c>
      <c r="CZ349">
        <v>1</v>
      </c>
      <c r="DA349">
        <v>1</v>
      </c>
      <c r="DE349">
        <v>1</v>
      </c>
      <c r="DF349">
        <v>1</v>
      </c>
      <c r="DI349">
        <v>1</v>
      </c>
      <c r="DJ349">
        <v>1</v>
      </c>
      <c r="DS349">
        <v>1</v>
      </c>
      <c r="EG349">
        <v>1</v>
      </c>
      <c r="ES349">
        <v>1</v>
      </c>
      <c r="ET349">
        <v>1</v>
      </c>
      <c r="FV349" s="18">
        <f t="shared" si="589"/>
        <v>0.26546003016591252</v>
      </c>
    </row>
    <row r="350" spans="1:178" ht="14.25" customHeight="1" x14ac:dyDescent="0.25">
      <c r="A350" s="86" t="s">
        <v>273</v>
      </c>
      <c r="B350">
        <v>9</v>
      </c>
      <c r="C350">
        <v>40</v>
      </c>
      <c r="D350" s="8" t="s">
        <v>9</v>
      </c>
      <c r="E350" s="8" t="s">
        <v>197</v>
      </c>
      <c r="F350" s="8" t="s">
        <v>197</v>
      </c>
      <c r="G350" s="8" t="s">
        <v>201</v>
      </c>
      <c r="H350" s="8" t="s">
        <v>195</v>
      </c>
      <c r="J350">
        <v>1</v>
      </c>
      <c r="M350">
        <v>1</v>
      </c>
      <c r="Q350">
        <v>1</v>
      </c>
      <c r="S350">
        <v>1</v>
      </c>
      <c r="T350">
        <v>1</v>
      </c>
      <c r="U350">
        <v>1</v>
      </c>
      <c r="X350">
        <v>1</v>
      </c>
      <c r="AB350">
        <v>1</v>
      </c>
      <c r="AC350">
        <v>1</v>
      </c>
      <c r="AD350">
        <v>1</v>
      </c>
      <c r="AE350">
        <v>1</v>
      </c>
      <c r="AF350">
        <v>1</v>
      </c>
      <c r="AG350">
        <v>1</v>
      </c>
      <c r="AH350">
        <v>1</v>
      </c>
      <c r="AI350">
        <v>1</v>
      </c>
      <c r="AO350">
        <v>1</v>
      </c>
      <c r="AP350">
        <v>1</v>
      </c>
      <c r="AQ350">
        <v>1</v>
      </c>
      <c r="AR350">
        <v>1</v>
      </c>
      <c r="AS350">
        <v>1</v>
      </c>
      <c r="AT350">
        <v>1</v>
      </c>
      <c r="AU350">
        <v>1</v>
      </c>
      <c r="AV350">
        <v>1</v>
      </c>
      <c r="BB350">
        <v>1</v>
      </c>
      <c r="BC350">
        <v>1</v>
      </c>
      <c r="BD350">
        <v>1</v>
      </c>
      <c r="BI350">
        <v>1</v>
      </c>
      <c r="BL350">
        <v>1</v>
      </c>
      <c r="BM350">
        <v>1</v>
      </c>
      <c r="BO350">
        <v>1</v>
      </c>
      <c r="BP350">
        <v>1</v>
      </c>
      <c r="BQ350">
        <v>1</v>
      </c>
      <c r="BW350">
        <v>1</v>
      </c>
      <c r="BX350">
        <v>1</v>
      </c>
      <c r="BY350">
        <v>1</v>
      </c>
      <c r="BZ350">
        <v>1</v>
      </c>
      <c r="CA350">
        <v>1</v>
      </c>
      <c r="CB350">
        <v>1</v>
      </c>
      <c r="CC350">
        <v>1</v>
      </c>
      <c r="CF350">
        <v>1</v>
      </c>
      <c r="CG350">
        <v>1</v>
      </c>
      <c r="CH350">
        <v>1</v>
      </c>
      <c r="CJ350">
        <v>1</v>
      </c>
      <c r="CK350">
        <v>1</v>
      </c>
      <c r="CL350">
        <v>1</v>
      </c>
      <c r="CM350">
        <v>1</v>
      </c>
      <c r="CN350">
        <v>1</v>
      </c>
      <c r="CP350">
        <v>1</v>
      </c>
      <c r="CQ350">
        <v>1</v>
      </c>
      <c r="CS350">
        <v>1</v>
      </c>
      <c r="CT350">
        <v>1</v>
      </c>
      <c r="CU350">
        <v>1</v>
      </c>
      <c r="DB350">
        <v>1</v>
      </c>
      <c r="DC350">
        <v>1</v>
      </c>
      <c r="DD350">
        <v>1</v>
      </c>
      <c r="DG350">
        <v>1</v>
      </c>
      <c r="DH350">
        <v>1</v>
      </c>
      <c r="DK350">
        <v>1</v>
      </c>
      <c r="DL350">
        <v>1</v>
      </c>
      <c r="DM350">
        <v>1</v>
      </c>
      <c r="DN350">
        <v>1</v>
      </c>
      <c r="DO350">
        <v>1</v>
      </c>
      <c r="DP350">
        <v>1</v>
      </c>
      <c r="DQ350">
        <v>1</v>
      </c>
      <c r="DR350">
        <v>1</v>
      </c>
      <c r="DT350">
        <v>1</v>
      </c>
      <c r="DU350">
        <v>1</v>
      </c>
      <c r="DV350">
        <v>1</v>
      </c>
      <c r="DW350">
        <v>1</v>
      </c>
      <c r="DX350">
        <v>1</v>
      </c>
      <c r="DY350">
        <v>1</v>
      </c>
      <c r="DZ350">
        <v>1</v>
      </c>
      <c r="EA350">
        <v>1</v>
      </c>
      <c r="EB350">
        <v>1</v>
      </c>
      <c r="EC350">
        <v>1</v>
      </c>
      <c r="ED350">
        <v>1</v>
      </c>
      <c r="EE350">
        <v>1</v>
      </c>
      <c r="EF350">
        <v>1</v>
      </c>
      <c r="EH350">
        <v>1</v>
      </c>
      <c r="EI350">
        <v>1</v>
      </c>
      <c r="EJ350">
        <v>1</v>
      </c>
      <c r="EK350">
        <v>1</v>
      </c>
      <c r="EL350">
        <v>1</v>
      </c>
      <c r="ER350">
        <v>1</v>
      </c>
      <c r="EU350">
        <v>1</v>
      </c>
      <c r="EV350">
        <v>1</v>
      </c>
      <c r="EW350">
        <v>1</v>
      </c>
      <c r="EX350">
        <v>1</v>
      </c>
      <c r="EY350">
        <v>1</v>
      </c>
      <c r="FG350">
        <v>1</v>
      </c>
      <c r="FH350">
        <v>1</v>
      </c>
      <c r="FI350">
        <v>1</v>
      </c>
      <c r="FJ350">
        <v>1</v>
      </c>
      <c r="FK350">
        <v>1</v>
      </c>
      <c r="FU350">
        <v>1</v>
      </c>
      <c r="FV350" s="18">
        <f t="shared" si="589"/>
        <v>0.54449472096530915</v>
      </c>
    </row>
    <row r="351" spans="1:178" ht="14.25" customHeight="1" x14ac:dyDescent="0.25">
      <c r="A351" s="86" t="s">
        <v>273</v>
      </c>
      <c r="B351">
        <v>9</v>
      </c>
      <c r="C351">
        <v>40</v>
      </c>
      <c r="D351" s="24" t="s">
        <v>242</v>
      </c>
      <c r="E351" s="21" t="s">
        <v>15</v>
      </c>
      <c r="F351" s="8" t="s">
        <v>197</v>
      </c>
      <c r="G351" s="8" t="s">
        <v>201</v>
      </c>
      <c r="H351" s="24" t="s">
        <v>194</v>
      </c>
      <c r="I351">
        <v>1</v>
      </c>
      <c r="J351">
        <v>1</v>
      </c>
      <c r="N351">
        <v>1</v>
      </c>
      <c r="W351">
        <v>1</v>
      </c>
      <c r="Z351">
        <v>1</v>
      </c>
      <c r="AE351">
        <v>1</v>
      </c>
      <c r="AI351">
        <v>1</v>
      </c>
      <c r="AJ351">
        <v>1</v>
      </c>
      <c r="AK351">
        <v>1</v>
      </c>
      <c r="AY351">
        <v>1</v>
      </c>
      <c r="FV351" s="18">
        <f t="shared" si="589"/>
        <v>4.8265460030165915E-2</v>
      </c>
    </row>
    <row r="352" spans="1:178" ht="14.25" customHeight="1" x14ac:dyDescent="0.25">
      <c r="A352" s="86" t="s">
        <v>273</v>
      </c>
      <c r="B352">
        <v>9</v>
      </c>
      <c r="C352">
        <v>40</v>
      </c>
      <c r="D352" s="24" t="s">
        <v>242</v>
      </c>
      <c r="E352" s="21" t="s">
        <v>15</v>
      </c>
      <c r="F352" s="8" t="s">
        <v>197</v>
      </c>
      <c r="G352" s="8" t="s">
        <v>201</v>
      </c>
      <c r="H352" s="24" t="s">
        <v>195</v>
      </c>
      <c r="K352">
        <v>1</v>
      </c>
      <c r="L352">
        <v>1</v>
      </c>
      <c r="M352">
        <v>1</v>
      </c>
      <c r="V352">
        <v>1</v>
      </c>
      <c r="X352">
        <v>1</v>
      </c>
      <c r="Y352">
        <v>1</v>
      </c>
      <c r="AL352">
        <v>1</v>
      </c>
      <c r="BM352">
        <v>1</v>
      </c>
      <c r="CA352">
        <v>1</v>
      </c>
      <c r="CO352">
        <v>1</v>
      </c>
      <c r="FV352" s="18">
        <f t="shared" si="589"/>
        <v>4.072398190045249E-2</v>
      </c>
    </row>
    <row r="353" spans="1:178" ht="14.25" customHeight="1" x14ac:dyDescent="0.25">
      <c r="A353" s="86" t="s">
        <v>273</v>
      </c>
      <c r="B353">
        <v>9</v>
      </c>
      <c r="C353">
        <v>40</v>
      </c>
      <c r="D353" s="24" t="s">
        <v>14</v>
      </c>
      <c r="E353" s="21" t="s">
        <v>15</v>
      </c>
      <c r="F353" s="8" t="s">
        <v>197</v>
      </c>
      <c r="G353" s="8" t="s">
        <v>201</v>
      </c>
      <c r="H353" s="24" t="s">
        <v>194</v>
      </c>
      <c r="I353">
        <v>1</v>
      </c>
      <c r="J353">
        <v>1</v>
      </c>
      <c r="N353">
        <v>1</v>
      </c>
      <c r="W353">
        <v>1</v>
      </c>
      <c r="Z353">
        <v>1</v>
      </c>
      <c r="AE353">
        <v>1</v>
      </c>
      <c r="AI353">
        <v>1</v>
      </c>
      <c r="AJ353">
        <v>1</v>
      </c>
      <c r="AK353">
        <v>1</v>
      </c>
      <c r="AY353">
        <v>1</v>
      </c>
      <c r="FV353" s="18">
        <f t="shared" ref="FV353:FV354" si="594">SUMPRODUCT(I353:FU353,$I$1:$FU$1)/(SUM($I$1:$FU$1))</f>
        <v>4.8265460030165915E-2</v>
      </c>
    </row>
    <row r="354" spans="1:178" ht="14.25" customHeight="1" x14ac:dyDescent="0.25">
      <c r="A354" s="86" t="s">
        <v>273</v>
      </c>
      <c r="B354">
        <v>9</v>
      </c>
      <c r="C354">
        <v>40</v>
      </c>
      <c r="D354" s="24" t="s">
        <v>14</v>
      </c>
      <c r="E354" s="21" t="s">
        <v>15</v>
      </c>
      <c r="F354" s="8" t="s">
        <v>197</v>
      </c>
      <c r="G354" s="8" t="s">
        <v>201</v>
      </c>
      <c r="H354" s="24" t="s">
        <v>195</v>
      </c>
      <c r="K354">
        <v>1</v>
      </c>
      <c r="L354">
        <v>1</v>
      </c>
      <c r="M354">
        <v>1</v>
      </c>
      <c r="V354">
        <v>1</v>
      </c>
      <c r="X354">
        <v>1</v>
      </c>
      <c r="Y354">
        <v>1</v>
      </c>
      <c r="AL354">
        <v>1</v>
      </c>
      <c r="BM354">
        <v>1</v>
      </c>
      <c r="CA354">
        <v>1</v>
      </c>
      <c r="CO354">
        <v>1</v>
      </c>
      <c r="FV354" s="18">
        <f t="shared" si="594"/>
        <v>4.072398190045249E-2</v>
      </c>
    </row>
    <row r="355" spans="1:178" ht="14.25" customHeight="1" x14ac:dyDescent="0.25">
      <c r="A355" s="86" t="s">
        <v>273</v>
      </c>
      <c r="B355">
        <v>9</v>
      </c>
      <c r="C355">
        <v>40</v>
      </c>
      <c r="D355" s="24" t="s">
        <v>13</v>
      </c>
      <c r="E355" s="21" t="s">
        <v>15</v>
      </c>
      <c r="F355" s="8" t="s">
        <v>197</v>
      </c>
      <c r="G355" s="8" t="s">
        <v>201</v>
      </c>
      <c r="H355" s="24" t="s">
        <v>194</v>
      </c>
      <c r="I355">
        <v>1</v>
      </c>
      <c r="J355">
        <v>1</v>
      </c>
      <c r="O355">
        <v>1</v>
      </c>
      <c r="P355">
        <v>1</v>
      </c>
      <c r="V355">
        <v>1</v>
      </c>
      <c r="W355">
        <v>1</v>
      </c>
      <c r="AA355">
        <v>1</v>
      </c>
      <c r="AJ355">
        <v>1</v>
      </c>
      <c r="AK355">
        <v>1</v>
      </c>
      <c r="AY355">
        <v>1</v>
      </c>
      <c r="FV355" s="18">
        <f t="shared" si="589"/>
        <v>4.8265460030165915E-2</v>
      </c>
    </row>
    <row r="356" spans="1:178" ht="14.25" customHeight="1" x14ac:dyDescent="0.25">
      <c r="A356" s="86" t="s">
        <v>273</v>
      </c>
      <c r="B356">
        <v>9</v>
      </c>
      <c r="C356">
        <v>40</v>
      </c>
      <c r="D356" s="24" t="s">
        <v>13</v>
      </c>
      <c r="E356" s="21" t="s">
        <v>15</v>
      </c>
      <c r="F356" s="8" t="s">
        <v>197</v>
      </c>
      <c r="G356" s="8" t="s">
        <v>201</v>
      </c>
      <c r="H356" s="24" t="s">
        <v>195</v>
      </c>
      <c r="K356">
        <v>1</v>
      </c>
      <c r="L356">
        <v>1</v>
      </c>
      <c r="M356">
        <v>1</v>
      </c>
      <c r="N356">
        <v>1</v>
      </c>
      <c r="R356">
        <v>1</v>
      </c>
      <c r="S356">
        <v>1</v>
      </c>
      <c r="X356">
        <v>1</v>
      </c>
      <c r="Y356">
        <v>1</v>
      </c>
      <c r="Z356">
        <v>1</v>
      </c>
      <c r="AI356">
        <v>1</v>
      </c>
      <c r="AL356">
        <v>1</v>
      </c>
      <c r="AM356">
        <v>1</v>
      </c>
      <c r="AV356">
        <v>1</v>
      </c>
      <c r="AZ356">
        <v>1</v>
      </c>
      <c r="BM356">
        <v>1</v>
      </c>
      <c r="BN356">
        <v>1</v>
      </c>
      <c r="CA356">
        <v>1</v>
      </c>
      <c r="CO356">
        <v>1</v>
      </c>
      <c r="DC356">
        <v>1</v>
      </c>
      <c r="DQ356">
        <v>1</v>
      </c>
      <c r="EE356">
        <v>1</v>
      </c>
      <c r="ES356">
        <v>1</v>
      </c>
      <c r="FV356" s="18">
        <f t="shared" si="589"/>
        <v>8.8989441930618404E-2</v>
      </c>
    </row>
    <row r="357" spans="1:178" ht="14.25" customHeight="1" x14ac:dyDescent="0.25">
      <c r="A357" s="86" t="s">
        <v>273</v>
      </c>
      <c r="B357">
        <v>9</v>
      </c>
      <c r="C357">
        <v>40</v>
      </c>
      <c r="D357" s="24" t="s">
        <v>12</v>
      </c>
      <c r="E357" s="21" t="s">
        <v>15</v>
      </c>
      <c r="F357" s="8" t="s">
        <v>197</v>
      </c>
      <c r="G357" s="8" t="s">
        <v>201</v>
      </c>
      <c r="H357" s="24" t="s">
        <v>194</v>
      </c>
      <c r="I357">
        <v>1</v>
      </c>
      <c r="J357">
        <v>1</v>
      </c>
      <c r="O357">
        <v>1</v>
      </c>
      <c r="P357">
        <v>1</v>
      </c>
      <c r="V357">
        <v>1</v>
      </c>
      <c r="W357">
        <v>1</v>
      </c>
      <c r="AA357">
        <v>1</v>
      </c>
      <c r="AJ357">
        <v>1</v>
      </c>
      <c r="AK357">
        <v>1</v>
      </c>
      <c r="AY357">
        <v>1</v>
      </c>
      <c r="FV357" s="18">
        <f t="shared" ref="FV357:FV358" si="595">SUMPRODUCT(I357:FU357,$I$1:$FU$1)/(SUM($I$1:$FU$1))</f>
        <v>4.8265460030165915E-2</v>
      </c>
    </row>
    <row r="358" spans="1:178" ht="14.25" customHeight="1" x14ac:dyDescent="0.25">
      <c r="A358" s="86" t="s">
        <v>273</v>
      </c>
      <c r="B358">
        <v>9</v>
      </c>
      <c r="C358">
        <v>40</v>
      </c>
      <c r="D358" s="24" t="s">
        <v>12</v>
      </c>
      <c r="E358" s="21" t="s">
        <v>15</v>
      </c>
      <c r="F358" s="8" t="s">
        <v>197</v>
      </c>
      <c r="G358" s="8" t="s">
        <v>201</v>
      </c>
      <c r="H358" s="24" t="s">
        <v>195</v>
      </c>
      <c r="K358">
        <v>1</v>
      </c>
      <c r="L358">
        <v>1</v>
      </c>
      <c r="M358">
        <v>1</v>
      </c>
      <c r="N358">
        <v>1</v>
      </c>
      <c r="R358">
        <v>1</v>
      </c>
      <c r="S358">
        <v>1</v>
      </c>
      <c r="X358">
        <v>1</v>
      </c>
      <c r="Y358">
        <v>1</v>
      </c>
      <c r="Z358">
        <v>1</v>
      </c>
      <c r="AI358">
        <v>1</v>
      </c>
      <c r="AL358">
        <v>1</v>
      </c>
      <c r="AM358">
        <v>1</v>
      </c>
      <c r="AV358">
        <v>1</v>
      </c>
      <c r="AZ358">
        <v>1</v>
      </c>
      <c r="BM358">
        <v>1</v>
      </c>
      <c r="BN358">
        <v>1</v>
      </c>
      <c r="CA358">
        <v>1</v>
      </c>
      <c r="CO358">
        <v>1</v>
      </c>
      <c r="DC358">
        <v>1</v>
      </c>
      <c r="DQ358">
        <v>1</v>
      </c>
      <c r="EE358">
        <v>1</v>
      </c>
      <c r="ES358">
        <v>1</v>
      </c>
      <c r="FV358" s="18">
        <f t="shared" si="595"/>
        <v>8.8989441930618404E-2</v>
      </c>
    </row>
    <row r="359" spans="1:178" ht="14.25" customHeight="1" x14ac:dyDescent="0.25">
      <c r="A359" s="86" t="s">
        <v>273</v>
      </c>
      <c r="B359">
        <v>9</v>
      </c>
      <c r="C359">
        <v>40</v>
      </c>
      <c r="D359" s="24" t="s">
        <v>11</v>
      </c>
      <c r="E359" s="21" t="s">
        <v>15</v>
      </c>
      <c r="F359" s="8" t="s">
        <v>197</v>
      </c>
      <c r="G359" s="8" t="s">
        <v>201</v>
      </c>
      <c r="H359" s="24" t="s">
        <v>194</v>
      </c>
      <c r="I359">
        <v>1</v>
      </c>
      <c r="Q359">
        <v>1</v>
      </c>
      <c r="T359">
        <v>1</v>
      </c>
      <c r="V359">
        <v>1</v>
      </c>
      <c r="W359">
        <v>1</v>
      </c>
      <c r="AA359">
        <v>1</v>
      </c>
      <c r="AE359">
        <v>1</v>
      </c>
      <c r="AK359">
        <v>1</v>
      </c>
      <c r="AY359">
        <v>1</v>
      </c>
      <c r="BI359">
        <v>1</v>
      </c>
      <c r="FV359" s="18">
        <f t="shared" si="589"/>
        <v>4.8265460030165915E-2</v>
      </c>
    </row>
    <row r="360" spans="1:178" ht="14.25" customHeight="1" x14ac:dyDescent="0.25">
      <c r="A360" s="86" t="s">
        <v>273</v>
      </c>
      <c r="B360">
        <v>9</v>
      </c>
      <c r="C360">
        <v>40</v>
      </c>
      <c r="D360" s="24" t="s">
        <v>11</v>
      </c>
      <c r="E360" s="21" t="s">
        <v>15</v>
      </c>
      <c r="F360" s="8" t="s">
        <v>197</v>
      </c>
      <c r="G360" s="8" t="s">
        <v>201</v>
      </c>
      <c r="H360" s="24" t="s">
        <v>195</v>
      </c>
      <c r="J360">
        <v>1</v>
      </c>
      <c r="K360">
        <v>1</v>
      </c>
      <c r="L360">
        <v>1</v>
      </c>
      <c r="M360">
        <v>1</v>
      </c>
      <c r="N360">
        <v>1</v>
      </c>
      <c r="O360">
        <v>1</v>
      </c>
      <c r="P360">
        <v>1</v>
      </c>
      <c r="R360">
        <v>1</v>
      </c>
      <c r="S360">
        <v>1</v>
      </c>
      <c r="X360">
        <v>1</v>
      </c>
      <c r="Y360">
        <v>1</v>
      </c>
      <c r="Z360">
        <v>1</v>
      </c>
      <c r="AI360">
        <v>1</v>
      </c>
      <c r="AJ360">
        <v>1</v>
      </c>
      <c r="AL360">
        <v>1</v>
      </c>
      <c r="AM360">
        <v>1</v>
      </c>
      <c r="AV360">
        <v>1</v>
      </c>
      <c r="AZ360">
        <v>1</v>
      </c>
      <c r="BA360">
        <v>1</v>
      </c>
      <c r="BM360">
        <v>1</v>
      </c>
      <c r="BN360">
        <v>1</v>
      </c>
      <c r="CA360">
        <v>1</v>
      </c>
      <c r="CB360">
        <v>1</v>
      </c>
      <c r="CO360">
        <v>1</v>
      </c>
      <c r="CP360">
        <v>1</v>
      </c>
      <c r="DC360">
        <v>1</v>
      </c>
      <c r="DQ360">
        <v>1</v>
      </c>
      <c r="EE360">
        <v>1</v>
      </c>
      <c r="EF360">
        <v>1</v>
      </c>
      <c r="ES360">
        <v>1</v>
      </c>
      <c r="FG360">
        <v>1</v>
      </c>
      <c r="FU360">
        <v>1</v>
      </c>
      <c r="FV360" s="18">
        <f t="shared" si="589"/>
        <v>0.12820512820512819</v>
      </c>
    </row>
    <row r="361" spans="1:178" ht="14.25" customHeight="1" x14ac:dyDescent="0.25">
      <c r="A361" s="86" t="s">
        <v>273</v>
      </c>
      <c r="B361">
        <v>9</v>
      </c>
      <c r="C361">
        <v>40</v>
      </c>
      <c r="D361" s="24" t="s">
        <v>10</v>
      </c>
      <c r="E361" s="21" t="s">
        <v>15</v>
      </c>
      <c r="F361" s="8" t="s">
        <v>197</v>
      </c>
      <c r="G361" s="8" t="s">
        <v>201</v>
      </c>
      <c r="H361" s="24" t="s">
        <v>194</v>
      </c>
      <c r="I361">
        <v>1</v>
      </c>
      <c r="J361">
        <v>1</v>
      </c>
      <c r="Q361">
        <v>1</v>
      </c>
      <c r="T361">
        <v>1</v>
      </c>
      <c r="U361">
        <v>1</v>
      </c>
      <c r="V361">
        <v>1</v>
      </c>
      <c r="W361">
        <v>1</v>
      </c>
      <c r="AE361">
        <v>1</v>
      </c>
      <c r="AF361">
        <v>1</v>
      </c>
      <c r="AK361">
        <v>1</v>
      </c>
      <c r="AN361">
        <v>1</v>
      </c>
      <c r="BI361">
        <v>1</v>
      </c>
      <c r="FV361" s="18">
        <f t="shared" si="589"/>
        <v>5.2790346907993967E-2</v>
      </c>
    </row>
    <row r="362" spans="1:178" ht="14.25" customHeight="1" x14ac:dyDescent="0.25">
      <c r="A362" s="86" t="s">
        <v>273</v>
      </c>
      <c r="B362">
        <v>9</v>
      </c>
      <c r="C362">
        <v>40</v>
      </c>
      <c r="D362" s="24" t="s">
        <v>10</v>
      </c>
      <c r="E362" s="21" t="s">
        <v>15</v>
      </c>
      <c r="F362" s="8" t="s">
        <v>197</v>
      </c>
      <c r="G362" s="8" t="s">
        <v>201</v>
      </c>
      <c r="H362" s="24" t="s">
        <v>195</v>
      </c>
      <c r="K362">
        <v>1</v>
      </c>
      <c r="L362">
        <v>1</v>
      </c>
      <c r="M362">
        <v>1</v>
      </c>
      <c r="N362">
        <v>1</v>
      </c>
      <c r="O362">
        <v>1</v>
      </c>
      <c r="P362">
        <v>1</v>
      </c>
      <c r="R362">
        <v>1</v>
      </c>
      <c r="S362">
        <v>1</v>
      </c>
      <c r="X362">
        <v>1</v>
      </c>
      <c r="Y362">
        <v>1</v>
      </c>
      <c r="Z362">
        <v>1</v>
      </c>
      <c r="AA362">
        <v>1</v>
      </c>
      <c r="AB362">
        <v>1</v>
      </c>
      <c r="AC362">
        <v>1</v>
      </c>
      <c r="AD362">
        <v>1</v>
      </c>
      <c r="AI362">
        <v>1</v>
      </c>
      <c r="AJ362">
        <v>1</v>
      </c>
      <c r="AL362">
        <v>1</v>
      </c>
      <c r="AM362">
        <v>1</v>
      </c>
      <c r="AV362">
        <v>1</v>
      </c>
      <c r="AW362">
        <v>1</v>
      </c>
      <c r="AY362">
        <v>1</v>
      </c>
      <c r="AZ362">
        <v>1</v>
      </c>
      <c r="BA362">
        <v>1</v>
      </c>
      <c r="BM362">
        <v>1</v>
      </c>
      <c r="BN362">
        <v>1</v>
      </c>
      <c r="BO362">
        <v>1</v>
      </c>
      <c r="CA362">
        <v>1</v>
      </c>
      <c r="CB362">
        <v>1</v>
      </c>
      <c r="CO362">
        <v>1</v>
      </c>
      <c r="CP362">
        <v>1</v>
      </c>
      <c r="DC362">
        <v>1</v>
      </c>
      <c r="DD362">
        <v>1</v>
      </c>
      <c r="DQ362">
        <v>1</v>
      </c>
      <c r="DR362">
        <v>1</v>
      </c>
      <c r="EE362">
        <v>1</v>
      </c>
      <c r="EF362">
        <v>1</v>
      </c>
      <c r="ES362">
        <v>1</v>
      </c>
      <c r="FG362">
        <v>1</v>
      </c>
      <c r="FU362">
        <v>1</v>
      </c>
      <c r="FV362" s="18">
        <f t="shared" si="589"/>
        <v>0.15987933634992457</v>
      </c>
    </row>
    <row r="363" spans="1:178" ht="14.25" customHeight="1" x14ac:dyDescent="0.25">
      <c r="A363" s="86" t="s">
        <v>273</v>
      </c>
      <c r="B363">
        <v>9</v>
      </c>
      <c r="C363">
        <v>40</v>
      </c>
      <c r="D363" s="24" t="s">
        <v>9</v>
      </c>
      <c r="E363" s="21" t="s">
        <v>15</v>
      </c>
      <c r="F363" s="8" t="s">
        <v>197</v>
      </c>
      <c r="G363" s="8" t="s">
        <v>201</v>
      </c>
      <c r="H363" s="24" t="s">
        <v>194</v>
      </c>
      <c r="I363">
        <v>1</v>
      </c>
      <c r="J363">
        <v>1</v>
      </c>
      <c r="N363">
        <v>1</v>
      </c>
      <c r="R363">
        <v>1</v>
      </c>
      <c r="V363">
        <v>1</v>
      </c>
      <c r="W363">
        <v>1</v>
      </c>
      <c r="Y363">
        <v>1</v>
      </c>
      <c r="Z363">
        <v>1</v>
      </c>
      <c r="AI363">
        <v>1</v>
      </c>
      <c r="AK363">
        <v>1</v>
      </c>
      <c r="AY363">
        <v>1</v>
      </c>
      <c r="BI363">
        <v>1</v>
      </c>
      <c r="BM363">
        <v>1</v>
      </c>
      <c r="FV363" s="18">
        <f t="shared" si="589"/>
        <v>6.485671191553545E-2</v>
      </c>
    </row>
    <row r="364" spans="1:178" ht="14.25" customHeight="1" x14ac:dyDescent="0.25">
      <c r="A364" s="86" t="s">
        <v>273</v>
      </c>
      <c r="B364">
        <v>9</v>
      </c>
      <c r="C364">
        <v>40</v>
      </c>
      <c r="D364" s="24" t="s">
        <v>9</v>
      </c>
      <c r="E364" s="21" t="s">
        <v>15</v>
      </c>
      <c r="F364" s="8" t="s">
        <v>197</v>
      </c>
      <c r="G364" s="8" t="s">
        <v>201</v>
      </c>
      <c r="H364" s="24" t="s">
        <v>195</v>
      </c>
      <c r="K364">
        <v>1</v>
      </c>
      <c r="L364">
        <v>1</v>
      </c>
      <c r="M364">
        <v>1</v>
      </c>
      <c r="O364">
        <v>1</v>
      </c>
      <c r="P364">
        <v>1</v>
      </c>
      <c r="Q364">
        <v>1</v>
      </c>
      <c r="S364">
        <v>1</v>
      </c>
      <c r="T364">
        <v>1</v>
      </c>
      <c r="X364">
        <v>1</v>
      </c>
      <c r="AA364">
        <v>1</v>
      </c>
      <c r="AB364">
        <v>1</v>
      </c>
      <c r="AD364">
        <v>1</v>
      </c>
      <c r="AJ364">
        <v>1</v>
      </c>
      <c r="AL364">
        <v>1</v>
      </c>
      <c r="AM364">
        <v>1</v>
      </c>
      <c r="AN364">
        <v>1</v>
      </c>
      <c r="AV364">
        <v>1</v>
      </c>
      <c r="AZ364">
        <v>1</v>
      </c>
      <c r="BA364">
        <v>1</v>
      </c>
      <c r="BN364">
        <v>1</v>
      </c>
      <c r="BO364">
        <v>1</v>
      </c>
      <c r="CA364">
        <v>1</v>
      </c>
      <c r="CB364">
        <v>1</v>
      </c>
      <c r="CO364">
        <v>1</v>
      </c>
      <c r="CP364">
        <v>1</v>
      </c>
      <c r="DC364">
        <v>1</v>
      </c>
      <c r="DD364">
        <v>1</v>
      </c>
      <c r="DQ364">
        <v>1</v>
      </c>
      <c r="DR364">
        <v>1</v>
      </c>
      <c r="EE364">
        <v>1</v>
      </c>
      <c r="EF364">
        <v>1</v>
      </c>
      <c r="ES364">
        <v>1</v>
      </c>
      <c r="FG364">
        <v>1</v>
      </c>
      <c r="FU364">
        <v>1</v>
      </c>
      <c r="FV364" s="18">
        <f t="shared" si="589"/>
        <v>0.12669683257918551</v>
      </c>
    </row>
    <row r="365" spans="1:178" ht="14.25" customHeight="1" x14ac:dyDescent="0.25">
      <c r="A365" s="86" t="s">
        <v>273</v>
      </c>
      <c r="B365">
        <v>9</v>
      </c>
      <c r="C365">
        <v>40</v>
      </c>
      <c r="D365" s="24" t="s">
        <v>8</v>
      </c>
      <c r="E365" s="21" t="s">
        <v>15</v>
      </c>
      <c r="F365" s="8" t="s">
        <v>197</v>
      </c>
      <c r="G365" s="8" t="s">
        <v>201</v>
      </c>
      <c r="H365" s="24" t="s">
        <v>194</v>
      </c>
      <c r="I365">
        <v>1</v>
      </c>
      <c r="J365">
        <v>1</v>
      </c>
      <c r="R365">
        <v>1</v>
      </c>
      <c r="V365">
        <v>1</v>
      </c>
      <c r="W365">
        <v>1</v>
      </c>
      <c r="Y365">
        <v>1</v>
      </c>
      <c r="Z365">
        <v>1</v>
      </c>
      <c r="AA365">
        <v>1</v>
      </c>
      <c r="AK365">
        <v>1</v>
      </c>
      <c r="AY365">
        <v>1</v>
      </c>
      <c r="BI365">
        <v>1</v>
      </c>
      <c r="BN365">
        <v>1</v>
      </c>
      <c r="DR365">
        <v>1</v>
      </c>
      <c r="FV365" s="18">
        <f t="shared" si="589"/>
        <v>5.7315233785822019E-2</v>
      </c>
    </row>
    <row r="366" spans="1:178" ht="14.25" customHeight="1" x14ac:dyDescent="0.25">
      <c r="A366" s="86" t="s">
        <v>273</v>
      </c>
      <c r="B366">
        <v>9</v>
      </c>
      <c r="C366">
        <v>40</v>
      </c>
      <c r="D366" s="24" t="s">
        <v>8</v>
      </c>
      <c r="E366" s="21" t="s">
        <v>15</v>
      </c>
      <c r="F366" s="8" t="s">
        <v>197</v>
      </c>
      <c r="G366" s="8" t="s">
        <v>201</v>
      </c>
      <c r="H366" s="24" t="s">
        <v>195</v>
      </c>
      <c r="K366">
        <v>1</v>
      </c>
      <c r="L366">
        <v>1</v>
      </c>
      <c r="M366">
        <v>1</v>
      </c>
      <c r="N366">
        <v>1</v>
      </c>
      <c r="O366">
        <v>1</v>
      </c>
      <c r="P366">
        <v>1</v>
      </c>
      <c r="Q366">
        <v>1</v>
      </c>
      <c r="S366">
        <v>1</v>
      </c>
      <c r="T366">
        <v>1</v>
      </c>
      <c r="U366">
        <v>1</v>
      </c>
      <c r="X366">
        <v>1</v>
      </c>
      <c r="AB366">
        <v>1</v>
      </c>
      <c r="AC366">
        <v>1</v>
      </c>
      <c r="AD366">
        <v>1</v>
      </c>
      <c r="AE366">
        <v>1</v>
      </c>
      <c r="AF366">
        <v>1</v>
      </c>
      <c r="AG366">
        <v>1</v>
      </c>
      <c r="AH366">
        <v>1</v>
      </c>
      <c r="AI366">
        <v>1</v>
      </c>
      <c r="AJ366">
        <v>1</v>
      </c>
      <c r="AL366">
        <v>1</v>
      </c>
      <c r="AM366">
        <v>1</v>
      </c>
      <c r="AN366">
        <v>1</v>
      </c>
      <c r="AO366">
        <v>1</v>
      </c>
      <c r="AP366">
        <v>1</v>
      </c>
      <c r="AQ366">
        <v>1</v>
      </c>
      <c r="AR366">
        <v>1</v>
      </c>
      <c r="AS366">
        <v>1</v>
      </c>
      <c r="AT366">
        <v>1</v>
      </c>
      <c r="AU366">
        <v>1</v>
      </c>
      <c r="AV366">
        <v>1</v>
      </c>
      <c r="AW366">
        <v>1</v>
      </c>
      <c r="AX366">
        <v>1</v>
      </c>
      <c r="AZ366">
        <v>1</v>
      </c>
      <c r="BA366">
        <v>1</v>
      </c>
      <c r="BB366">
        <v>1</v>
      </c>
      <c r="BC366">
        <v>1</v>
      </c>
      <c r="BD366">
        <v>1</v>
      </c>
      <c r="BE366">
        <v>1</v>
      </c>
      <c r="BF366">
        <v>1</v>
      </c>
      <c r="BG366">
        <v>1</v>
      </c>
      <c r="BH366">
        <v>1</v>
      </c>
      <c r="BJ366">
        <v>1</v>
      </c>
      <c r="BK366">
        <v>1</v>
      </c>
      <c r="BL366">
        <v>1</v>
      </c>
      <c r="BM366">
        <v>1</v>
      </c>
      <c r="BO366">
        <v>1</v>
      </c>
      <c r="BP366">
        <v>1</v>
      </c>
      <c r="BQ366">
        <v>1</v>
      </c>
      <c r="BR366">
        <v>1</v>
      </c>
      <c r="BS366">
        <v>1</v>
      </c>
      <c r="BT366">
        <v>1</v>
      </c>
      <c r="BU366">
        <v>1</v>
      </c>
      <c r="BV366">
        <v>1</v>
      </c>
      <c r="BW366">
        <v>1</v>
      </c>
      <c r="BX366">
        <v>1</v>
      </c>
      <c r="BY366">
        <v>1</v>
      </c>
      <c r="BZ366">
        <v>1</v>
      </c>
      <c r="CA366">
        <v>1</v>
      </c>
      <c r="CB366">
        <v>1</v>
      </c>
      <c r="CC366">
        <v>1</v>
      </c>
      <c r="CD366">
        <v>1</v>
      </c>
      <c r="CE366">
        <v>1</v>
      </c>
      <c r="CF366">
        <v>1</v>
      </c>
      <c r="CG366">
        <v>1</v>
      </c>
      <c r="CH366">
        <v>1</v>
      </c>
      <c r="CI366">
        <v>1</v>
      </c>
      <c r="CJ366">
        <v>1</v>
      </c>
      <c r="CM366">
        <v>1</v>
      </c>
      <c r="CN366">
        <v>1</v>
      </c>
      <c r="CO366">
        <v>1</v>
      </c>
      <c r="CP366">
        <v>1</v>
      </c>
      <c r="CQ366">
        <v>1</v>
      </c>
      <c r="CR366">
        <v>1</v>
      </c>
      <c r="CS366">
        <v>1</v>
      </c>
      <c r="CT366">
        <v>1</v>
      </c>
      <c r="CU366">
        <v>1</v>
      </c>
      <c r="CV366">
        <v>1</v>
      </c>
      <c r="DB366">
        <v>1</v>
      </c>
      <c r="DC366">
        <v>1</v>
      </c>
      <c r="DD366">
        <v>1</v>
      </c>
      <c r="DE366">
        <v>1</v>
      </c>
      <c r="DF366">
        <v>1</v>
      </c>
      <c r="DG366">
        <v>1</v>
      </c>
      <c r="DH366">
        <v>1</v>
      </c>
      <c r="DJ366">
        <v>1</v>
      </c>
      <c r="DO366">
        <v>1</v>
      </c>
      <c r="DP366">
        <v>1</v>
      </c>
      <c r="DQ366">
        <v>1</v>
      </c>
      <c r="DS366">
        <v>1</v>
      </c>
      <c r="DT366">
        <v>1</v>
      </c>
      <c r="DU366">
        <v>1</v>
      </c>
      <c r="DV366">
        <v>1</v>
      </c>
      <c r="ED366">
        <v>1</v>
      </c>
      <c r="EE366">
        <v>1</v>
      </c>
      <c r="EF366">
        <v>1</v>
      </c>
      <c r="EG366">
        <v>1</v>
      </c>
      <c r="EH366">
        <v>1</v>
      </c>
      <c r="EI366">
        <v>1</v>
      </c>
      <c r="ER366">
        <v>1</v>
      </c>
      <c r="ES366">
        <v>1</v>
      </c>
      <c r="ET366">
        <v>1</v>
      </c>
      <c r="EU366">
        <v>1</v>
      </c>
      <c r="FG366">
        <v>1</v>
      </c>
      <c r="FH366">
        <v>1</v>
      </c>
      <c r="FU366">
        <v>1</v>
      </c>
      <c r="FV366" s="18">
        <f t="shared" si="589"/>
        <v>0.49019607843137253</v>
      </c>
    </row>
    <row r="367" spans="1:178" ht="14.25" customHeight="1" x14ac:dyDescent="0.25">
      <c r="A367" s="86" t="s">
        <v>273</v>
      </c>
      <c r="B367">
        <v>9</v>
      </c>
      <c r="C367">
        <v>40</v>
      </c>
      <c r="D367" s="24" t="s">
        <v>12</v>
      </c>
      <c r="E367" s="24" t="s">
        <v>13</v>
      </c>
      <c r="F367" s="8" t="s">
        <v>197</v>
      </c>
      <c r="G367" s="8" t="s">
        <v>201</v>
      </c>
      <c r="H367" s="24" t="s">
        <v>194</v>
      </c>
      <c r="I367">
        <v>1</v>
      </c>
      <c r="O367">
        <v>1</v>
      </c>
      <c r="P367">
        <v>1</v>
      </c>
      <c r="Q367">
        <v>1</v>
      </c>
      <c r="V367">
        <v>1</v>
      </c>
      <c r="W367">
        <v>1</v>
      </c>
      <c r="AA367">
        <v>1</v>
      </c>
      <c r="AJ367">
        <v>1</v>
      </c>
      <c r="AK367">
        <v>1</v>
      </c>
      <c r="AN367">
        <v>1</v>
      </c>
      <c r="AY367">
        <v>1</v>
      </c>
      <c r="BI367">
        <v>1</v>
      </c>
      <c r="FV367" s="18">
        <f t="shared" si="589"/>
        <v>6.0331825037707391E-2</v>
      </c>
    </row>
    <row r="368" spans="1:178" ht="14.25" customHeight="1" x14ac:dyDescent="0.25">
      <c r="A368" s="86" t="s">
        <v>273</v>
      </c>
      <c r="B368">
        <v>9</v>
      </c>
      <c r="C368">
        <v>40</v>
      </c>
      <c r="D368" s="24" t="s">
        <v>12</v>
      </c>
      <c r="E368" s="24" t="s">
        <v>13</v>
      </c>
      <c r="F368" s="8" t="s">
        <v>197</v>
      </c>
      <c r="G368" s="8" t="s">
        <v>201</v>
      </c>
      <c r="H368" s="24" t="s">
        <v>195</v>
      </c>
      <c r="J368">
        <v>1</v>
      </c>
      <c r="K368">
        <v>1</v>
      </c>
      <c r="L368">
        <v>1</v>
      </c>
      <c r="M368">
        <v>1</v>
      </c>
      <c r="N368">
        <v>1</v>
      </c>
      <c r="R368">
        <v>1</v>
      </c>
      <c r="S368">
        <v>1</v>
      </c>
      <c r="X368">
        <v>1</v>
      </c>
      <c r="Y368">
        <v>1</v>
      </c>
      <c r="Z368">
        <v>1</v>
      </c>
      <c r="AI368">
        <v>1</v>
      </c>
      <c r="AL368">
        <v>1</v>
      </c>
      <c r="AM368">
        <v>1</v>
      </c>
      <c r="AV368">
        <v>1</v>
      </c>
      <c r="AZ368">
        <v>1</v>
      </c>
      <c r="BM368">
        <v>1</v>
      </c>
      <c r="BN368">
        <v>1</v>
      </c>
      <c r="CA368">
        <v>1</v>
      </c>
      <c r="CB368">
        <v>1</v>
      </c>
      <c r="CO368">
        <v>1</v>
      </c>
      <c r="DC368">
        <v>1</v>
      </c>
      <c r="DQ368">
        <v>1</v>
      </c>
      <c r="EE368">
        <v>1</v>
      </c>
      <c r="FV368" s="18">
        <f t="shared" ref="FV368:FV432" si="596">SUMPRODUCT(I368:FU368,$I$1:$FU$1)/(SUM($I$1:$FU$1))</f>
        <v>9.0497737556561084E-2</v>
      </c>
    </row>
    <row r="369" spans="1:178" ht="14.25" customHeight="1" x14ac:dyDescent="0.25">
      <c r="A369" s="86" t="s">
        <v>273</v>
      </c>
      <c r="B369">
        <v>9</v>
      </c>
      <c r="C369">
        <v>40</v>
      </c>
      <c r="D369" s="24" t="s">
        <v>11</v>
      </c>
      <c r="E369" s="24" t="s">
        <v>13</v>
      </c>
      <c r="F369" s="8" t="s">
        <v>197</v>
      </c>
      <c r="G369" s="8" t="s">
        <v>201</v>
      </c>
      <c r="H369" s="24" t="s">
        <v>194</v>
      </c>
      <c r="I369">
        <v>1</v>
      </c>
      <c r="Q369">
        <v>1</v>
      </c>
      <c r="T369">
        <v>1</v>
      </c>
      <c r="U369">
        <v>1</v>
      </c>
      <c r="V369">
        <v>1</v>
      </c>
      <c r="W369">
        <v>1</v>
      </c>
      <c r="AK369">
        <v>1</v>
      </c>
      <c r="AN369">
        <v>1</v>
      </c>
      <c r="AW369">
        <v>1</v>
      </c>
      <c r="AY369">
        <v>1</v>
      </c>
      <c r="BI369">
        <v>1</v>
      </c>
      <c r="BM369">
        <v>1</v>
      </c>
      <c r="FV369" s="18">
        <f t="shared" si="596"/>
        <v>6.1840120663650078E-2</v>
      </c>
    </row>
    <row r="370" spans="1:178" ht="14.25" customHeight="1" x14ac:dyDescent="0.25">
      <c r="A370" s="86" t="s">
        <v>273</v>
      </c>
      <c r="B370">
        <v>9</v>
      </c>
      <c r="C370">
        <v>40</v>
      </c>
      <c r="D370" s="24" t="s">
        <v>11</v>
      </c>
      <c r="E370" s="24" t="s">
        <v>13</v>
      </c>
      <c r="F370" s="8" t="s">
        <v>197</v>
      </c>
      <c r="G370" s="8" t="s">
        <v>201</v>
      </c>
      <c r="H370" s="24" t="s">
        <v>195</v>
      </c>
      <c r="J370">
        <v>1</v>
      </c>
      <c r="K370">
        <v>1</v>
      </c>
      <c r="L370">
        <v>1</v>
      </c>
      <c r="M370">
        <v>1</v>
      </c>
      <c r="N370">
        <v>1</v>
      </c>
      <c r="O370">
        <v>1</v>
      </c>
      <c r="P370">
        <v>1</v>
      </c>
      <c r="R370">
        <v>1</v>
      </c>
      <c r="S370">
        <v>1</v>
      </c>
      <c r="X370">
        <v>1</v>
      </c>
      <c r="Y370">
        <v>1</v>
      </c>
      <c r="Z370">
        <v>1</v>
      </c>
      <c r="AA370">
        <v>1</v>
      </c>
      <c r="AB370">
        <v>1</v>
      </c>
      <c r="AI370">
        <v>1</v>
      </c>
      <c r="AJ370">
        <v>1</v>
      </c>
      <c r="AL370">
        <v>1</v>
      </c>
      <c r="AM370">
        <v>1</v>
      </c>
      <c r="AV370">
        <v>1</v>
      </c>
      <c r="AZ370">
        <v>1</v>
      </c>
      <c r="BA370">
        <v>1</v>
      </c>
      <c r="BN370">
        <v>1</v>
      </c>
      <c r="BO370">
        <v>1</v>
      </c>
      <c r="CA370">
        <v>1</v>
      </c>
      <c r="CB370">
        <v>1</v>
      </c>
      <c r="CO370">
        <v>1</v>
      </c>
      <c r="CP370">
        <v>1</v>
      </c>
      <c r="DC370">
        <v>1</v>
      </c>
      <c r="DD370">
        <v>1</v>
      </c>
      <c r="DQ370">
        <v>1</v>
      </c>
      <c r="EE370">
        <v>1</v>
      </c>
      <c r="ES370">
        <v>1</v>
      </c>
      <c r="FV370" s="18">
        <f t="shared" si="596"/>
        <v>0.12368024132730016</v>
      </c>
    </row>
    <row r="371" spans="1:178" ht="14.25" customHeight="1" x14ac:dyDescent="0.25">
      <c r="A371" s="86" t="s">
        <v>273</v>
      </c>
      <c r="B371">
        <v>9</v>
      </c>
      <c r="C371">
        <v>40</v>
      </c>
      <c r="D371" s="24" t="s">
        <v>10</v>
      </c>
      <c r="E371" s="24" t="s">
        <v>13</v>
      </c>
      <c r="F371" s="8" t="s">
        <v>197</v>
      </c>
      <c r="G371" s="8" t="s">
        <v>201</v>
      </c>
      <c r="H371" s="24" t="s">
        <v>194</v>
      </c>
      <c r="I371">
        <v>1</v>
      </c>
      <c r="J371">
        <v>1</v>
      </c>
      <c r="Q371">
        <v>1</v>
      </c>
      <c r="T371">
        <v>1</v>
      </c>
      <c r="U371">
        <v>1</v>
      </c>
      <c r="V371">
        <v>1</v>
      </c>
      <c r="W371">
        <v>1</v>
      </c>
      <c r="AD371">
        <v>1</v>
      </c>
      <c r="AE371">
        <v>1</v>
      </c>
      <c r="AK371">
        <v>1</v>
      </c>
      <c r="AO371">
        <v>1</v>
      </c>
      <c r="AX371">
        <v>1</v>
      </c>
      <c r="AY371">
        <v>1</v>
      </c>
      <c r="BB371">
        <v>1</v>
      </c>
      <c r="BV371">
        <v>1</v>
      </c>
      <c r="FV371" s="18">
        <f t="shared" si="596"/>
        <v>6.9381598793363503E-2</v>
      </c>
    </row>
    <row r="372" spans="1:178" ht="14.25" customHeight="1" x14ac:dyDescent="0.25">
      <c r="A372" s="86" t="s">
        <v>273</v>
      </c>
      <c r="B372">
        <v>9</v>
      </c>
      <c r="C372">
        <v>40</v>
      </c>
      <c r="D372" s="24" t="s">
        <v>10</v>
      </c>
      <c r="E372" s="24" t="s">
        <v>13</v>
      </c>
      <c r="F372" s="8" t="s">
        <v>197</v>
      </c>
      <c r="G372" s="8" t="s">
        <v>201</v>
      </c>
      <c r="H372" s="24" t="s">
        <v>195</v>
      </c>
      <c r="K372">
        <v>1</v>
      </c>
      <c r="L372">
        <v>1</v>
      </c>
      <c r="M372">
        <v>1</v>
      </c>
      <c r="N372">
        <v>1</v>
      </c>
      <c r="O372">
        <v>1</v>
      </c>
      <c r="P372">
        <v>1</v>
      </c>
      <c r="R372">
        <v>1</v>
      </c>
      <c r="S372">
        <v>1</v>
      </c>
      <c r="X372">
        <v>1</v>
      </c>
      <c r="Y372">
        <v>1</v>
      </c>
      <c r="Z372">
        <v>1</v>
      </c>
      <c r="AA372">
        <v>1</v>
      </c>
      <c r="AB372">
        <v>1</v>
      </c>
      <c r="AC372">
        <v>1</v>
      </c>
      <c r="AI372">
        <v>1</v>
      </c>
      <c r="AJ372">
        <v>1</v>
      </c>
      <c r="AL372">
        <v>1</v>
      </c>
      <c r="AM372">
        <v>1</v>
      </c>
      <c r="AN372">
        <v>1</v>
      </c>
      <c r="AV372">
        <v>1</v>
      </c>
      <c r="AW372">
        <v>1</v>
      </c>
      <c r="AZ372">
        <v>1</v>
      </c>
      <c r="BA372">
        <v>1</v>
      </c>
      <c r="BI372">
        <v>1</v>
      </c>
      <c r="BM372">
        <v>1</v>
      </c>
      <c r="BN372">
        <v>1</v>
      </c>
      <c r="BO372">
        <v>1</v>
      </c>
      <c r="CA372">
        <v>1</v>
      </c>
      <c r="CB372">
        <v>1</v>
      </c>
      <c r="CC372">
        <v>1</v>
      </c>
      <c r="CO372">
        <v>1</v>
      </c>
      <c r="CP372">
        <v>1</v>
      </c>
      <c r="DC372">
        <v>1</v>
      </c>
      <c r="DD372">
        <v>1</v>
      </c>
      <c r="DQ372">
        <v>1</v>
      </c>
      <c r="DR372">
        <v>1</v>
      </c>
      <c r="EE372">
        <v>1</v>
      </c>
      <c r="EF372">
        <v>1</v>
      </c>
      <c r="ES372">
        <v>1</v>
      </c>
      <c r="FG372">
        <v>1</v>
      </c>
      <c r="FU372">
        <v>1</v>
      </c>
      <c r="FV372" s="18">
        <f t="shared" si="596"/>
        <v>0.167420814479638</v>
      </c>
    </row>
    <row r="373" spans="1:178" ht="14.25" customHeight="1" x14ac:dyDescent="0.25">
      <c r="A373" s="86" t="s">
        <v>273</v>
      </c>
      <c r="B373">
        <v>9</v>
      </c>
      <c r="C373">
        <v>40</v>
      </c>
      <c r="D373" s="24" t="s">
        <v>9</v>
      </c>
      <c r="E373" s="24" t="s">
        <v>13</v>
      </c>
      <c r="F373" s="8" t="s">
        <v>197</v>
      </c>
      <c r="G373" s="8" t="s">
        <v>201</v>
      </c>
      <c r="H373" s="24" t="s">
        <v>194</v>
      </c>
      <c r="I373">
        <v>1</v>
      </c>
      <c r="J373">
        <v>1</v>
      </c>
      <c r="K373">
        <v>1</v>
      </c>
      <c r="N373">
        <v>1</v>
      </c>
      <c r="O373">
        <v>1</v>
      </c>
      <c r="R373">
        <v>1</v>
      </c>
      <c r="V373">
        <v>1</v>
      </c>
      <c r="W373">
        <v>1</v>
      </c>
      <c r="Z373">
        <v>1</v>
      </c>
      <c r="AA373">
        <v>1</v>
      </c>
      <c r="AI373">
        <v>1</v>
      </c>
      <c r="AJ373">
        <v>1</v>
      </c>
      <c r="AK373">
        <v>1</v>
      </c>
      <c r="AL373">
        <v>1</v>
      </c>
      <c r="AV373">
        <v>1</v>
      </c>
      <c r="AY373">
        <v>1</v>
      </c>
      <c r="AZ373">
        <v>1</v>
      </c>
      <c r="BM373">
        <v>1</v>
      </c>
      <c r="CA373">
        <v>1</v>
      </c>
      <c r="FV373" s="18">
        <f t="shared" si="596"/>
        <v>9.0497737556561084E-2</v>
      </c>
    </row>
    <row r="374" spans="1:178" ht="14.25" customHeight="1" x14ac:dyDescent="0.25">
      <c r="A374" s="86" t="s">
        <v>273</v>
      </c>
      <c r="B374">
        <v>9</v>
      </c>
      <c r="C374">
        <v>40</v>
      </c>
      <c r="D374" s="24" t="s">
        <v>9</v>
      </c>
      <c r="E374" s="24" t="s">
        <v>13</v>
      </c>
      <c r="F374" s="8" t="s">
        <v>197</v>
      </c>
      <c r="G374" s="8" t="s">
        <v>201</v>
      </c>
      <c r="H374" s="24" t="s">
        <v>195</v>
      </c>
      <c r="L374">
        <v>1</v>
      </c>
      <c r="M374">
        <v>1</v>
      </c>
      <c r="P374">
        <v>1</v>
      </c>
      <c r="Q374">
        <v>1</v>
      </c>
      <c r="S374">
        <v>1</v>
      </c>
      <c r="T374">
        <v>1</v>
      </c>
      <c r="U374">
        <v>1</v>
      </c>
      <c r="X374">
        <v>1</v>
      </c>
      <c r="Y374">
        <v>1</v>
      </c>
      <c r="AB374">
        <v>1</v>
      </c>
      <c r="AC374">
        <v>1</v>
      </c>
      <c r="AD374">
        <v>1</v>
      </c>
      <c r="AE374">
        <v>1</v>
      </c>
      <c r="AM374">
        <v>1</v>
      </c>
      <c r="AN374">
        <v>1</v>
      </c>
      <c r="AO374">
        <v>1</v>
      </c>
      <c r="AW374">
        <v>1</v>
      </c>
      <c r="BA374">
        <v>1</v>
      </c>
      <c r="BI374">
        <v>1</v>
      </c>
      <c r="BN374">
        <v>1</v>
      </c>
      <c r="BO374">
        <v>1</v>
      </c>
      <c r="CB374">
        <v>1</v>
      </c>
      <c r="CO374">
        <v>1</v>
      </c>
      <c r="CP374">
        <v>1</v>
      </c>
      <c r="DC374">
        <v>1</v>
      </c>
      <c r="DD374">
        <v>1</v>
      </c>
      <c r="DQ374">
        <v>1</v>
      </c>
      <c r="DR374">
        <v>1</v>
      </c>
      <c r="EE374">
        <v>1</v>
      </c>
      <c r="EF374">
        <v>1</v>
      </c>
      <c r="ES374">
        <v>1</v>
      </c>
      <c r="FG374">
        <v>1</v>
      </c>
      <c r="FU374">
        <v>1</v>
      </c>
      <c r="FV374" s="18">
        <f t="shared" si="596"/>
        <v>0.12217194570135746</v>
      </c>
    </row>
    <row r="375" spans="1:178" ht="14.25" customHeight="1" x14ac:dyDescent="0.25">
      <c r="A375" s="86" t="s">
        <v>273</v>
      </c>
      <c r="B375">
        <v>9</v>
      </c>
      <c r="C375">
        <v>40</v>
      </c>
      <c r="D375" s="24" t="s">
        <v>8</v>
      </c>
      <c r="E375" s="24" t="s">
        <v>13</v>
      </c>
      <c r="F375" s="8" t="s">
        <v>197</v>
      </c>
      <c r="G375" s="8" t="s">
        <v>201</v>
      </c>
      <c r="H375" s="24" t="s">
        <v>194</v>
      </c>
      <c r="I375">
        <v>1</v>
      </c>
      <c r="J375">
        <v>1</v>
      </c>
      <c r="K375">
        <v>1</v>
      </c>
      <c r="Q375">
        <v>1</v>
      </c>
      <c r="R375">
        <v>1</v>
      </c>
      <c r="V375">
        <v>1</v>
      </c>
      <c r="W375">
        <v>1</v>
      </c>
      <c r="AA375">
        <v>1</v>
      </c>
      <c r="AD375">
        <v>1</v>
      </c>
      <c r="AI375">
        <v>1</v>
      </c>
      <c r="AK375">
        <v>1</v>
      </c>
      <c r="AY375">
        <v>1</v>
      </c>
      <c r="AZ375">
        <v>1</v>
      </c>
      <c r="BA375">
        <v>1</v>
      </c>
      <c r="BM375">
        <v>1</v>
      </c>
      <c r="BN375">
        <v>1</v>
      </c>
      <c r="BV375">
        <v>1</v>
      </c>
      <c r="DD375">
        <v>1</v>
      </c>
      <c r="FV375" s="18">
        <f t="shared" si="596"/>
        <v>7.9939668174962286E-2</v>
      </c>
    </row>
    <row r="376" spans="1:178" ht="14.25" customHeight="1" x14ac:dyDescent="0.25">
      <c r="A376" s="86" t="s">
        <v>273</v>
      </c>
      <c r="B376">
        <v>9</v>
      </c>
      <c r="C376">
        <v>40</v>
      </c>
      <c r="D376" s="24" t="s">
        <v>8</v>
      </c>
      <c r="E376" s="24" t="s">
        <v>13</v>
      </c>
      <c r="F376" s="8" t="s">
        <v>197</v>
      </c>
      <c r="G376" s="8" t="s">
        <v>201</v>
      </c>
      <c r="H376" s="24" t="s">
        <v>195</v>
      </c>
      <c r="L376">
        <v>1</v>
      </c>
      <c r="M376">
        <v>1</v>
      </c>
      <c r="N376">
        <v>1</v>
      </c>
      <c r="O376">
        <v>1</v>
      </c>
      <c r="P376">
        <v>1</v>
      </c>
      <c r="S376">
        <v>1</v>
      </c>
      <c r="T376">
        <v>1</v>
      </c>
      <c r="U376">
        <v>1</v>
      </c>
      <c r="X376">
        <v>1</v>
      </c>
      <c r="Y376">
        <v>1</v>
      </c>
      <c r="Z376">
        <v>1</v>
      </c>
      <c r="AB376">
        <v>1</v>
      </c>
      <c r="AC376">
        <v>1</v>
      </c>
      <c r="AE376">
        <v>1</v>
      </c>
      <c r="AF376">
        <v>1</v>
      </c>
      <c r="AG376">
        <v>1</v>
      </c>
      <c r="AH376">
        <v>1</v>
      </c>
      <c r="AJ376">
        <v>1</v>
      </c>
      <c r="AL376">
        <v>1</v>
      </c>
      <c r="AM376">
        <v>1</v>
      </c>
      <c r="AN376">
        <v>1</v>
      </c>
      <c r="AO376">
        <v>1</v>
      </c>
      <c r="AP376">
        <v>1</v>
      </c>
      <c r="AQ376">
        <v>1</v>
      </c>
      <c r="AR376">
        <v>1</v>
      </c>
      <c r="AS376">
        <v>1</v>
      </c>
      <c r="AT376">
        <v>1</v>
      </c>
      <c r="AU376">
        <v>1</v>
      </c>
      <c r="AV376">
        <v>1</v>
      </c>
      <c r="AW376">
        <v>1</v>
      </c>
      <c r="AX376">
        <v>1</v>
      </c>
      <c r="BB376">
        <v>1</v>
      </c>
      <c r="BC376">
        <v>1</v>
      </c>
      <c r="BD376">
        <v>1</v>
      </c>
      <c r="BE376">
        <v>1</v>
      </c>
      <c r="BF376">
        <v>1</v>
      </c>
      <c r="BG376">
        <v>1</v>
      </c>
      <c r="BH376">
        <v>1</v>
      </c>
      <c r="BI376">
        <v>1</v>
      </c>
      <c r="BJ376">
        <v>1</v>
      </c>
      <c r="BK376">
        <v>1</v>
      </c>
      <c r="BL376">
        <v>1</v>
      </c>
      <c r="BO376">
        <v>1</v>
      </c>
      <c r="BP376">
        <v>1</v>
      </c>
      <c r="BQ376">
        <v>1</v>
      </c>
      <c r="BR376">
        <v>1</v>
      </c>
      <c r="BS376">
        <v>1</v>
      </c>
      <c r="BT376">
        <v>1</v>
      </c>
      <c r="BU376">
        <v>1</v>
      </c>
      <c r="BW376">
        <v>1</v>
      </c>
      <c r="BX376">
        <v>1</v>
      </c>
      <c r="BY376">
        <v>1</v>
      </c>
      <c r="BZ376">
        <v>1</v>
      </c>
      <c r="CA376">
        <v>1</v>
      </c>
      <c r="CB376">
        <v>1</v>
      </c>
      <c r="CC376">
        <v>1</v>
      </c>
      <c r="CD376">
        <v>1</v>
      </c>
      <c r="CE376">
        <v>1</v>
      </c>
      <c r="CF376">
        <v>1</v>
      </c>
      <c r="CG376">
        <v>1</v>
      </c>
      <c r="CH376">
        <v>1</v>
      </c>
      <c r="CI376">
        <v>1</v>
      </c>
      <c r="CJ376">
        <v>1</v>
      </c>
      <c r="CK376">
        <v>1</v>
      </c>
      <c r="CL376">
        <v>1</v>
      </c>
      <c r="CM376">
        <v>1</v>
      </c>
      <c r="CN376">
        <v>1</v>
      </c>
      <c r="CO376">
        <v>1</v>
      </c>
      <c r="CP376">
        <v>1</v>
      </c>
      <c r="CQ376">
        <v>1</v>
      </c>
      <c r="CR376">
        <v>1</v>
      </c>
      <c r="CS376">
        <v>1</v>
      </c>
      <c r="CT376">
        <v>1</v>
      </c>
      <c r="CU376">
        <v>1</v>
      </c>
      <c r="CV376">
        <v>1</v>
      </c>
      <c r="CW376">
        <v>1</v>
      </c>
      <c r="DA376">
        <v>1</v>
      </c>
      <c r="DB376">
        <v>1</v>
      </c>
      <c r="DC376">
        <v>1</v>
      </c>
      <c r="DE376">
        <v>1</v>
      </c>
      <c r="DF376">
        <v>1</v>
      </c>
      <c r="DG376">
        <v>1</v>
      </c>
      <c r="DH376">
        <v>1</v>
      </c>
      <c r="DI376">
        <v>1</v>
      </c>
      <c r="DJ376">
        <v>1</v>
      </c>
      <c r="DO376">
        <v>1</v>
      </c>
      <c r="DP376">
        <v>1</v>
      </c>
      <c r="DQ376">
        <v>1</v>
      </c>
      <c r="DR376">
        <v>1</v>
      </c>
      <c r="DS376">
        <v>1</v>
      </c>
      <c r="DT376">
        <v>1</v>
      </c>
      <c r="DU376">
        <v>1</v>
      </c>
      <c r="DV376">
        <v>1</v>
      </c>
      <c r="DW376">
        <v>1</v>
      </c>
      <c r="ED376">
        <v>1</v>
      </c>
      <c r="EE376">
        <v>1</v>
      </c>
      <c r="EF376">
        <v>1</v>
      </c>
      <c r="EG376">
        <v>1</v>
      </c>
      <c r="EH376">
        <v>1</v>
      </c>
      <c r="EI376">
        <v>1</v>
      </c>
      <c r="ER376">
        <v>1</v>
      </c>
      <c r="ES376">
        <v>1</v>
      </c>
      <c r="ET376">
        <v>1</v>
      </c>
      <c r="EU376">
        <v>1</v>
      </c>
      <c r="EV376">
        <v>1</v>
      </c>
      <c r="FG376">
        <v>1</v>
      </c>
      <c r="FH376">
        <v>1</v>
      </c>
      <c r="FI376">
        <v>1</v>
      </c>
      <c r="FU376">
        <v>1</v>
      </c>
      <c r="FV376" s="18">
        <f t="shared" si="596"/>
        <v>0.53996983408748112</v>
      </c>
    </row>
    <row r="377" spans="1:178" ht="14.25" customHeight="1" x14ac:dyDescent="0.25">
      <c r="A377" s="86" t="s">
        <v>273</v>
      </c>
      <c r="B377">
        <v>9</v>
      </c>
      <c r="C377">
        <v>40</v>
      </c>
      <c r="D377" s="24" t="s">
        <v>11</v>
      </c>
      <c r="E377" s="24" t="s">
        <v>12</v>
      </c>
      <c r="F377" s="8" t="s">
        <v>197</v>
      </c>
      <c r="G377" s="8" t="s">
        <v>201</v>
      </c>
      <c r="H377" s="24" t="s">
        <v>194</v>
      </c>
      <c r="I377">
        <v>1</v>
      </c>
      <c r="Q377">
        <v>1</v>
      </c>
      <c r="T377">
        <v>1</v>
      </c>
      <c r="U377">
        <v>1</v>
      </c>
      <c r="V377">
        <v>1</v>
      </c>
      <c r="W377">
        <v>1</v>
      </c>
      <c r="AK377">
        <v>1</v>
      </c>
      <c r="AN377">
        <v>1</v>
      </c>
      <c r="AW377">
        <v>1</v>
      </c>
      <c r="AY377">
        <v>1</v>
      </c>
      <c r="BI377">
        <v>1</v>
      </c>
      <c r="BM377">
        <v>1</v>
      </c>
      <c r="FV377" s="18">
        <f t="shared" ref="FV377:FV384" si="597">SUMPRODUCT(I377:FU377,$I$1:$FU$1)/(SUM($I$1:$FU$1))</f>
        <v>6.1840120663650078E-2</v>
      </c>
    </row>
    <row r="378" spans="1:178" ht="14.25" customHeight="1" x14ac:dyDescent="0.25">
      <c r="A378" s="86" t="s">
        <v>273</v>
      </c>
      <c r="B378">
        <v>9</v>
      </c>
      <c r="C378">
        <v>40</v>
      </c>
      <c r="D378" s="24" t="s">
        <v>11</v>
      </c>
      <c r="E378" s="24" t="s">
        <v>12</v>
      </c>
      <c r="F378" s="8" t="s">
        <v>197</v>
      </c>
      <c r="G378" s="8" t="s">
        <v>201</v>
      </c>
      <c r="H378" s="24" t="s">
        <v>195</v>
      </c>
      <c r="J378">
        <v>1</v>
      </c>
      <c r="K378">
        <v>1</v>
      </c>
      <c r="L378">
        <v>1</v>
      </c>
      <c r="M378">
        <v>1</v>
      </c>
      <c r="N378">
        <v>1</v>
      </c>
      <c r="O378">
        <v>1</v>
      </c>
      <c r="P378">
        <v>1</v>
      </c>
      <c r="R378">
        <v>1</v>
      </c>
      <c r="S378">
        <v>1</v>
      </c>
      <c r="X378">
        <v>1</v>
      </c>
      <c r="Y378">
        <v>1</v>
      </c>
      <c r="Z378">
        <v>1</v>
      </c>
      <c r="AA378">
        <v>1</v>
      </c>
      <c r="AB378">
        <v>1</v>
      </c>
      <c r="AI378">
        <v>1</v>
      </c>
      <c r="AJ378">
        <v>1</v>
      </c>
      <c r="AL378">
        <v>1</v>
      </c>
      <c r="AM378">
        <v>1</v>
      </c>
      <c r="AV378">
        <v>1</v>
      </c>
      <c r="AZ378">
        <v>1</v>
      </c>
      <c r="BA378">
        <v>1</v>
      </c>
      <c r="BN378">
        <v>1</v>
      </c>
      <c r="BO378">
        <v>1</v>
      </c>
      <c r="CA378">
        <v>1</v>
      </c>
      <c r="CB378">
        <v>1</v>
      </c>
      <c r="CO378">
        <v>1</v>
      </c>
      <c r="CP378">
        <v>1</v>
      </c>
      <c r="DC378">
        <v>1</v>
      </c>
      <c r="DD378">
        <v>1</v>
      </c>
      <c r="DQ378">
        <v>1</v>
      </c>
      <c r="EE378">
        <v>1</v>
      </c>
      <c r="ES378">
        <v>1</v>
      </c>
      <c r="FV378" s="18">
        <f t="shared" si="597"/>
        <v>0.12368024132730016</v>
      </c>
    </row>
    <row r="379" spans="1:178" ht="14.25" customHeight="1" x14ac:dyDescent="0.25">
      <c r="A379" s="86" t="s">
        <v>273</v>
      </c>
      <c r="B379">
        <v>9</v>
      </c>
      <c r="C379">
        <v>40</v>
      </c>
      <c r="D379" s="24" t="s">
        <v>10</v>
      </c>
      <c r="E379" s="24" t="s">
        <v>12</v>
      </c>
      <c r="F379" s="8" t="s">
        <v>197</v>
      </c>
      <c r="G379" s="8" t="s">
        <v>201</v>
      </c>
      <c r="H379" s="24" t="s">
        <v>194</v>
      </c>
      <c r="I379">
        <v>1</v>
      </c>
      <c r="J379">
        <v>1</v>
      </c>
      <c r="Q379">
        <v>1</v>
      </c>
      <c r="T379">
        <v>1</v>
      </c>
      <c r="U379">
        <v>1</v>
      </c>
      <c r="V379">
        <v>1</v>
      </c>
      <c r="W379">
        <v>1</v>
      </c>
      <c r="AD379">
        <v>1</v>
      </c>
      <c r="AE379">
        <v>1</v>
      </c>
      <c r="AK379">
        <v>1</v>
      </c>
      <c r="AO379">
        <v>1</v>
      </c>
      <c r="AX379">
        <v>1</v>
      </c>
      <c r="AY379">
        <v>1</v>
      </c>
      <c r="BB379">
        <v>1</v>
      </c>
      <c r="BV379">
        <v>1</v>
      </c>
      <c r="FV379" s="18">
        <f t="shared" si="597"/>
        <v>6.9381598793363503E-2</v>
      </c>
    </row>
    <row r="380" spans="1:178" ht="14.25" customHeight="1" x14ac:dyDescent="0.25">
      <c r="A380" s="86" t="s">
        <v>273</v>
      </c>
      <c r="B380">
        <v>9</v>
      </c>
      <c r="C380">
        <v>40</v>
      </c>
      <c r="D380" s="24" t="s">
        <v>10</v>
      </c>
      <c r="E380" s="24" t="s">
        <v>12</v>
      </c>
      <c r="F380" s="8" t="s">
        <v>197</v>
      </c>
      <c r="G380" s="8" t="s">
        <v>201</v>
      </c>
      <c r="H380" s="24" t="s">
        <v>195</v>
      </c>
      <c r="K380">
        <v>1</v>
      </c>
      <c r="L380">
        <v>1</v>
      </c>
      <c r="M380">
        <v>1</v>
      </c>
      <c r="N380">
        <v>1</v>
      </c>
      <c r="O380">
        <v>1</v>
      </c>
      <c r="P380">
        <v>1</v>
      </c>
      <c r="R380">
        <v>1</v>
      </c>
      <c r="S380">
        <v>1</v>
      </c>
      <c r="X380">
        <v>1</v>
      </c>
      <c r="Y380">
        <v>1</v>
      </c>
      <c r="Z380">
        <v>1</v>
      </c>
      <c r="AA380">
        <v>1</v>
      </c>
      <c r="AB380">
        <v>1</v>
      </c>
      <c r="AC380">
        <v>1</v>
      </c>
      <c r="AI380">
        <v>1</v>
      </c>
      <c r="AJ380">
        <v>1</v>
      </c>
      <c r="AL380">
        <v>1</v>
      </c>
      <c r="AM380">
        <v>1</v>
      </c>
      <c r="AN380">
        <v>1</v>
      </c>
      <c r="AV380">
        <v>1</v>
      </c>
      <c r="AW380">
        <v>1</v>
      </c>
      <c r="AZ380">
        <v>1</v>
      </c>
      <c r="BA380">
        <v>1</v>
      </c>
      <c r="BI380">
        <v>1</v>
      </c>
      <c r="BM380">
        <v>1</v>
      </c>
      <c r="BN380">
        <v>1</v>
      </c>
      <c r="BO380">
        <v>1</v>
      </c>
      <c r="CA380">
        <v>1</v>
      </c>
      <c r="CB380">
        <v>1</v>
      </c>
      <c r="CC380">
        <v>1</v>
      </c>
      <c r="CO380">
        <v>1</v>
      </c>
      <c r="CP380">
        <v>1</v>
      </c>
      <c r="DC380">
        <v>1</v>
      </c>
      <c r="DD380">
        <v>1</v>
      </c>
      <c r="DQ380">
        <v>1</v>
      </c>
      <c r="DR380">
        <v>1</v>
      </c>
      <c r="EE380">
        <v>1</v>
      </c>
      <c r="EF380">
        <v>1</v>
      </c>
      <c r="ES380">
        <v>1</v>
      </c>
      <c r="FG380">
        <v>1</v>
      </c>
      <c r="FU380">
        <v>1</v>
      </c>
      <c r="FV380" s="18">
        <f t="shared" si="597"/>
        <v>0.167420814479638</v>
      </c>
    </row>
    <row r="381" spans="1:178" ht="14.25" customHeight="1" x14ac:dyDescent="0.25">
      <c r="A381" s="86" t="s">
        <v>273</v>
      </c>
      <c r="B381">
        <v>9</v>
      </c>
      <c r="C381">
        <v>40</v>
      </c>
      <c r="D381" s="24" t="s">
        <v>9</v>
      </c>
      <c r="E381" s="24" t="s">
        <v>12</v>
      </c>
      <c r="F381" s="8" t="s">
        <v>197</v>
      </c>
      <c r="G381" s="8" t="s">
        <v>201</v>
      </c>
      <c r="H381" s="24" t="s">
        <v>194</v>
      </c>
      <c r="I381">
        <v>1</v>
      </c>
      <c r="J381">
        <v>1</v>
      </c>
      <c r="K381">
        <v>1</v>
      </c>
      <c r="N381">
        <v>1</v>
      </c>
      <c r="O381">
        <v>1</v>
      </c>
      <c r="R381">
        <v>1</v>
      </c>
      <c r="V381">
        <v>1</v>
      </c>
      <c r="W381">
        <v>1</v>
      </c>
      <c r="Z381">
        <v>1</v>
      </c>
      <c r="AA381">
        <v>1</v>
      </c>
      <c r="AI381">
        <v>1</v>
      </c>
      <c r="AJ381">
        <v>1</v>
      </c>
      <c r="AK381">
        <v>1</v>
      </c>
      <c r="AL381">
        <v>1</v>
      </c>
      <c r="AV381">
        <v>1</v>
      </c>
      <c r="AY381">
        <v>1</v>
      </c>
      <c r="AZ381">
        <v>1</v>
      </c>
      <c r="BM381">
        <v>1</v>
      </c>
      <c r="CA381">
        <v>1</v>
      </c>
      <c r="FV381" s="18">
        <f t="shared" si="597"/>
        <v>9.0497737556561084E-2</v>
      </c>
    </row>
    <row r="382" spans="1:178" ht="14.25" customHeight="1" x14ac:dyDescent="0.25">
      <c r="A382" s="86" t="s">
        <v>273</v>
      </c>
      <c r="B382">
        <v>9</v>
      </c>
      <c r="C382">
        <v>40</v>
      </c>
      <c r="D382" s="24" t="s">
        <v>9</v>
      </c>
      <c r="E382" s="24" t="s">
        <v>12</v>
      </c>
      <c r="F382" s="8" t="s">
        <v>197</v>
      </c>
      <c r="G382" s="8" t="s">
        <v>201</v>
      </c>
      <c r="H382" s="24" t="s">
        <v>195</v>
      </c>
      <c r="L382">
        <v>1</v>
      </c>
      <c r="M382">
        <v>1</v>
      </c>
      <c r="P382">
        <v>1</v>
      </c>
      <c r="Q382">
        <v>1</v>
      </c>
      <c r="S382">
        <v>1</v>
      </c>
      <c r="T382">
        <v>1</v>
      </c>
      <c r="U382">
        <v>1</v>
      </c>
      <c r="X382">
        <v>1</v>
      </c>
      <c r="Y382">
        <v>1</v>
      </c>
      <c r="AB382">
        <v>1</v>
      </c>
      <c r="AC382">
        <v>1</v>
      </c>
      <c r="AD382">
        <v>1</v>
      </c>
      <c r="AE382">
        <v>1</v>
      </c>
      <c r="AM382">
        <v>1</v>
      </c>
      <c r="AN382">
        <v>1</v>
      </c>
      <c r="AO382">
        <v>1</v>
      </c>
      <c r="AW382">
        <v>1</v>
      </c>
      <c r="BA382">
        <v>1</v>
      </c>
      <c r="BI382">
        <v>1</v>
      </c>
      <c r="BN382">
        <v>1</v>
      </c>
      <c r="BO382">
        <v>1</v>
      </c>
      <c r="CB382">
        <v>1</v>
      </c>
      <c r="CO382">
        <v>1</v>
      </c>
      <c r="CP382">
        <v>1</v>
      </c>
      <c r="DC382">
        <v>1</v>
      </c>
      <c r="DD382">
        <v>1</v>
      </c>
      <c r="DQ382">
        <v>1</v>
      </c>
      <c r="DR382">
        <v>1</v>
      </c>
      <c r="EE382">
        <v>1</v>
      </c>
      <c r="EF382">
        <v>1</v>
      </c>
      <c r="ES382">
        <v>1</v>
      </c>
      <c r="FG382">
        <v>1</v>
      </c>
      <c r="FU382">
        <v>1</v>
      </c>
      <c r="FV382" s="18">
        <f t="shared" si="597"/>
        <v>0.12217194570135746</v>
      </c>
    </row>
    <row r="383" spans="1:178" ht="14.25" customHeight="1" x14ac:dyDescent="0.25">
      <c r="A383" s="86" t="s">
        <v>273</v>
      </c>
      <c r="B383">
        <v>9</v>
      </c>
      <c r="C383">
        <v>40</v>
      </c>
      <c r="D383" s="24" t="s">
        <v>8</v>
      </c>
      <c r="E383" s="24" t="s">
        <v>12</v>
      </c>
      <c r="F383" s="8" t="s">
        <v>197</v>
      </c>
      <c r="G383" s="8" t="s">
        <v>201</v>
      </c>
      <c r="H383" s="24" t="s">
        <v>194</v>
      </c>
      <c r="I383">
        <v>1</v>
      </c>
      <c r="J383">
        <v>1</v>
      </c>
      <c r="K383">
        <v>1</v>
      </c>
      <c r="Q383">
        <v>1</v>
      </c>
      <c r="R383">
        <v>1</v>
      </c>
      <c r="V383">
        <v>1</v>
      </c>
      <c r="W383">
        <v>1</v>
      </c>
      <c r="AA383">
        <v>1</v>
      </c>
      <c r="AD383">
        <v>1</v>
      </c>
      <c r="AI383">
        <v>1</v>
      </c>
      <c r="AK383">
        <v>1</v>
      </c>
      <c r="AY383">
        <v>1</v>
      </c>
      <c r="AZ383">
        <v>1</v>
      </c>
      <c r="BA383">
        <v>1</v>
      </c>
      <c r="BM383">
        <v>1</v>
      </c>
      <c r="BN383">
        <v>1</v>
      </c>
      <c r="BV383">
        <v>1</v>
      </c>
      <c r="DD383">
        <v>1</v>
      </c>
      <c r="FV383" s="18">
        <f t="shared" si="597"/>
        <v>7.9939668174962286E-2</v>
      </c>
    </row>
    <row r="384" spans="1:178" ht="14.25" customHeight="1" x14ac:dyDescent="0.25">
      <c r="A384" s="86" t="s">
        <v>273</v>
      </c>
      <c r="B384">
        <v>9</v>
      </c>
      <c r="C384">
        <v>40</v>
      </c>
      <c r="D384" s="24" t="s">
        <v>8</v>
      </c>
      <c r="E384" s="24" t="s">
        <v>12</v>
      </c>
      <c r="F384" s="8" t="s">
        <v>197</v>
      </c>
      <c r="G384" s="8" t="s">
        <v>201</v>
      </c>
      <c r="H384" s="24" t="s">
        <v>195</v>
      </c>
      <c r="L384">
        <v>1</v>
      </c>
      <c r="M384">
        <v>1</v>
      </c>
      <c r="N384">
        <v>1</v>
      </c>
      <c r="O384">
        <v>1</v>
      </c>
      <c r="P384">
        <v>1</v>
      </c>
      <c r="S384">
        <v>1</v>
      </c>
      <c r="T384">
        <v>1</v>
      </c>
      <c r="U384">
        <v>1</v>
      </c>
      <c r="X384">
        <v>1</v>
      </c>
      <c r="Y384">
        <v>1</v>
      </c>
      <c r="Z384">
        <v>1</v>
      </c>
      <c r="AB384">
        <v>1</v>
      </c>
      <c r="AC384">
        <v>1</v>
      </c>
      <c r="AE384">
        <v>1</v>
      </c>
      <c r="AF384">
        <v>1</v>
      </c>
      <c r="AG384">
        <v>1</v>
      </c>
      <c r="AH384">
        <v>1</v>
      </c>
      <c r="AJ384">
        <v>1</v>
      </c>
      <c r="AL384">
        <v>1</v>
      </c>
      <c r="AM384">
        <v>1</v>
      </c>
      <c r="AN384">
        <v>1</v>
      </c>
      <c r="AO384">
        <v>1</v>
      </c>
      <c r="AP384">
        <v>1</v>
      </c>
      <c r="AQ384">
        <v>1</v>
      </c>
      <c r="AR384">
        <v>1</v>
      </c>
      <c r="AS384">
        <v>1</v>
      </c>
      <c r="AT384">
        <v>1</v>
      </c>
      <c r="AU384">
        <v>1</v>
      </c>
      <c r="AV384">
        <v>1</v>
      </c>
      <c r="AW384">
        <v>1</v>
      </c>
      <c r="AX384">
        <v>1</v>
      </c>
      <c r="BB384">
        <v>1</v>
      </c>
      <c r="BC384">
        <v>1</v>
      </c>
      <c r="BD384">
        <v>1</v>
      </c>
      <c r="BE384">
        <v>1</v>
      </c>
      <c r="BF384">
        <v>1</v>
      </c>
      <c r="BG384">
        <v>1</v>
      </c>
      <c r="BH384">
        <v>1</v>
      </c>
      <c r="BI384">
        <v>1</v>
      </c>
      <c r="BJ384">
        <v>1</v>
      </c>
      <c r="BK384">
        <v>1</v>
      </c>
      <c r="BL384">
        <v>1</v>
      </c>
      <c r="BO384">
        <v>1</v>
      </c>
      <c r="BP384">
        <v>1</v>
      </c>
      <c r="BQ384">
        <v>1</v>
      </c>
      <c r="BR384">
        <v>1</v>
      </c>
      <c r="BS384">
        <v>1</v>
      </c>
      <c r="BT384">
        <v>1</v>
      </c>
      <c r="BU384">
        <v>1</v>
      </c>
      <c r="BW384">
        <v>1</v>
      </c>
      <c r="BX384">
        <v>1</v>
      </c>
      <c r="BY384">
        <v>1</v>
      </c>
      <c r="BZ384">
        <v>1</v>
      </c>
      <c r="CA384">
        <v>1</v>
      </c>
      <c r="CB384">
        <v>1</v>
      </c>
      <c r="CC384">
        <v>1</v>
      </c>
      <c r="CD384">
        <v>1</v>
      </c>
      <c r="CE384">
        <v>1</v>
      </c>
      <c r="CF384">
        <v>1</v>
      </c>
      <c r="CG384">
        <v>1</v>
      </c>
      <c r="CH384">
        <v>1</v>
      </c>
      <c r="CI384">
        <v>1</v>
      </c>
      <c r="CJ384">
        <v>1</v>
      </c>
      <c r="CK384">
        <v>1</v>
      </c>
      <c r="CL384">
        <v>1</v>
      </c>
      <c r="CM384">
        <v>1</v>
      </c>
      <c r="CN384">
        <v>1</v>
      </c>
      <c r="CO384">
        <v>1</v>
      </c>
      <c r="CP384">
        <v>1</v>
      </c>
      <c r="CQ384">
        <v>1</v>
      </c>
      <c r="CR384">
        <v>1</v>
      </c>
      <c r="CS384">
        <v>1</v>
      </c>
      <c r="CT384">
        <v>1</v>
      </c>
      <c r="CU384">
        <v>1</v>
      </c>
      <c r="CV384">
        <v>1</v>
      </c>
      <c r="CW384">
        <v>1</v>
      </c>
      <c r="DA384">
        <v>1</v>
      </c>
      <c r="DB384">
        <v>1</v>
      </c>
      <c r="DC384">
        <v>1</v>
      </c>
      <c r="DE384">
        <v>1</v>
      </c>
      <c r="DF384">
        <v>1</v>
      </c>
      <c r="DG384">
        <v>1</v>
      </c>
      <c r="DH384">
        <v>1</v>
      </c>
      <c r="DI384">
        <v>1</v>
      </c>
      <c r="DJ384">
        <v>1</v>
      </c>
      <c r="DO384">
        <v>1</v>
      </c>
      <c r="DP384">
        <v>1</v>
      </c>
      <c r="DQ384">
        <v>1</v>
      </c>
      <c r="DR384">
        <v>1</v>
      </c>
      <c r="DS384">
        <v>1</v>
      </c>
      <c r="DT384">
        <v>1</v>
      </c>
      <c r="DU384">
        <v>1</v>
      </c>
      <c r="DV384">
        <v>1</v>
      </c>
      <c r="DW384">
        <v>1</v>
      </c>
      <c r="ED384">
        <v>1</v>
      </c>
      <c r="EE384">
        <v>1</v>
      </c>
      <c r="EF384">
        <v>1</v>
      </c>
      <c r="EG384">
        <v>1</v>
      </c>
      <c r="EH384">
        <v>1</v>
      </c>
      <c r="EI384">
        <v>1</v>
      </c>
      <c r="ER384">
        <v>1</v>
      </c>
      <c r="ES384">
        <v>1</v>
      </c>
      <c r="ET384">
        <v>1</v>
      </c>
      <c r="EU384">
        <v>1</v>
      </c>
      <c r="EV384">
        <v>1</v>
      </c>
      <c r="FG384">
        <v>1</v>
      </c>
      <c r="FH384">
        <v>1</v>
      </c>
      <c r="FI384">
        <v>1</v>
      </c>
      <c r="FU384">
        <v>1</v>
      </c>
      <c r="FV384" s="18">
        <f t="shared" si="597"/>
        <v>0.53996983408748112</v>
      </c>
    </row>
    <row r="385" spans="1:178" ht="14.25" customHeight="1" x14ac:dyDescent="0.25">
      <c r="A385" s="86" t="s">
        <v>273</v>
      </c>
      <c r="B385">
        <v>9</v>
      </c>
      <c r="C385">
        <v>40</v>
      </c>
      <c r="D385" s="24" t="s">
        <v>10</v>
      </c>
      <c r="E385" s="24" t="s">
        <v>11</v>
      </c>
      <c r="F385" s="8" t="s">
        <v>197</v>
      </c>
      <c r="G385" s="8" t="s">
        <v>201</v>
      </c>
      <c r="H385" s="24" t="s">
        <v>194</v>
      </c>
      <c r="I385">
        <v>1</v>
      </c>
      <c r="J385">
        <v>1</v>
      </c>
      <c r="U385">
        <v>1</v>
      </c>
      <c r="V385">
        <v>1</v>
      </c>
      <c r="W385">
        <v>1</v>
      </c>
      <c r="AE385">
        <v>1</v>
      </c>
      <c r="AF385">
        <v>1</v>
      </c>
      <c r="AI385">
        <v>1</v>
      </c>
      <c r="AK385">
        <v>1</v>
      </c>
      <c r="AP385">
        <v>1</v>
      </c>
      <c r="AY385">
        <v>1</v>
      </c>
      <c r="BL385">
        <v>1</v>
      </c>
      <c r="BM385">
        <v>1</v>
      </c>
      <c r="BV385">
        <v>1</v>
      </c>
      <c r="FV385" s="18">
        <f t="shared" si="596"/>
        <v>7.3906485671191555E-2</v>
      </c>
    </row>
    <row r="386" spans="1:178" ht="14.25" customHeight="1" x14ac:dyDescent="0.25">
      <c r="A386" s="86" t="s">
        <v>273</v>
      </c>
      <c r="B386">
        <v>9</v>
      </c>
      <c r="C386">
        <v>40</v>
      </c>
      <c r="D386" s="24" t="s">
        <v>10</v>
      </c>
      <c r="E386" s="24" t="s">
        <v>11</v>
      </c>
      <c r="F386" s="8" t="s">
        <v>197</v>
      </c>
      <c r="G386" s="8" t="s">
        <v>201</v>
      </c>
      <c r="H386" s="24" t="s">
        <v>195</v>
      </c>
      <c r="K386">
        <v>1</v>
      </c>
      <c r="L386">
        <v>1</v>
      </c>
      <c r="M386">
        <v>1</v>
      </c>
      <c r="N386">
        <v>1</v>
      </c>
      <c r="O386">
        <v>1</v>
      </c>
      <c r="P386">
        <v>1</v>
      </c>
      <c r="Q386">
        <v>1</v>
      </c>
      <c r="R386">
        <v>1</v>
      </c>
      <c r="S386">
        <v>1</v>
      </c>
      <c r="T386">
        <v>1</v>
      </c>
      <c r="X386">
        <v>1</v>
      </c>
      <c r="Y386">
        <v>1</v>
      </c>
      <c r="Z386">
        <v>1</v>
      </c>
      <c r="AA386">
        <v>1</v>
      </c>
      <c r="AB386">
        <v>1</v>
      </c>
      <c r="AC386">
        <v>1</v>
      </c>
      <c r="AD386">
        <v>1</v>
      </c>
      <c r="AJ386">
        <v>1</v>
      </c>
      <c r="AL386">
        <v>1</v>
      </c>
      <c r="AM386">
        <v>1</v>
      </c>
      <c r="AN386">
        <v>1</v>
      </c>
      <c r="AO386">
        <v>1</v>
      </c>
      <c r="AV386">
        <v>1</v>
      </c>
      <c r="AW386">
        <v>1</v>
      </c>
      <c r="AX386">
        <v>1</v>
      </c>
      <c r="AZ386">
        <v>1</v>
      </c>
      <c r="BA386">
        <v>1</v>
      </c>
      <c r="BB386">
        <v>1</v>
      </c>
      <c r="BI386">
        <v>1</v>
      </c>
      <c r="BJ386">
        <v>1</v>
      </c>
      <c r="BK386">
        <v>1</v>
      </c>
      <c r="BN386">
        <v>1</v>
      </c>
      <c r="BO386">
        <v>1</v>
      </c>
      <c r="CA386">
        <v>1</v>
      </c>
      <c r="CB386">
        <v>1</v>
      </c>
      <c r="CC386">
        <v>1</v>
      </c>
      <c r="CO386">
        <v>1</v>
      </c>
      <c r="CP386">
        <v>1</v>
      </c>
      <c r="CQ386">
        <v>1</v>
      </c>
      <c r="DC386">
        <v>1</v>
      </c>
      <c r="DD386">
        <v>1</v>
      </c>
      <c r="DQ386">
        <v>1</v>
      </c>
      <c r="DR386">
        <v>1</v>
      </c>
      <c r="EE386">
        <v>1</v>
      </c>
      <c r="ES386">
        <v>1</v>
      </c>
      <c r="FG386">
        <v>1</v>
      </c>
      <c r="FU386">
        <v>1</v>
      </c>
      <c r="FV386" s="18">
        <f t="shared" si="596"/>
        <v>0.19607843137254902</v>
      </c>
    </row>
    <row r="387" spans="1:178" ht="14.25" customHeight="1" x14ac:dyDescent="0.25">
      <c r="A387" s="86" t="s">
        <v>273</v>
      </c>
      <c r="B387">
        <v>9</v>
      </c>
      <c r="C387">
        <v>40</v>
      </c>
      <c r="D387" s="24" t="s">
        <v>9</v>
      </c>
      <c r="E387" s="24" t="s">
        <v>11</v>
      </c>
      <c r="F387" s="8" t="s">
        <v>197</v>
      </c>
      <c r="G387" s="8" t="s">
        <v>201</v>
      </c>
      <c r="H387" s="24" t="s">
        <v>194</v>
      </c>
      <c r="I387">
        <v>1</v>
      </c>
      <c r="J387">
        <v>1</v>
      </c>
      <c r="K387">
        <v>1</v>
      </c>
      <c r="L387">
        <v>1</v>
      </c>
      <c r="Q387">
        <v>1</v>
      </c>
      <c r="R387">
        <v>1</v>
      </c>
      <c r="U387">
        <v>1</v>
      </c>
      <c r="V387">
        <v>1</v>
      </c>
      <c r="W387">
        <v>1</v>
      </c>
      <c r="Y387">
        <v>1</v>
      </c>
      <c r="AB387">
        <v>1</v>
      </c>
      <c r="AC387">
        <v>1</v>
      </c>
      <c r="AI387">
        <v>1</v>
      </c>
      <c r="AJ387">
        <v>1</v>
      </c>
      <c r="AK387">
        <v>1</v>
      </c>
      <c r="AN387">
        <v>1</v>
      </c>
      <c r="AO387">
        <v>1</v>
      </c>
      <c r="AX387">
        <v>1</v>
      </c>
      <c r="AY387">
        <v>1</v>
      </c>
      <c r="BB387">
        <v>1</v>
      </c>
      <c r="BI387">
        <v>1</v>
      </c>
      <c r="BM387">
        <v>1</v>
      </c>
      <c r="BV387">
        <v>1</v>
      </c>
      <c r="CA387">
        <v>1</v>
      </c>
      <c r="CI387">
        <v>1</v>
      </c>
      <c r="CO387">
        <v>1</v>
      </c>
      <c r="FV387" s="18">
        <f t="shared" si="596"/>
        <v>0.13122171945701358</v>
      </c>
    </row>
    <row r="388" spans="1:178" ht="14.25" customHeight="1" x14ac:dyDescent="0.25">
      <c r="A388" s="86" t="s">
        <v>273</v>
      </c>
      <c r="B388">
        <v>9</v>
      </c>
      <c r="C388">
        <v>40</v>
      </c>
      <c r="D388" s="24" t="s">
        <v>9</v>
      </c>
      <c r="E388" s="24" t="s">
        <v>11</v>
      </c>
      <c r="F388" s="8" t="s">
        <v>197</v>
      </c>
      <c r="G388" s="8" t="s">
        <v>201</v>
      </c>
      <c r="H388" s="24" t="s">
        <v>195</v>
      </c>
      <c r="M388">
        <v>1</v>
      </c>
      <c r="N388">
        <v>1</v>
      </c>
      <c r="O388">
        <v>1</v>
      </c>
      <c r="P388">
        <v>1</v>
      </c>
      <c r="S388">
        <v>1</v>
      </c>
      <c r="T388">
        <v>1</v>
      </c>
      <c r="X388">
        <v>1</v>
      </c>
      <c r="Z388">
        <v>1</v>
      </c>
      <c r="AA388">
        <v>1</v>
      </c>
      <c r="AD388">
        <v>1</v>
      </c>
      <c r="AE388">
        <v>1</v>
      </c>
      <c r="AL388">
        <v>1</v>
      </c>
      <c r="AM388">
        <v>1</v>
      </c>
      <c r="AV388">
        <v>1</v>
      </c>
      <c r="AW388">
        <v>1</v>
      </c>
      <c r="AZ388">
        <v>1</v>
      </c>
      <c r="BA388">
        <v>1</v>
      </c>
      <c r="BJ388">
        <v>1</v>
      </c>
      <c r="BK388">
        <v>1</v>
      </c>
      <c r="BN388">
        <v>1</v>
      </c>
      <c r="BO388">
        <v>1</v>
      </c>
      <c r="CB388">
        <v>1</v>
      </c>
      <c r="CC388">
        <v>1</v>
      </c>
      <c r="CP388">
        <v>1</v>
      </c>
      <c r="DC388">
        <v>1</v>
      </c>
      <c r="DD388">
        <v>1</v>
      </c>
      <c r="DQ388">
        <v>1</v>
      </c>
      <c r="EE388">
        <v>1</v>
      </c>
      <c r="ES388">
        <v>1</v>
      </c>
      <c r="FG388">
        <v>1</v>
      </c>
      <c r="FU388">
        <v>1</v>
      </c>
      <c r="FV388" s="18">
        <f t="shared" si="596"/>
        <v>0.12669683257918551</v>
      </c>
    </row>
    <row r="389" spans="1:178" ht="14.25" customHeight="1" x14ac:dyDescent="0.25">
      <c r="A389" s="86" t="s">
        <v>273</v>
      </c>
      <c r="B389">
        <v>9</v>
      </c>
      <c r="C389">
        <v>40</v>
      </c>
      <c r="D389" s="24" t="s">
        <v>8</v>
      </c>
      <c r="E389" s="24" t="s">
        <v>11</v>
      </c>
      <c r="F389" s="8" t="s">
        <v>197</v>
      </c>
      <c r="G389" s="8" t="s">
        <v>201</v>
      </c>
      <c r="H389" s="24" t="s">
        <v>194</v>
      </c>
      <c r="I389">
        <v>1</v>
      </c>
      <c r="J389">
        <v>1</v>
      </c>
      <c r="K389">
        <v>1</v>
      </c>
      <c r="L389">
        <v>1</v>
      </c>
      <c r="V389">
        <v>1</v>
      </c>
      <c r="W389">
        <v>1</v>
      </c>
      <c r="AI389">
        <v>1</v>
      </c>
      <c r="AJ389">
        <v>1</v>
      </c>
      <c r="AK389">
        <v>1</v>
      </c>
      <c r="AO389">
        <v>1</v>
      </c>
      <c r="AP389">
        <v>1</v>
      </c>
      <c r="AV389">
        <v>1</v>
      </c>
      <c r="AY389">
        <v>1</v>
      </c>
      <c r="BL389">
        <v>1</v>
      </c>
      <c r="BM389">
        <v>1</v>
      </c>
      <c r="BX389">
        <v>1</v>
      </c>
      <c r="CA389">
        <v>1</v>
      </c>
      <c r="CB389">
        <v>1</v>
      </c>
      <c r="CI389">
        <v>1</v>
      </c>
      <c r="CJ389">
        <v>1</v>
      </c>
      <c r="CO389">
        <v>1</v>
      </c>
      <c r="DC389">
        <v>1</v>
      </c>
      <c r="FV389" s="18">
        <f t="shared" si="596"/>
        <v>0.12669683257918551</v>
      </c>
    </row>
    <row r="390" spans="1:178" ht="14.25" customHeight="1" x14ac:dyDescent="0.25">
      <c r="A390" s="86" t="s">
        <v>273</v>
      </c>
      <c r="B390">
        <v>9</v>
      </c>
      <c r="C390">
        <v>40</v>
      </c>
      <c r="D390" s="24" t="s">
        <v>8</v>
      </c>
      <c r="E390" s="24" t="s">
        <v>11</v>
      </c>
      <c r="F390" s="8" t="s">
        <v>197</v>
      </c>
      <c r="G390" s="8" t="s">
        <v>201</v>
      </c>
      <c r="H390" s="24" t="s">
        <v>195</v>
      </c>
      <c r="M390">
        <v>1</v>
      </c>
      <c r="N390">
        <v>1</v>
      </c>
      <c r="O390">
        <v>1</v>
      </c>
      <c r="P390">
        <v>1</v>
      </c>
      <c r="Q390">
        <v>1</v>
      </c>
      <c r="R390">
        <v>1</v>
      </c>
      <c r="S390">
        <v>1</v>
      </c>
      <c r="T390">
        <v>1</v>
      </c>
      <c r="U390">
        <v>1</v>
      </c>
      <c r="X390">
        <v>1</v>
      </c>
      <c r="Y390">
        <v>1</v>
      </c>
      <c r="Z390">
        <v>1</v>
      </c>
      <c r="AA390">
        <v>1</v>
      </c>
      <c r="AB390">
        <v>1</v>
      </c>
      <c r="AC390">
        <v>1</v>
      </c>
      <c r="AD390">
        <v>1</v>
      </c>
      <c r="AE390">
        <v>1</v>
      </c>
      <c r="AF390">
        <v>1</v>
      </c>
      <c r="AG390">
        <v>1</v>
      </c>
      <c r="AH390">
        <v>1</v>
      </c>
      <c r="AL390">
        <v>1</v>
      </c>
      <c r="AM390">
        <v>1</v>
      </c>
      <c r="AN390">
        <v>1</v>
      </c>
      <c r="AQ390">
        <v>1</v>
      </c>
      <c r="AR390">
        <v>1</v>
      </c>
      <c r="AS390">
        <v>1</v>
      </c>
      <c r="AT390">
        <v>1</v>
      </c>
      <c r="AU390">
        <v>1</v>
      </c>
      <c r="AW390">
        <v>1</v>
      </c>
      <c r="AX390">
        <v>1</v>
      </c>
      <c r="AZ390">
        <v>1</v>
      </c>
      <c r="BA390">
        <v>1</v>
      </c>
      <c r="BB390">
        <v>1</v>
      </c>
      <c r="BC390">
        <v>1</v>
      </c>
      <c r="BD390">
        <v>1</v>
      </c>
      <c r="BE390">
        <v>1</v>
      </c>
      <c r="BF390">
        <v>1</v>
      </c>
      <c r="BG390">
        <v>1</v>
      </c>
      <c r="BH390">
        <v>1</v>
      </c>
      <c r="BI390">
        <v>1</v>
      </c>
      <c r="BJ390">
        <v>1</v>
      </c>
      <c r="BK390">
        <v>1</v>
      </c>
      <c r="BN390">
        <v>1</v>
      </c>
      <c r="BO390">
        <v>1</v>
      </c>
      <c r="BP390">
        <v>1</v>
      </c>
      <c r="BQ390">
        <v>1</v>
      </c>
      <c r="BR390">
        <v>1</v>
      </c>
      <c r="BS390">
        <v>1</v>
      </c>
      <c r="BT390">
        <v>1</v>
      </c>
      <c r="BU390">
        <v>1</v>
      </c>
      <c r="BV390">
        <v>1</v>
      </c>
      <c r="BW390">
        <v>1</v>
      </c>
      <c r="BY390">
        <v>1</v>
      </c>
      <c r="BZ390">
        <v>1</v>
      </c>
      <c r="CC390">
        <v>1</v>
      </c>
      <c r="CD390">
        <v>1</v>
      </c>
      <c r="CE390">
        <v>1</v>
      </c>
      <c r="CF390">
        <v>1</v>
      </c>
      <c r="CG390">
        <v>1</v>
      </c>
      <c r="CH390">
        <v>1</v>
      </c>
      <c r="CK390">
        <v>1</v>
      </c>
      <c r="CL390">
        <v>1</v>
      </c>
      <c r="CM390">
        <v>1</v>
      </c>
      <c r="CN390">
        <v>1</v>
      </c>
      <c r="CP390">
        <v>1</v>
      </c>
      <c r="CQ390">
        <v>1</v>
      </c>
      <c r="CR390">
        <v>1</v>
      </c>
      <c r="CS390">
        <v>1</v>
      </c>
      <c r="CT390">
        <v>1</v>
      </c>
      <c r="CU390">
        <v>1</v>
      </c>
      <c r="CV390">
        <v>1</v>
      </c>
      <c r="CW390">
        <v>1</v>
      </c>
      <c r="CX390">
        <v>1</v>
      </c>
      <c r="CY390">
        <v>1</v>
      </c>
      <c r="CZ390">
        <v>1</v>
      </c>
      <c r="DA390">
        <v>1</v>
      </c>
      <c r="DB390">
        <v>1</v>
      </c>
      <c r="DD390">
        <v>1</v>
      </c>
      <c r="DE390">
        <v>1</v>
      </c>
      <c r="DF390">
        <v>1</v>
      </c>
      <c r="DG390">
        <v>1</v>
      </c>
      <c r="DH390">
        <v>1</v>
      </c>
      <c r="DI390">
        <v>1</v>
      </c>
      <c r="DJ390">
        <v>1</v>
      </c>
      <c r="DK390">
        <v>1</v>
      </c>
      <c r="DO390">
        <v>1</v>
      </c>
      <c r="DP390">
        <v>1</v>
      </c>
      <c r="DQ390">
        <v>1</v>
      </c>
      <c r="DR390">
        <v>1</v>
      </c>
      <c r="DS390">
        <v>1</v>
      </c>
      <c r="DT390">
        <v>1</v>
      </c>
      <c r="DU390">
        <v>1</v>
      </c>
      <c r="DV390">
        <v>1</v>
      </c>
      <c r="DW390">
        <v>1</v>
      </c>
      <c r="DX390">
        <v>1</v>
      </c>
      <c r="ED390">
        <v>1</v>
      </c>
      <c r="EE390">
        <v>1</v>
      </c>
      <c r="EF390">
        <v>1</v>
      </c>
      <c r="EG390">
        <v>1</v>
      </c>
      <c r="EH390">
        <v>1</v>
      </c>
      <c r="EI390">
        <v>1</v>
      </c>
      <c r="EJ390">
        <v>1</v>
      </c>
      <c r="ER390">
        <v>1</v>
      </c>
      <c r="ES390">
        <v>1</v>
      </c>
      <c r="ET390">
        <v>1</v>
      </c>
      <c r="EU390">
        <v>1</v>
      </c>
      <c r="EV390">
        <v>1</v>
      </c>
      <c r="EW390">
        <v>1</v>
      </c>
      <c r="FG390">
        <v>1</v>
      </c>
      <c r="FH390">
        <v>1</v>
      </c>
      <c r="FI390">
        <v>1</v>
      </c>
      <c r="FJ390">
        <v>1</v>
      </c>
      <c r="FU390">
        <v>1</v>
      </c>
      <c r="FV390" s="18">
        <f t="shared" si="596"/>
        <v>0.56561085972850678</v>
      </c>
    </row>
    <row r="391" spans="1:178" ht="14.25" customHeight="1" x14ac:dyDescent="0.25">
      <c r="A391" s="86" t="s">
        <v>273</v>
      </c>
      <c r="B391">
        <v>9</v>
      </c>
      <c r="C391">
        <v>40</v>
      </c>
      <c r="D391" s="24" t="s">
        <v>9</v>
      </c>
      <c r="E391" s="24" t="s">
        <v>10</v>
      </c>
      <c r="F391" s="8" t="s">
        <v>197</v>
      </c>
      <c r="G391" s="8" t="s">
        <v>201</v>
      </c>
      <c r="H391" s="24" t="s">
        <v>194</v>
      </c>
      <c r="I391">
        <v>1</v>
      </c>
      <c r="J391">
        <v>1</v>
      </c>
      <c r="K391">
        <v>1</v>
      </c>
      <c r="L391">
        <v>1</v>
      </c>
      <c r="M391">
        <v>1</v>
      </c>
      <c r="P391">
        <v>1</v>
      </c>
      <c r="Q391">
        <v>1</v>
      </c>
      <c r="V391">
        <v>1</v>
      </c>
      <c r="W391">
        <v>1</v>
      </c>
      <c r="AC391">
        <v>1</v>
      </c>
      <c r="AD391">
        <v>1</v>
      </c>
      <c r="AE391">
        <v>1</v>
      </c>
      <c r="AJ391">
        <v>1</v>
      </c>
      <c r="AK391">
        <v>1</v>
      </c>
      <c r="AV391">
        <v>1</v>
      </c>
      <c r="AW391">
        <v>1</v>
      </c>
      <c r="AX391">
        <v>1</v>
      </c>
      <c r="AY391">
        <v>1</v>
      </c>
      <c r="AZ391">
        <v>1</v>
      </c>
      <c r="BM391">
        <v>1</v>
      </c>
      <c r="BN391">
        <v>1</v>
      </c>
      <c r="BV391">
        <v>1</v>
      </c>
      <c r="CA391">
        <v>1</v>
      </c>
      <c r="CB391">
        <v>1</v>
      </c>
      <c r="CI391">
        <v>1</v>
      </c>
      <c r="CO391">
        <v>1</v>
      </c>
      <c r="CV391">
        <v>1</v>
      </c>
      <c r="FV391" s="18">
        <f t="shared" si="596"/>
        <v>0.14027149321266968</v>
      </c>
    </row>
    <row r="392" spans="1:178" ht="14.25" customHeight="1" x14ac:dyDescent="0.25">
      <c r="A392" s="86" t="s">
        <v>273</v>
      </c>
      <c r="B392">
        <v>9</v>
      </c>
      <c r="C392">
        <v>40</v>
      </c>
      <c r="D392" s="24" t="s">
        <v>9</v>
      </c>
      <c r="E392" s="24" t="s">
        <v>10</v>
      </c>
      <c r="F392" s="8" t="s">
        <v>197</v>
      </c>
      <c r="G392" s="8" t="s">
        <v>201</v>
      </c>
      <c r="H392" s="24" t="s">
        <v>195</v>
      </c>
      <c r="N392">
        <v>1</v>
      </c>
      <c r="O392">
        <v>1</v>
      </c>
      <c r="R392">
        <v>1</v>
      </c>
      <c r="S392">
        <v>1</v>
      </c>
      <c r="U392">
        <v>1</v>
      </c>
      <c r="X392">
        <v>1</v>
      </c>
      <c r="Y392">
        <v>1</v>
      </c>
      <c r="Z392">
        <v>1</v>
      </c>
      <c r="AA392">
        <v>1</v>
      </c>
      <c r="AB392">
        <v>1</v>
      </c>
      <c r="AF392">
        <v>1</v>
      </c>
      <c r="AL392">
        <v>1</v>
      </c>
      <c r="AN392">
        <v>1</v>
      </c>
      <c r="AO392">
        <v>1</v>
      </c>
      <c r="AP392">
        <v>1</v>
      </c>
      <c r="BA392">
        <v>1</v>
      </c>
      <c r="BB392">
        <v>1</v>
      </c>
      <c r="BI392">
        <v>1</v>
      </c>
      <c r="BJ392">
        <v>1</v>
      </c>
      <c r="BK392">
        <v>1</v>
      </c>
      <c r="BL392">
        <v>1</v>
      </c>
      <c r="BO392">
        <v>1</v>
      </c>
      <c r="CC392">
        <v>1</v>
      </c>
      <c r="CP392">
        <v>1</v>
      </c>
      <c r="DD392">
        <v>1</v>
      </c>
      <c r="DQ392">
        <v>1</v>
      </c>
      <c r="EE392">
        <v>1</v>
      </c>
      <c r="FG392">
        <v>1</v>
      </c>
      <c r="FU392">
        <v>1</v>
      </c>
      <c r="FV392" s="18">
        <f t="shared" si="596"/>
        <v>0.11764705882352941</v>
      </c>
    </row>
    <row r="393" spans="1:178" ht="14.25" customHeight="1" x14ac:dyDescent="0.25">
      <c r="A393" s="86" t="s">
        <v>273</v>
      </c>
      <c r="B393">
        <v>9</v>
      </c>
      <c r="C393">
        <v>40</v>
      </c>
      <c r="D393" s="24" t="s">
        <v>9</v>
      </c>
      <c r="E393" s="24" t="s">
        <v>10</v>
      </c>
      <c r="F393" s="8" t="s">
        <v>197</v>
      </c>
      <c r="G393" s="8" t="s">
        <v>201</v>
      </c>
      <c r="H393" s="24" t="s">
        <v>220</v>
      </c>
      <c r="T393">
        <v>1</v>
      </c>
      <c r="AI393">
        <v>1</v>
      </c>
      <c r="AM393">
        <v>1</v>
      </c>
      <c r="DC393">
        <v>1</v>
      </c>
      <c r="ES393">
        <v>1</v>
      </c>
      <c r="FV393" s="18">
        <f t="shared" si="596"/>
        <v>2.4132730015082957E-2</v>
      </c>
    </row>
    <row r="394" spans="1:178" ht="14.25" customHeight="1" x14ac:dyDescent="0.25">
      <c r="A394" s="86" t="s">
        <v>273</v>
      </c>
      <c r="B394">
        <v>9</v>
      </c>
      <c r="C394">
        <v>40</v>
      </c>
      <c r="D394" s="24" t="s">
        <v>8</v>
      </c>
      <c r="E394" s="24" t="s">
        <v>9</v>
      </c>
      <c r="F394" s="8" t="s">
        <v>197</v>
      </c>
      <c r="G394" s="8" t="s">
        <v>201</v>
      </c>
      <c r="H394" s="24" t="s">
        <v>194</v>
      </c>
      <c r="I394">
        <v>1</v>
      </c>
      <c r="J394">
        <v>1</v>
      </c>
      <c r="K394">
        <v>1</v>
      </c>
      <c r="V394">
        <v>1</v>
      </c>
      <c r="W394">
        <v>1</v>
      </c>
      <c r="AI394">
        <v>1</v>
      </c>
      <c r="AK394">
        <v>1</v>
      </c>
      <c r="AV394">
        <v>1</v>
      </c>
      <c r="AY394">
        <v>1</v>
      </c>
      <c r="BM394">
        <v>1</v>
      </c>
      <c r="BU394">
        <v>1</v>
      </c>
      <c r="CH394">
        <v>1</v>
      </c>
      <c r="CY394">
        <v>1</v>
      </c>
      <c r="CZ394">
        <v>1</v>
      </c>
      <c r="DK394">
        <v>1</v>
      </c>
      <c r="DX394">
        <v>1</v>
      </c>
      <c r="EJ394">
        <v>1</v>
      </c>
      <c r="EW394">
        <v>1</v>
      </c>
      <c r="FI394">
        <v>1</v>
      </c>
      <c r="FV394" s="18">
        <f t="shared" si="596"/>
        <v>0.12518853695324283</v>
      </c>
    </row>
    <row r="395" spans="1:178" ht="14.25" customHeight="1" x14ac:dyDescent="0.25">
      <c r="A395" s="86" t="s">
        <v>273</v>
      </c>
      <c r="B395">
        <v>9</v>
      </c>
      <c r="C395">
        <v>40</v>
      </c>
      <c r="D395" s="24" t="s">
        <v>8</v>
      </c>
      <c r="E395" s="24" t="s">
        <v>9</v>
      </c>
      <c r="F395" s="8" t="s">
        <v>197</v>
      </c>
      <c r="G395" s="8" t="s">
        <v>201</v>
      </c>
      <c r="H395" s="24" t="s">
        <v>195</v>
      </c>
      <c r="L395">
        <v>1</v>
      </c>
      <c r="M395">
        <v>1</v>
      </c>
      <c r="N395">
        <v>1</v>
      </c>
      <c r="O395">
        <v>1</v>
      </c>
      <c r="P395">
        <v>1</v>
      </c>
      <c r="Q395">
        <v>1</v>
      </c>
      <c r="R395">
        <v>1</v>
      </c>
      <c r="S395">
        <v>1</v>
      </c>
      <c r="T395">
        <v>1</v>
      </c>
      <c r="U395">
        <v>1</v>
      </c>
      <c r="X395">
        <v>1</v>
      </c>
      <c r="Y395">
        <v>1</v>
      </c>
      <c r="Z395">
        <v>1</v>
      </c>
      <c r="AA395">
        <v>1</v>
      </c>
      <c r="AB395">
        <v>1</v>
      </c>
      <c r="AC395">
        <v>1</v>
      </c>
      <c r="AD395">
        <v>1</v>
      </c>
      <c r="AE395">
        <v>1</v>
      </c>
      <c r="AF395">
        <v>1</v>
      </c>
      <c r="AG395">
        <v>1</v>
      </c>
      <c r="AH395">
        <v>1</v>
      </c>
      <c r="AJ395">
        <v>1</v>
      </c>
      <c r="AL395">
        <v>1</v>
      </c>
      <c r="AM395">
        <v>1</v>
      </c>
      <c r="AN395">
        <v>1</v>
      </c>
      <c r="AO395">
        <v>1</v>
      </c>
      <c r="AP395">
        <v>1</v>
      </c>
      <c r="AQ395">
        <v>1</v>
      </c>
      <c r="AR395">
        <v>1</v>
      </c>
      <c r="AS395">
        <v>1</v>
      </c>
      <c r="AT395">
        <v>1</v>
      </c>
      <c r="AU395">
        <v>1</v>
      </c>
      <c r="AW395">
        <v>1</v>
      </c>
      <c r="AX395">
        <v>1</v>
      </c>
      <c r="AZ395">
        <v>1</v>
      </c>
      <c r="BA395">
        <v>1</v>
      </c>
      <c r="BB395">
        <v>1</v>
      </c>
      <c r="BC395">
        <v>1</v>
      </c>
      <c r="BD395">
        <v>1</v>
      </c>
      <c r="BE395">
        <v>1</v>
      </c>
      <c r="BF395">
        <v>1</v>
      </c>
      <c r="BG395">
        <v>1</v>
      </c>
      <c r="BH395">
        <v>1</v>
      </c>
      <c r="BI395">
        <v>1</v>
      </c>
      <c r="BJ395">
        <v>1</v>
      </c>
      <c r="BK395">
        <v>1</v>
      </c>
      <c r="BL395">
        <v>1</v>
      </c>
      <c r="BN395">
        <v>1</v>
      </c>
      <c r="BO395">
        <v>1</v>
      </c>
      <c r="BP395">
        <v>1</v>
      </c>
      <c r="BQ395">
        <v>1</v>
      </c>
      <c r="BR395">
        <v>1</v>
      </c>
      <c r="BS395">
        <v>1</v>
      </c>
      <c r="BT395">
        <v>1</v>
      </c>
      <c r="BV395">
        <v>1</v>
      </c>
      <c r="BW395">
        <v>1</v>
      </c>
      <c r="BX395">
        <v>1</v>
      </c>
      <c r="BY395">
        <v>1</v>
      </c>
      <c r="BZ395">
        <v>1</v>
      </c>
      <c r="CA395">
        <v>1</v>
      </c>
      <c r="CB395">
        <v>1</v>
      </c>
      <c r="CC395">
        <v>1</v>
      </c>
      <c r="CD395">
        <v>1</v>
      </c>
      <c r="CE395">
        <v>1</v>
      </c>
      <c r="CF395">
        <v>1</v>
      </c>
      <c r="CG395">
        <v>1</v>
      </c>
      <c r="CI395">
        <v>1</v>
      </c>
      <c r="CJ395">
        <v>1</v>
      </c>
      <c r="CK395">
        <v>1</v>
      </c>
      <c r="CL395">
        <v>1</v>
      </c>
      <c r="CM395">
        <v>1</v>
      </c>
      <c r="CN395">
        <v>1</v>
      </c>
      <c r="CO395">
        <v>1</v>
      </c>
      <c r="CP395">
        <v>1</v>
      </c>
      <c r="CQ395">
        <v>1</v>
      </c>
      <c r="CR395">
        <v>1</v>
      </c>
      <c r="CS395">
        <v>1</v>
      </c>
      <c r="CT395">
        <v>1</v>
      </c>
      <c r="CV395">
        <v>1</v>
      </c>
      <c r="CW395">
        <v>1</v>
      </c>
      <c r="CX395">
        <v>1</v>
      </c>
      <c r="DA395">
        <v>1</v>
      </c>
      <c r="DB395">
        <v>1</v>
      </c>
      <c r="DC395">
        <v>1</v>
      </c>
      <c r="DD395">
        <v>1</v>
      </c>
      <c r="DE395">
        <v>1</v>
      </c>
      <c r="DF395">
        <v>1</v>
      </c>
      <c r="DG395">
        <v>1</v>
      </c>
      <c r="DI395">
        <v>1</v>
      </c>
      <c r="DJ395">
        <v>1</v>
      </c>
      <c r="DQ395">
        <v>1</v>
      </c>
      <c r="DR395">
        <v>1</v>
      </c>
      <c r="DS395">
        <v>1</v>
      </c>
      <c r="DT395">
        <v>1</v>
      </c>
      <c r="DU395">
        <v>1</v>
      </c>
      <c r="DV395">
        <v>1</v>
      </c>
      <c r="DW395">
        <v>1</v>
      </c>
      <c r="EE395">
        <v>1</v>
      </c>
      <c r="EF395">
        <v>1</v>
      </c>
      <c r="EG395">
        <v>1</v>
      </c>
      <c r="EH395">
        <v>1</v>
      </c>
      <c r="EI395">
        <v>1</v>
      </c>
      <c r="ES395">
        <v>1</v>
      </c>
      <c r="ET395">
        <v>1</v>
      </c>
      <c r="EU395">
        <v>1</v>
      </c>
      <c r="EV395">
        <v>1</v>
      </c>
      <c r="FG395">
        <v>1</v>
      </c>
      <c r="FH395">
        <v>1</v>
      </c>
      <c r="FU395">
        <v>1</v>
      </c>
      <c r="FV395" s="18">
        <f t="shared" si="596"/>
        <v>0.51583710407239824</v>
      </c>
    </row>
    <row r="396" spans="1:178" ht="14.25" customHeight="1" x14ac:dyDescent="0.25">
      <c r="A396" s="86" t="s">
        <v>273</v>
      </c>
      <c r="B396">
        <v>9</v>
      </c>
      <c r="C396">
        <v>40</v>
      </c>
      <c r="D396" s="24" t="s">
        <v>8</v>
      </c>
      <c r="E396" s="24" t="s">
        <v>234</v>
      </c>
      <c r="F396" s="8" t="s">
        <v>197</v>
      </c>
      <c r="G396" s="8" t="s">
        <v>201</v>
      </c>
      <c r="H396" s="24" t="s">
        <v>194</v>
      </c>
      <c r="I396">
        <v>1</v>
      </c>
      <c r="J396">
        <v>1</v>
      </c>
      <c r="K396">
        <v>1</v>
      </c>
      <c r="L396">
        <v>1</v>
      </c>
      <c r="M396">
        <v>1</v>
      </c>
      <c r="N396">
        <v>1</v>
      </c>
      <c r="O396">
        <v>1</v>
      </c>
      <c r="P396">
        <v>1</v>
      </c>
      <c r="Q396">
        <v>1</v>
      </c>
      <c r="R396">
        <v>1</v>
      </c>
      <c r="V396">
        <v>1</v>
      </c>
      <c r="W396">
        <v>1</v>
      </c>
      <c r="X396">
        <v>1</v>
      </c>
      <c r="Y396">
        <v>1</v>
      </c>
      <c r="Z396">
        <v>1</v>
      </c>
      <c r="AI396">
        <v>1</v>
      </c>
      <c r="AJ396">
        <v>1</v>
      </c>
      <c r="AK396">
        <v>1</v>
      </c>
      <c r="AL396">
        <v>1</v>
      </c>
      <c r="AM396">
        <v>1</v>
      </c>
      <c r="AV396">
        <v>1</v>
      </c>
      <c r="AW396">
        <v>1</v>
      </c>
      <c r="AX396">
        <v>1</v>
      </c>
      <c r="AY396">
        <v>1</v>
      </c>
      <c r="AZ396">
        <v>1</v>
      </c>
      <c r="BI396">
        <v>1</v>
      </c>
      <c r="BM396">
        <v>1</v>
      </c>
      <c r="BN396">
        <v>1</v>
      </c>
      <c r="BV396">
        <v>1</v>
      </c>
      <c r="CA396">
        <v>1</v>
      </c>
      <c r="CI396">
        <v>1</v>
      </c>
      <c r="CO396">
        <v>1</v>
      </c>
      <c r="CQ396">
        <v>1</v>
      </c>
      <c r="DC396">
        <v>1</v>
      </c>
      <c r="DD396">
        <v>1</v>
      </c>
      <c r="DE396">
        <v>1</v>
      </c>
      <c r="DQ396">
        <v>1</v>
      </c>
      <c r="DR396">
        <v>1</v>
      </c>
      <c r="DS396">
        <v>1</v>
      </c>
      <c r="DZ396">
        <v>1</v>
      </c>
      <c r="EA396">
        <v>1</v>
      </c>
      <c r="EB396">
        <v>1</v>
      </c>
      <c r="EE396">
        <v>1</v>
      </c>
      <c r="EF396">
        <v>1</v>
      </c>
      <c r="EG396">
        <v>1</v>
      </c>
      <c r="EK396">
        <v>1</v>
      </c>
      <c r="EL396">
        <v>1</v>
      </c>
      <c r="EM396">
        <v>1</v>
      </c>
      <c r="EN396">
        <v>1</v>
      </c>
      <c r="EO396">
        <v>1</v>
      </c>
      <c r="EP396">
        <v>1</v>
      </c>
      <c r="EX396">
        <v>1</v>
      </c>
      <c r="EY396">
        <v>1</v>
      </c>
      <c r="EZ396">
        <v>1</v>
      </c>
      <c r="FA396">
        <v>1</v>
      </c>
      <c r="FB396">
        <v>1</v>
      </c>
      <c r="FC396">
        <v>1</v>
      </c>
      <c r="FD396">
        <v>1</v>
      </c>
      <c r="FE396">
        <v>1</v>
      </c>
      <c r="FF396">
        <v>1</v>
      </c>
      <c r="FL396">
        <v>1</v>
      </c>
      <c r="FM396">
        <v>1</v>
      </c>
      <c r="FN396">
        <v>1</v>
      </c>
      <c r="FO396">
        <v>1</v>
      </c>
      <c r="FP396">
        <v>1</v>
      </c>
      <c r="FQ396">
        <v>1</v>
      </c>
      <c r="FR396">
        <v>1</v>
      </c>
      <c r="FS396">
        <v>1</v>
      </c>
      <c r="FT396">
        <v>1</v>
      </c>
      <c r="FV396" s="18">
        <f t="shared" si="596"/>
        <v>0.44042232277526394</v>
      </c>
    </row>
    <row r="397" spans="1:178" ht="14.25" customHeight="1" x14ac:dyDescent="0.25">
      <c r="A397" s="86" t="s">
        <v>273</v>
      </c>
      <c r="B397">
        <v>9</v>
      </c>
      <c r="C397">
        <v>40</v>
      </c>
      <c r="D397" s="24" t="s">
        <v>8</v>
      </c>
      <c r="E397" s="24" t="s">
        <v>234</v>
      </c>
      <c r="F397" s="8" t="s">
        <v>197</v>
      </c>
      <c r="G397" s="8" t="s">
        <v>201</v>
      </c>
      <c r="H397" s="24" t="s">
        <v>195</v>
      </c>
      <c r="S397">
        <v>1</v>
      </c>
      <c r="T397">
        <v>1</v>
      </c>
      <c r="U397">
        <v>1</v>
      </c>
      <c r="AA397">
        <v>1</v>
      </c>
      <c r="AB397">
        <v>1</v>
      </c>
      <c r="AC397">
        <v>1</v>
      </c>
      <c r="AD397">
        <v>1</v>
      </c>
      <c r="AE397">
        <v>1</v>
      </c>
      <c r="AF397">
        <v>1</v>
      </c>
      <c r="AG397">
        <v>1</v>
      </c>
      <c r="AH397">
        <v>1</v>
      </c>
      <c r="AN397">
        <v>1</v>
      </c>
      <c r="AO397">
        <v>1</v>
      </c>
      <c r="AP397">
        <v>1</v>
      </c>
      <c r="AQ397">
        <v>1</v>
      </c>
      <c r="AR397">
        <v>1</v>
      </c>
      <c r="AS397">
        <v>1</v>
      </c>
      <c r="AT397">
        <v>1</v>
      </c>
      <c r="AU397">
        <v>1</v>
      </c>
      <c r="BA397">
        <v>1</v>
      </c>
      <c r="BB397">
        <v>1</v>
      </c>
      <c r="BC397">
        <v>1</v>
      </c>
      <c r="BD397">
        <v>1</v>
      </c>
      <c r="BE397">
        <v>1</v>
      </c>
      <c r="BF397">
        <v>1</v>
      </c>
      <c r="BG397">
        <v>1</v>
      </c>
      <c r="BH397">
        <v>1</v>
      </c>
      <c r="BJ397">
        <v>1</v>
      </c>
      <c r="BK397">
        <v>1</v>
      </c>
      <c r="BL397">
        <v>1</v>
      </c>
      <c r="BO397">
        <v>1</v>
      </c>
      <c r="BP397">
        <v>1</v>
      </c>
      <c r="BQ397">
        <v>1</v>
      </c>
      <c r="BR397">
        <v>1</v>
      </c>
      <c r="BS397">
        <v>1</v>
      </c>
      <c r="BT397">
        <v>1</v>
      </c>
      <c r="BU397">
        <v>1</v>
      </c>
      <c r="BW397">
        <v>1</v>
      </c>
      <c r="BX397">
        <v>1</v>
      </c>
      <c r="BY397">
        <v>1</v>
      </c>
      <c r="BZ397">
        <v>1</v>
      </c>
      <c r="CB397">
        <v>1</v>
      </c>
      <c r="CC397">
        <v>1</v>
      </c>
      <c r="CD397">
        <v>1</v>
      </c>
      <c r="CE397">
        <v>1</v>
      </c>
      <c r="CF397">
        <v>1</v>
      </c>
      <c r="CG397">
        <v>1</v>
      </c>
      <c r="CH397">
        <v>1</v>
      </c>
      <c r="CJ397">
        <v>1</v>
      </c>
      <c r="CK397">
        <v>1</v>
      </c>
      <c r="CL397">
        <v>1</v>
      </c>
      <c r="CM397">
        <v>1</v>
      </c>
      <c r="CN397">
        <v>1</v>
      </c>
      <c r="CP397">
        <v>1</v>
      </c>
      <c r="CR397">
        <v>1</v>
      </c>
      <c r="CS397">
        <v>1</v>
      </c>
      <c r="CT397">
        <v>1</v>
      </c>
      <c r="CU397">
        <v>1</v>
      </c>
      <c r="CV397">
        <v>1</v>
      </c>
      <c r="CW397">
        <v>1</v>
      </c>
      <c r="CX397">
        <v>1</v>
      </c>
      <c r="CY397">
        <v>1</v>
      </c>
      <c r="CZ397">
        <v>1</v>
      </c>
      <c r="DA397">
        <v>1</v>
      </c>
      <c r="DB397">
        <v>1</v>
      </c>
      <c r="DF397">
        <v>1</v>
      </c>
      <c r="DG397">
        <v>1</v>
      </c>
      <c r="DH397">
        <v>1</v>
      </c>
      <c r="DI397">
        <v>1</v>
      </c>
      <c r="DJ397">
        <v>1</v>
      </c>
      <c r="DK397">
        <v>1</v>
      </c>
      <c r="DL397">
        <v>1</v>
      </c>
      <c r="DM397">
        <v>1</v>
      </c>
      <c r="DN397">
        <v>1</v>
      </c>
      <c r="DO397">
        <v>1</v>
      </c>
      <c r="DP397">
        <v>1</v>
      </c>
      <c r="DT397">
        <v>1</v>
      </c>
      <c r="DU397">
        <v>1</v>
      </c>
      <c r="DV397">
        <v>1</v>
      </c>
      <c r="DW397">
        <v>1</v>
      </c>
      <c r="DX397">
        <v>1</v>
      </c>
      <c r="DY397">
        <v>1</v>
      </c>
      <c r="EC397">
        <v>1</v>
      </c>
      <c r="ED397">
        <v>1</v>
      </c>
      <c r="EH397">
        <v>1</v>
      </c>
      <c r="EI397">
        <v>1</v>
      </c>
      <c r="EJ397">
        <v>1</v>
      </c>
      <c r="EQ397">
        <v>1</v>
      </c>
      <c r="ER397">
        <v>1</v>
      </c>
      <c r="ES397">
        <v>1</v>
      </c>
      <c r="ET397">
        <v>1</v>
      </c>
      <c r="EU397">
        <v>1</v>
      </c>
      <c r="EV397">
        <v>1</v>
      </c>
      <c r="EW397">
        <v>1</v>
      </c>
      <c r="FG397">
        <v>1</v>
      </c>
      <c r="FH397">
        <v>1</v>
      </c>
      <c r="FI397">
        <v>1</v>
      </c>
      <c r="FJ397">
        <v>1</v>
      </c>
      <c r="FK397">
        <v>1</v>
      </c>
      <c r="FU397">
        <v>1</v>
      </c>
      <c r="FV397" s="18">
        <f t="shared" si="596"/>
        <v>0.55957767722473606</v>
      </c>
    </row>
    <row r="398" spans="1:178" ht="14.25" customHeight="1" x14ac:dyDescent="0.25">
      <c r="A398" s="86" t="s">
        <v>273</v>
      </c>
      <c r="B398">
        <v>9</v>
      </c>
      <c r="C398">
        <v>40</v>
      </c>
      <c r="D398" s="24" t="s">
        <v>9</v>
      </c>
      <c r="E398" s="24" t="s">
        <v>8</v>
      </c>
      <c r="F398" s="8" t="s">
        <v>197</v>
      </c>
      <c r="G398" s="8" t="s">
        <v>201</v>
      </c>
      <c r="H398" s="24" t="s">
        <v>194</v>
      </c>
      <c r="J398">
        <v>1</v>
      </c>
      <c r="M398">
        <v>1</v>
      </c>
      <c r="BI398">
        <v>1</v>
      </c>
      <c r="BM398">
        <v>1</v>
      </c>
      <c r="CA398">
        <v>1</v>
      </c>
      <c r="DW398">
        <v>1</v>
      </c>
      <c r="FV398" s="18">
        <f t="shared" si="596"/>
        <v>3.3182503770739065E-2</v>
      </c>
    </row>
    <row r="399" spans="1:178" ht="14.25" customHeight="1" x14ac:dyDescent="0.25">
      <c r="A399" s="86" t="s">
        <v>273</v>
      </c>
      <c r="B399">
        <v>9</v>
      </c>
      <c r="C399">
        <v>40</v>
      </c>
      <c r="D399" s="24" t="s">
        <v>9</v>
      </c>
      <c r="E399" s="24" t="s">
        <v>8</v>
      </c>
      <c r="F399" s="8" t="s">
        <v>197</v>
      </c>
      <c r="G399" s="8" t="s">
        <v>201</v>
      </c>
      <c r="H399" s="24" t="s">
        <v>195</v>
      </c>
      <c r="Q399">
        <v>1</v>
      </c>
      <c r="S399">
        <v>1</v>
      </c>
      <c r="T399">
        <v>1</v>
      </c>
      <c r="U399">
        <v>1</v>
      </c>
      <c r="AB399">
        <v>1</v>
      </c>
      <c r="AC399">
        <v>1</v>
      </c>
      <c r="AD399">
        <v>1</v>
      </c>
      <c r="AE399">
        <v>1</v>
      </c>
      <c r="AF399">
        <v>1</v>
      </c>
      <c r="AG399">
        <v>1</v>
      </c>
      <c r="AH399">
        <v>1</v>
      </c>
      <c r="AO399">
        <v>1</v>
      </c>
      <c r="AP399">
        <v>1</v>
      </c>
      <c r="AQ399">
        <v>1</v>
      </c>
      <c r="AR399">
        <v>1</v>
      </c>
      <c r="AS399">
        <v>1</v>
      </c>
      <c r="AT399">
        <v>1</v>
      </c>
      <c r="AU399">
        <v>1</v>
      </c>
      <c r="BB399">
        <v>1</v>
      </c>
      <c r="BC399">
        <v>1</v>
      </c>
      <c r="BD399">
        <v>1</v>
      </c>
      <c r="BL399">
        <v>1</v>
      </c>
      <c r="BO399">
        <v>1</v>
      </c>
      <c r="BP399">
        <v>1</v>
      </c>
      <c r="BQ399">
        <v>1</v>
      </c>
      <c r="BW399">
        <v>1</v>
      </c>
      <c r="BX399">
        <v>1</v>
      </c>
      <c r="BY399">
        <v>1</v>
      </c>
      <c r="BZ399">
        <v>1</v>
      </c>
      <c r="CB399">
        <v>1</v>
      </c>
      <c r="CC399">
        <v>1</v>
      </c>
      <c r="CJ399">
        <v>1</v>
      </c>
      <c r="CK399">
        <v>1</v>
      </c>
      <c r="CL399">
        <v>1</v>
      </c>
      <c r="CM399">
        <v>1</v>
      </c>
      <c r="CN399">
        <v>1</v>
      </c>
      <c r="CP399">
        <v>1</v>
      </c>
      <c r="CQ399">
        <v>1</v>
      </c>
      <c r="DD399">
        <v>1</v>
      </c>
      <c r="DQ399">
        <v>1</v>
      </c>
      <c r="DR399">
        <v>1</v>
      </c>
      <c r="DV399">
        <v>1</v>
      </c>
      <c r="EE399">
        <v>1</v>
      </c>
      <c r="EF399">
        <v>1</v>
      </c>
      <c r="EI399">
        <v>1</v>
      </c>
      <c r="EV399">
        <v>1</v>
      </c>
      <c r="FI399">
        <v>1</v>
      </c>
      <c r="FV399" s="18">
        <f t="shared" si="596"/>
        <v>0.22926093514328807</v>
      </c>
    </row>
    <row r="400" spans="1:178" ht="14.25" customHeight="1" x14ac:dyDescent="0.25">
      <c r="A400" s="86" t="s">
        <v>273</v>
      </c>
      <c r="B400">
        <v>9</v>
      </c>
      <c r="C400">
        <v>40</v>
      </c>
      <c r="D400" s="24" t="s">
        <v>9</v>
      </c>
      <c r="E400" s="24" t="s">
        <v>8</v>
      </c>
      <c r="F400" s="8" t="s">
        <v>197</v>
      </c>
      <c r="G400" s="8" t="s">
        <v>201</v>
      </c>
      <c r="H400" s="24" t="s">
        <v>220</v>
      </c>
      <c r="AI400">
        <v>1</v>
      </c>
      <c r="AV400">
        <v>1</v>
      </c>
      <c r="DC400">
        <v>1</v>
      </c>
      <c r="FG400">
        <v>1</v>
      </c>
      <c r="FU400">
        <v>1</v>
      </c>
      <c r="FV400" s="18">
        <f t="shared" si="596"/>
        <v>3.1674208144796379E-2</v>
      </c>
    </row>
    <row r="401" spans="1:178" ht="14.25" customHeight="1" x14ac:dyDescent="0.25">
      <c r="A401" s="86" t="s">
        <v>273</v>
      </c>
      <c r="B401">
        <v>9</v>
      </c>
      <c r="C401">
        <v>40</v>
      </c>
      <c r="D401" s="24" t="s">
        <v>9</v>
      </c>
      <c r="E401" s="24" t="s">
        <v>8</v>
      </c>
      <c r="F401" s="8" t="s">
        <v>197</v>
      </c>
      <c r="G401" s="8" t="s">
        <v>201</v>
      </c>
      <c r="H401" s="24" t="s">
        <v>196</v>
      </c>
      <c r="CF401">
        <v>1</v>
      </c>
      <c r="CG401">
        <v>1</v>
      </c>
      <c r="CH401">
        <v>1</v>
      </c>
      <c r="CS401">
        <v>1</v>
      </c>
      <c r="CT401">
        <v>1</v>
      </c>
      <c r="CU401">
        <v>1</v>
      </c>
      <c r="DB401">
        <v>1</v>
      </c>
      <c r="DG401">
        <v>1</v>
      </c>
      <c r="DH401">
        <v>1</v>
      </c>
      <c r="DK401">
        <v>1</v>
      </c>
      <c r="DL401">
        <v>1</v>
      </c>
      <c r="DM401">
        <v>1</v>
      </c>
      <c r="DN401">
        <v>1</v>
      </c>
      <c r="DO401">
        <v>1</v>
      </c>
      <c r="DP401">
        <v>1</v>
      </c>
      <c r="DT401">
        <v>1</v>
      </c>
      <c r="DU401">
        <v>1</v>
      </c>
      <c r="DX401">
        <v>1</v>
      </c>
      <c r="DY401">
        <v>1</v>
      </c>
      <c r="DZ401">
        <v>1</v>
      </c>
      <c r="EA401">
        <v>1</v>
      </c>
      <c r="EB401">
        <v>1</v>
      </c>
      <c r="EC401">
        <v>1</v>
      </c>
      <c r="ED401">
        <v>1</v>
      </c>
      <c r="EH401">
        <v>1</v>
      </c>
      <c r="EJ401">
        <v>1</v>
      </c>
      <c r="EK401">
        <v>1</v>
      </c>
      <c r="EL401">
        <v>1</v>
      </c>
      <c r="ER401">
        <v>1</v>
      </c>
      <c r="EU401">
        <v>1</v>
      </c>
      <c r="EW401">
        <v>1</v>
      </c>
      <c r="EX401">
        <v>1</v>
      </c>
      <c r="EY401">
        <v>1</v>
      </c>
      <c r="FH401">
        <v>1</v>
      </c>
      <c r="FJ401">
        <v>1</v>
      </c>
      <c r="FK401">
        <v>1</v>
      </c>
      <c r="FV401" s="18">
        <f t="shared" si="596"/>
        <v>0.24736048265460031</v>
      </c>
    </row>
    <row r="402" spans="1:178" ht="14.25" customHeight="1" x14ac:dyDescent="0.25">
      <c r="A402" s="86" t="s">
        <v>273</v>
      </c>
      <c r="B402">
        <v>9</v>
      </c>
      <c r="C402">
        <v>40</v>
      </c>
      <c r="D402" s="24" t="s">
        <v>9</v>
      </c>
      <c r="E402" s="24" t="s">
        <v>9</v>
      </c>
      <c r="F402" s="24" t="s">
        <v>8</v>
      </c>
      <c r="G402" s="24" t="s">
        <v>231</v>
      </c>
      <c r="H402" s="24" t="s">
        <v>194</v>
      </c>
      <c r="K402">
        <v>1</v>
      </c>
      <c r="L402">
        <v>1</v>
      </c>
      <c r="R402">
        <v>1</v>
      </c>
      <c r="V402">
        <v>1</v>
      </c>
      <c r="X402">
        <v>1</v>
      </c>
      <c r="AK402">
        <v>1</v>
      </c>
      <c r="AY402">
        <v>1</v>
      </c>
      <c r="ES402">
        <v>1</v>
      </c>
      <c r="FV402" s="18">
        <f t="shared" si="596"/>
        <v>3.4690799396681751E-2</v>
      </c>
    </row>
    <row r="403" spans="1:178" ht="14.25" customHeight="1" x14ac:dyDescent="0.25">
      <c r="A403" s="86" t="s">
        <v>273</v>
      </c>
      <c r="B403">
        <v>9</v>
      </c>
      <c r="C403">
        <v>40</v>
      </c>
      <c r="D403" s="24" t="s">
        <v>9</v>
      </c>
      <c r="E403" s="24" t="s">
        <v>9</v>
      </c>
      <c r="F403" s="24" t="s">
        <v>8</v>
      </c>
      <c r="G403" s="24" t="s">
        <v>231</v>
      </c>
      <c r="H403" s="24" t="s">
        <v>195</v>
      </c>
      <c r="I403">
        <v>1</v>
      </c>
      <c r="N403">
        <v>1</v>
      </c>
      <c r="O403">
        <v>1</v>
      </c>
      <c r="P403">
        <v>1</v>
      </c>
      <c r="W403">
        <v>1</v>
      </c>
      <c r="Y403">
        <v>1</v>
      </c>
      <c r="Z403">
        <v>1</v>
      </c>
      <c r="AA403">
        <v>1</v>
      </c>
      <c r="AJ403">
        <v>1</v>
      </c>
      <c r="AL403">
        <v>1</v>
      </c>
      <c r="AM403">
        <v>1</v>
      </c>
      <c r="AN403">
        <v>1</v>
      </c>
      <c r="AW403">
        <v>1</v>
      </c>
      <c r="AX403">
        <v>1</v>
      </c>
      <c r="AZ403">
        <v>1</v>
      </c>
      <c r="BA403">
        <v>1</v>
      </c>
      <c r="BJ403">
        <v>1</v>
      </c>
      <c r="BK403">
        <v>1</v>
      </c>
      <c r="BN403">
        <v>1</v>
      </c>
      <c r="BV403">
        <v>1</v>
      </c>
      <c r="CI403">
        <v>1</v>
      </c>
      <c r="CO403">
        <v>1</v>
      </c>
      <c r="FV403" s="18">
        <f t="shared" si="596"/>
        <v>0.11312217194570136</v>
      </c>
    </row>
    <row r="404" spans="1:178" ht="14.25" customHeight="1" x14ac:dyDescent="0.25">
      <c r="A404" s="86" t="s">
        <v>273</v>
      </c>
      <c r="B404">
        <v>9</v>
      </c>
      <c r="C404">
        <v>40</v>
      </c>
      <c r="D404" s="24" t="s">
        <v>9</v>
      </c>
      <c r="E404" s="24" t="s">
        <v>9</v>
      </c>
      <c r="F404" s="24" t="s">
        <v>8</v>
      </c>
      <c r="G404" s="24" t="s">
        <v>231</v>
      </c>
      <c r="H404" s="24" t="s">
        <v>196</v>
      </c>
      <c r="BE404">
        <v>1</v>
      </c>
      <c r="BF404">
        <v>1</v>
      </c>
      <c r="BG404">
        <v>1</v>
      </c>
      <c r="BH404">
        <v>1</v>
      </c>
      <c r="BR404">
        <v>1</v>
      </c>
      <c r="BS404">
        <v>1</v>
      </c>
      <c r="BT404">
        <v>1</v>
      </c>
      <c r="BU404">
        <v>1</v>
      </c>
      <c r="CD404">
        <v>1</v>
      </c>
      <c r="CE404">
        <v>1</v>
      </c>
      <c r="CR404">
        <v>1</v>
      </c>
      <c r="CV404">
        <v>1</v>
      </c>
      <c r="CW404">
        <v>1</v>
      </c>
      <c r="CX404">
        <v>1</v>
      </c>
      <c r="CY404">
        <v>1</v>
      </c>
      <c r="CZ404">
        <v>1</v>
      </c>
      <c r="DA404">
        <v>1</v>
      </c>
      <c r="DE404">
        <v>1</v>
      </c>
      <c r="DF404">
        <v>1</v>
      </c>
      <c r="DI404">
        <v>1</v>
      </c>
      <c r="DJ404">
        <v>1</v>
      </c>
      <c r="DS404">
        <v>1</v>
      </c>
      <c r="EG404">
        <v>1</v>
      </c>
      <c r="ET404">
        <v>1</v>
      </c>
      <c r="FV404" s="18">
        <f t="shared" si="596"/>
        <v>0.12066365007541478</v>
      </c>
    </row>
    <row r="405" spans="1:178" ht="14.25" customHeight="1" x14ac:dyDescent="0.25">
      <c r="A405" s="86" t="s">
        <v>273</v>
      </c>
      <c r="B405">
        <v>9</v>
      </c>
      <c r="C405">
        <v>25</v>
      </c>
      <c r="D405" s="8" t="s">
        <v>10</v>
      </c>
      <c r="E405" s="8" t="s">
        <v>197</v>
      </c>
      <c r="F405" s="8" t="s">
        <v>197</v>
      </c>
      <c r="G405" s="8" t="s">
        <v>201</v>
      </c>
      <c r="H405" s="8" t="s">
        <v>194</v>
      </c>
      <c r="I405">
        <v>1</v>
      </c>
      <c r="J405">
        <v>1</v>
      </c>
      <c r="K405">
        <v>1</v>
      </c>
      <c r="L405">
        <v>1</v>
      </c>
      <c r="M405">
        <v>1</v>
      </c>
      <c r="N405">
        <v>1</v>
      </c>
      <c r="O405">
        <v>1</v>
      </c>
      <c r="P405">
        <v>1</v>
      </c>
      <c r="Q405">
        <v>1</v>
      </c>
      <c r="R405">
        <v>1</v>
      </c>
      <c r="S405">
        <v>1</v>
      </c>
      <c r="T405">
        <v>1</v>
      </c>
      <c r="U405">
        <v>1</v>
      </c>
      <c r="V405">
        <v>1</v>
      </c>
      <c r="W405">
        <v>1</v>
      </c>
      <c r="X405">
        <v>1</v>
      </c>
      <c r="Y405">
        <v>1</v>
      </c>
      <c r="Z405">
        <v>1</v>
      </c>
      <c r="AA405">
        <v>1</v>
      </c>
      <c r="AB405">
        <v>1</v>
      </c>
      <c r="AC405">
        <v>1</v>
      </c>
      <c r="AD405">
        <v>1</v>
      </c>
      <c r="AE405">
        <v>1</v>
      </c>
      <c r="AF405">
        <v>1</v>
      </c>
      <c r="AG405">
        <v>1</v>
      </c>
      <c r="AH405">
        <v>1</v>
      </c>
      <c r="AI405">
        <v>1</v>
      </c>
      <c r="AJ405">
        <v>1</v>
      </c>
      <c r="AK405">
        <v>1</v>
      </c>
      <c r="AL405">
        <v>1</v>
      </c>
      <c r="AM405">
        <v>1</v>
      </c>
      <c r="AN405">
        <v>1</v>
      </c>
      <c r="AO405">
        <v>1</v>
      </c>
      <c r="AP405">
        <v>1</v>
      </c>
      <c r="AQ405">
        <v>1</v>
      </c>
      <c r="AR405">
        <v>1</v>
      </c>
      <c r="AS405">
        <v>1</v>
      </c>
      <c r="AT405">
        <v>1</v>
      </c>
      <c r="AU405">
        <v>1</v>
      </c>
      <c r="AV405">
        <v>1</v>
      </c>
      <c r="AW405">
        <v>1</v>
      </c>
      <c r="AX405">
        <v>1</v>
      </c>
      <c r="AY405">
        <v>1</v>
      </c>
      <c r="AZ405">
        <v>1</v>
      </c>
      <c r="BA405">
        <v>1</v>
      </c>
      <c r="BB405">
        <v>1</v>
      </c>
      <c r="BC405">
        <v>1</v>
      </c>
      <c r="BD405">
        <v>1</v>
      </c>
      <c r="BE405">
        <v>1</v>
      </c>
      <c r="BF405">
        <v>1</v>
      </c>
      <c r="BI405">
        <v>1</v>
      </c>
      <c r="BJ405">
        <v>1</v>
      </c>
      <c r="BK405">
        <v>1</v>
      </c>
      <c r="BL405">
        <v>1</v>
      </c>
      <c r="BM405">
        <v>1</v>
      </c>
      <c r="BN405">
        <v>1</v>
      </c>
      <c r="BO405">
        <v>1</v>
      </c>
      <c r="BP405">
        <v>1</v>
      </c>
      <c r="BQ405">
        <v>1</v>
      </c>
      <c r="BV405">
        <v>1</v>
      </c>
      <c r="BW405">
        <v>1</v>
      </c>
      <c r="BX405">
        <v>1</v>
      </c>
      <c r="BY405">
        <v>1</v>
      </c>
      <c r="BZ405">
        <v>1</v>
      </c>
      <c r="CA405">
        <v>1</v>
      </c>
      <c r="CB405">
        <v>1</v>
      </c>
      <c r="CC405">
        <v>1</v>
      </c>
      <c r="CD405">
        <v>1</v>
      </c>
      <c r="CI405">
        <v>1</v>
      </c>
      <c r="CJ405">
        <v>1</v>
      </c>
      <c r="CK405">
        <v>1</v>
      </c>
      <c r="CL405">
        <v>1</v>
      </c>
      <c r="CM405">
        <v>1</v>
      </c>
      <c r="CN405">
        <v>1</v>
      </c>
      <c r="CO405">
        <v>1</v>
      </c>
      <c r="CP405">
        <v>1</v>
      </c>
      <c r="CQ405">
        <v>1</v>
      </c>
      <c r="CR405">
        <v>1</v>
      </c>
      <c r="CV405">
        <v>1</v>
      </c>
      <c r="CW405">
        <v>1</v>
      </c>
      <c r="DC405">
        <v>1</v>
      </c>
      <c r="DD405">
        <v>1</v>
      </c>
      <c r="DE405">
        <v>1</v>
      </c>
      <c r="DF405">
        <v>1</v>
      </c>
      <c r="DI405">
        <v>1</v>
      </c>
      <c r="DJ405">
        <v>1</v>
      </c>
      <c r="DQ405">
        <v>1</v>
      </c>
      <c r="DR405">
        <v>1</v>
      </c>
      <c r="DS405">
        <v>1</v>
      </c>
      <c r="DV405">
        <v>1</v>
      </c>
      <c r="EE405">
        <v>1</v>
      </c>
      <c r="EF405">
        <v>1</v>
      </c>
      <c r="EI405">
        <v>1</v>
      </c>
      <c r="ES405">
        <v>1</v>
      </c>
      <c r="FV405" s="18">
        <f t="shared" ref="FV405:FV413" si="598">SUMPRODUCT(I405:FU405,$I$1:$FU$1)/(SUM($I$1:$FU$1))</f>
        <v>0.46304675716440424</v>
      </c>
    </row>
    <row r="406" spans="1:178" ht="14.25" customHeight="1" x14ac:dyDescent="0.25">
      <c r="A406" s="86" t="s">
        <v>273</v>
      </c>
      <c r="B406">
        <v>9</v>
      </c>
      <c r="C406">
        <v>25</v>
      </c>
      <c r="D406" s="8" t="s">
        <v>15</v>
      </c>
      <c r="E406" s="8" t="s">
        <v>197</v>
      </c>
      <c r="F406" s="8" t="s">
        <v>197</v>
      </c>
      <c r="G406" s="8" t="s">
        <v>201</v>
      </c>
      <c r="H406" s="8" t="s">
        <v>194</v>
      </c>
      <c r="I406">
        <v>1</v>
      </c>
      <c r="J406">
        <v>1</v>
      </c>
      <c r="K406">
        <v>1</v>
      </c>
      <c r="L406">
        <v>1</v>
      </c>
      <c r="M406">
        <v>1</v>
      </c>
      <c r="N406">
        <v>1</v>
      </c>
      <c r="O406">
        <v>1</v>
      </c>
      <c r="P406">
        <v>1</v>
      </c>
      <c r="Q406">
        <v>1</v>
      </c>
      <c r="R406">
        <v>1</v>
      </c>
      <c r="S406">
        <v>1</v>
      </c>
      <c r="V406">
        <v>1</v>
      </c>
      <c r="W406">
        <v>1</v>
      </c>
      <c r="X406">
        <v>1</v>
      </c>
      <c r="Y406">
        <v>1</v>
      </c>
      <c r="Z406">
        <v>1</v>
      </c>
      <c r="AA406">
        <v>1</v>
      </c>
      <c r="AB406">
        <v>1</v>
      </c>
      <c r="AC406">
        <v>1</v>
      </c>
      <c r="AI406">
        <v>1</v>
      </c>
      <c r="AJ406">
        <v>1</v>
      </c>
      <c r="AK406">
        <v>1</v>
      </c>
      <c r="AL406">
        <v>1</v>
      </c>
      <c r="AM406">
        <v>1</v>
      </c>
      <c r="AN406">
        <v>1</v>
      </c>
      <c r="AV406">
        <v>1</v>
      </c>
      <c r="AW406">
        <v>1</v>
      </c>
      <c r="AY406">
        <v>1</v>
      </c>
      <c r="AZ406">
        <v>1</v>
      </c>
      <c r="BA406">
        <v>1</v>
      </c>
      <c r="BI406">
        <v>1</v>
      </c>
      <c r="BM406">
        <v>1</v>
      </c>
      <c r="BN406">
        <v>1</v>
      </c>
      <c r="BO406">
        <v>1</v>
      </c>
      <c r="CA406">
        <v>1</v>
      </c>
      <c r="CB406">
        <v>1</v>
      </c>
      <c r="CO406">
        <v>1</v>
      </c>
      <c r="DC406">
        <v>1</v>
      </c>
      <c r="DQ406">
        <v>1</v>
      </c>
      <c r="FV406" s="18">
        <f t="shared" si="598"/>
        <v>0.167420814479638</v>
      </c>
    </row>
    <row r="407" spans="1:178" ht="14.25" customHeight="1" x14ac:dyDescent="0.25">
      <c r="A407" s="86" t="s">
        <v>273</v>
      </c>
      <c r="B407">
        <v>9</v>
      </c>
      <c r="C407">
        <v>25</v>
      </c>
      <c r="D407" s="8" t="s">
        <v>242</v>
      </c>
      <c r="E407" s="8" t="s">
        <v>197</v>
      </c>
      <c r="F407" s="8" t="s">
        <v>197</v>
      </c>
      <c r="G407" s="8" t="s">
        <v>201</v>
      </c>
      <c r="H407" s="8" t="s">
        <v>194</v>
      </c>
      <c r="I407">
        <v>1</v>
      </c>
      <c r="J407">
        <v>1</v>
      </c>
      <c r="K407">
        <v>1</v>
      </c>
      <c r="L407">
        <v>1</v>
      </c>
      <c r="M407">
        <v>1</v>
      </c>
      <c r="N407">
        <v>1</v>
      </c>
      <c r="O407">
        <v>1</v>
      </c>
      <c r="P407">
        <v>1</v>
      </c>
      <c r="Q407">
        <v>1</v>
      </c>
      <c r="R407">
        <v>1</v>
      </c>
      <c r="S407">
        <v>1</v>
      </c>
      <c r="T407">
        <v>1</v>
      </c>
      <c r="V407">
        <v>1</v>
      </c>
      <c r="W407">
        <v>1</v>
      </c>
      <c r="X407">
        <v>1</v>
      </c>
      <c r="Y407">
        <v>1</v>
      </c>
      <c r="Z407">
        <v>1</v>
      </c>
      <c r="AA407">
        <v>1</v>
      </c>
      <c r="AB407">
        <v>1</v>
      </c>
      <c r="AC407">
        <v>1</v>
      </c>
      <c r="AI407">
        <v>1</v>
      </c>
      <c r="AJ407">
        <v>1</v>
      </c>
      <c r="AK407">
        <v>1</v>
      </c>
      <c r="AL407">
        <v>1</v>
      </c>
      <c r="AM407">
        <v>1</v>
      </c>
      <c r="AN407">
        <v>1</v>
      </c>
      <c r="AO407">
        <v>1</v>
      </c>
      <c r="AV407">
        <v>1</v>
      </c>
      <c r="AW407">
        <v>1</v>
      </c>
      <c r="AX407">
        <v>1</v>
      </c>
      <c r="AY407">
        <v>1</v>
      </c>
      <c r="AZ407">
        <v>1</v>
      </c>
      <c r="BA407">
        <v>1</v>
      </c>
      <c r="BI407">
        <v>1</v>
      </c>
      <c r="BM407">
        <v>1</v>
      </c>
      <c r="BN407">
        <v>1</v>
      </c>
      <c r="BO407">
        <v>1</v>
      </c>
      <c r="CA407">
        <v>1</v>
      </c>
      <c r="CB407">
        <v>1</v>
      </c>
      <c r="CO407">
        <v>1</v>
      </c>
      <c r="DC407">
        <v>1</v>
      </c>
      <c r="DQ407">
        <v>1</v>
      </c>
      <c r="EE407">
        <v>1</v>
      </c>
      <c r="FV407" s="18">
        <f t="shared" si="598"/>
        <v>0.18702865761689291</v>
      </c>
    </row>
    <row r="408" spans="1:178" ht="14.25" customHeight="1" x14ac:dyDescent="0.25">
      <c r="A408" s="86" t="s">
        <v>273</v>
      </c>
      <c r="B408">
        <v>9</v>
      </c>
      <c r="C408">
        <v>25</v>
      </c>
      <c r="D408" s="8" t="s">
        <v>14</v>
      </c>
      <c r="E408" s="8" t="s">
        <v>197</v>
      </c>
      <c r="F408" s="8" t="s">
        <v>197</v>
      </c>
      <c r="G408" s="8" t="s">
        <v>201</v>
      </c>
      <c r="H408" s="8" t="s">
        <v>194</v>
      </c>
      <c r="I408">
        <v>1</v>
      </c>
      <c r="J408">
        <v>1</v>
      </c>
      <c r="K408">
        <v>1</v>
      </c>
      <c r="L408">
        <v>1</v>
      </c>
      <c r="M408">
        <v>1</v>
      </c>
      <c r="N408">
        <v>1</v>
      </c>
      <c r="O408">
        <v>1</v>
      </c>
      <c r="P408">
        <v>1</v>
      </c>
      <c r="Q408">
        <v>1</v>
      </c>
      <c r="R408">
        <v>1</v>
      </c>
      <c r="S408">
        <v>1</v>
      </c>
      <c r="T408">
        <v>1</v>
      </c>
      <c r="U408">
        <v>1</v>
      </c>
      <c r="V408">
        <v>1</v>
      </c>
      <c r="W408">
        <v>1</v>
      </c>
      <c r="X408">
        <v>1</v>
      </c>
      <c r="Y408">
        <v>1</v>
      </c>
      <c r="Z408">
        <v>1</v>
      </c>
      <c r="AA408">
        <v>1</v>
      </c>
      <c r="AB408">
        <v>1</v>
      </c>
      <c r="AC408">
        <v>1</v>
      </c>
      <c r="AD408">
        <v>1</v>
      </c>
      <c r="AI408">
        <v>1</v>
      </c>
      <c r="AJ408">
        <v>1</v>
      </c>
      <c r="AK408">
        <v>1</v>
      </c>
      <c r="AL408">
        <v>1</v>
      </c>
      <c r="AM408">
        <v>1</v>
      </c>
      <c r="AN408">
        <v>1</v>
      </c>
      <c r="AO408">
        <v>1</v>
      </c>
      <c r="AV408">
        <v>1</v>
      </c>
      <c r="AW408">
        <v>1</v>
      </c>
      <c r="AX408">
        <v>1</v>
      </c>
      <c r="AY408">
        <v>1</v>
      </c>
      <c r="AZ408">
        <v>1</v>
      </c>
      <c r="BA408">
        <v>1</v>
      </c>
      <c r="BB408">
        <v>1</v>
      </c>
      <c r="BI408">
        <v>1</v>
      </c>
      <c r="BJ408">
        <v>1</v>
      </c>
      <c r="BM408">
        <v>1</v>
      </c>
      <c r="BN408">
        <v>1</v>
      </c>
      <c r="BO408">
        <v>1</v>
      </c>
      <c r="CA408">
        <v>1</v>
      </c>
      <c r="CB408">
        <v>1</v>
      </c>
      <c r="CO408">
        <v>1</v>
      </c>
      <c r="CP408">
        <v>1</v>
      </c>
      <c r="DC408">
        <v>1</v>
      </c>
      <c r="DQ408">
        <v>1</v>
      </c>
      <c r="EE408">
        <v>1</v>
      </c>
      <c r="FV408" s="18">
        <f t="shared" si="598"/>
        <v>0.20814479638009051</v>
      </c>
    </row>
    <row r="409" spans="1:178" ht="14.25" customHeight="1" x14ac:dyDescent="0.25">
      <c r="A409" s="86" t="s">
        <v>273</v>
      </c>
      <c r="B409">
        <v>9</v>
      </c>
      <c r="C409">
        <v>25</v>
      </c>
      <c r="D409" s="8" t="s">
        <v>13</v>
      </c>
      <c r="E409" s="8" t="s">
        <v>197</v>
      </c>
      <c r="F409" s="8" t="s">
        <v>197</v>
      </c>
      <c r="G409" s="8" t="s">
        <v>201</v>
      </c>
      <c r="H409" s="8" t="s">
        <v>194</v>
      </c>
      <c r="I409">
        <v>1</v>
      </c>
      <c r="J409">
        <v>1</v>
      </c>
      <c r="K409">
        <v>1</v>
      </c>
      <c r="L409">
        <v>1</v>
      </c>
      <c r="M409">
        <v>1</v>
      </c>
      <c r="N409">
        <v>1</v>
      </c>
      <c r="O409">
        <v>1</v>
      </c>
      <c r="P409">
        <v>1</v>
      </c>
      <c r="Q409">
        <v>1</v>
      </c>
      <c r="R409">
        <v>1</v>
      </c>
      <c r="S409">
        <v>1</v>
      </c>
      <c r="T409">
        <v>1</v>
      </c>
      <c r="U409">
        <v>1</v>
      </c>
      <c r="V409">
        <v>1</v>
      </c>
      <c r="W409">
        <v>1</v>
      </c>
      <c r="X409">
        <v>1</v>
      </c>
      <c r="Y409">
        <v>1</v>
      </c>
      <c r="Z409">
        <v>1</v>
      </c>
      <c r="AA409">
        <v>1</v>
      </c>
      <c r="AB409">
        <v>1</v>
      </c>
      <c r="AC409">
        <v>1</v>
      </c>
      <c r="AD409">
        <v>1</v>
      </c>
      <c r="AI409">
        <v>1</v>
      </c>
      <c r="AJ409">
        <v>1</v>
      </c>
      <c r="AK409">
        <v>1</v>
      </c>
      <c r="AL409">
        <v>1</v>
      </c>
      <c r="AM409">
        <v>1</v>
      </c>
      <c r="AN409">
        <v>1</v>
      </c>
      <c r="AO409">
        <v>1</v>
      </c>
      <c r="AV409">
        <v>1</v>
      </c>
      <c r="AW409">
        <v>1</v>
      </c>
      <c r="AX409">
        <v>1</v>
      </c>
      <c r="AY409">
        <v>1</v>
      </c>
      <c r="AZ409">
        <v>1</v>
      </c>
      <c r="BA409">
        <v>1</v>
      </c>
      <c r="BB409">
        <v>1</v>
      </c>
      <c r="BI409">
        <v>1</v>
      </c>
      <c r="BJ409">
        <v>1</v>
      </c>
      <c r="BK409">
        <v>1</v>
      </c>
      <c r="BM409">
        <v>1</v>
      </c>
      <c r="BN409">
        <v>1</v>
      </c>
      <c r="BO409">
        <v>1</v>
      </c>
      <c r="BV409">
        <v>1</v>
      </c>
      <c r="CA409">
        <v>1</v>
      </c>
      <c r="CB409">
        <v>1</v>
      </c>
      <c r="CC409">
        <v>1</v>
      </c>
      <c r="CI409">
        <v>1</v>
      </c>
      <c r="CO409">
        <v>1</v>
      </c>
      <c r="CP409">
        <v>1</v>
      </c>
      <c r="DC409">
        <v>1</v>
      </c>
      <c r="DD409">
        <v>1</v>
      </c>
      <c r="DQ409">
        <v>1</v>
      </c>
      <c r="EE409">
        <v>1</v>
      </c>
      <c r="FV409" s="18">
        <f t="shared" si="598"/>
        <v>0.24132730015082957</v>
      </c>
    </row>
    <row r="410" spans="1:178" ht="14.25" customHeight="1" x14ac:dyDescent="0.25">
      <c r="A410" s="86" t="s">
        <v>273</v>
      </c>
      <c r="B410">
        <v>9</v>
      </c>
      <c r="C410">
        <v>25</v>
      </c>
      <c r="D410" s="8" t="s">
        <v>12</v>
      </c>
      <c r="E410" s="8" t="s">
        <v>197</v>
      </c>
      <c r="F410" s="8" t="s">
        <v>197</v>
      </c>
      <c r="G410" s="8" t="s">
        <v>201</v>
      </c>
      <c r="H410" s="8" t="s">
        <v>194</v>
      </c>
      <c r="I410">
        <v>1</v>
      </c>
      <c r="J410">
        <v>1</v>
      </c>
      <c r="K410">
        <v>1</v>
      </c>
      <c r="L410">
        <v>1</v>
      </c>
      <c r="M410">
        <v>1</v>
      </c>
      <c r="N410">
        <v>1</v>
      </c>
      <c r="O410">
        <v>1</v>
      </c>
      <c r="P410">
        <v>1</v>
      </c>
      <c r="Q410">
        <v>1</v>
      </c>
      <c r="R410">
        <v>1</v>
      </c>
      <c r="S410">
        <v>1</v>
      </c>
      <c r="T410">
        <v>1</v>
      </c>
      <c r="U410">
        <v>1</v>
      </c>
      <c r="V410">
        <v>1</v>
      </c>
      <c r="W410">
        <v>1</v>
      </c>
      <c r="X410">
        <v>1</v>
      </c>
      <c r="Y410">
        <v>1</v>
      </c>
      <c r="Z410">
        <v>1</v>
      </c>
      <c r="AA410">
        <v>1</v>
      </c>
      <c r="AB410">
        <v>1</v>
      </c>
      <c r="AC410">
        <v>1</v>
      </c>
      <c r="AD410">
        <v>1</v>
      </c>
      <c r="AE410">
        <v>1</v>
      </c>
      <c r="AF410">
        <v>1</v>
      </c>
      <c r="AI410">
        <v>1</v>
      </c>
      <c r="AJ410">
        <v>1</v>
      </c>
      <c r="AK410">
        <v>1</v>
      </c>
      <c r="AL410">
        <v>1</v>
      </c>
      <c r="AM410">
        <v>1</v>
      </c>
      <c r="AN410">
        <v>1</v>
      </c>
      <c r="AO410">
        <v>1</v>
      </c>
      <c r="AP410">
        <v>1</v>
      </c>
      <c r="AQ410">
        <v>1</v>
      </c>
      <c r="AV410">
        <v>1</v>
      </c>
      <c r="AW410">
        <v>1</v>
      </c>
      <c r="AX410">
        <v>1</v>
      </c>
      <c r="AY410">
        <v>1</v>
      </c>
      <c r="AZ410">
        <v>1</v>
      </c>
      <c r="BA410">
        <v>1</v>
      </c>
      <c r="BB410">
        <v>1</v>
      </c>
      <c r="BC410">
        <v>1</v>
      </c>
      <c r="BI410">
        <v>1</v>
      </c>
      <c r="BJ410">
        <v>1</v>
      </c>
      <c r="BK410">
        <v>1</v>
      </c>
      <c r="BL410">
        <v>1</v>
      </c>
      <c r="BM410">
        <v>1</v>
      </c>
      <c r="BN410">
        <v>1</v>
      </c>
      <c r="BO410">
        <v>1</v>
      </c>
      <c r="BP410">
        <v>1</v>
      </c>
      <c r="BV410">
        <v>1</v>
      </c>
      <c r="CA410">
        <v>1</v>
      </c>
      <c r="CB410">
        <v>1</v>
      </c>
      <c r="CC410">
        <v>1</v>
      </c>
      <c r="CI410">
        <v>1</v>
      </c>
      <c r="CO410">
        <v>1</v>
      </c>
      <c r="CP410">
        <v>1</v>
      </c>
      <c r="CV410">
        <v>1</v>
      </c>
      <c r="DC410">
        <v>1</v>
      </c>
      <c r="DD410">
        <v>1</v>
      </c>
      <c r="DQ410">
        <v>1</v>
      </c>
      <c r="EE410">
        <v>1</v>
      </c>
      <c r="FV410" s="18">
        <f t="shared" si="598"/>
        <v>0.27752639517345401</v>
      </c>
    </row>
    <row r="411" spans="1:178" ht="14.25" customHeight="1" x14ac:dyDescent="0.25">
      <c r="A411" s="86" t="s">
        <v>273</v>
      </c>
      <c r="B411">
        <v>9</v>
      </c>
      <c r="C411">
        <v>25</v>
      </c>
      <c r="D411" s="8" t="s">
        <v>11</v>
      </c>
      <c r="E411" s="8" t="s">
        <v>197</v>
      </c>
      <c r="F411" s="8" t="s">
        <v>197</v>
      </c>
      <c r="G411" s="8" t="s">
        <v>201</v>
      </c>
      <c r="H411" s="8" t="s">
        <v>194</v>
      </c>
      <c r="I411">
        <v>1</v>
      </c>
      <c r="J411">
        <v>1</v>
      </c>
      <c r="K411">
        <v>1</v>
      </c>
      <c r="L411">
        <v>1</v>
      </c>
      <c r="M411">
        <v>1</v>
      </c>
      <c r="N411">
        <v>1</v>
      </c>
      <c r="O411">
        <v>1</v>
      </c>
      <c r="P411">
        <v>1</v>
      </c>
      <c r="Q411">
        <v>1</v>
      </c>
      <c r="R411">
        <v>1</v>
      </c>
      <c r="S411">
        <v>1</v>
      </c>
      <c r="T411">
        <v>1</v>
      </c>
      <c r="U411">
        <v>1</v>
      </c>
      <c r="V411">
        <v>1</v>
      </c>
      <c r="W411">
        <v>1</v>
      </c>
      <c r="X411">
        <v>1</v>
      </c>
      <c r="Y411">
        <v>1</v>
      </c>
      <c r="Z411">
        <v>1</v>
      </c>
      <c r="AA411">
        <v>1</v>
      </c>
      <c r="AB411">
        <v>1</v>
      </c>
      <c r="AC411">
        <v>1</v>
      </c>
      <c r="AD411">
        <v>1</v>
      </c>
      <c r="AE411">
        <v>1</v>
      </c>
      <c r="AF411">
        <v>1</v>
      </c>
      <c r="AG411">
        <v>1</v>
      </c>
      <c r="AI411">
        <v>1</v>
      </c>
      <c r="AJ411">
        <v>1</v>
      </c>
      <c r="AK411">
        <v>1</v>
      </c>
      <c r="AL411">
        <v>1</v>
      </c>
      <c r="AM411">
        <v>1</v>
      </c>
      <c r="AN411">
        <v>1</v>
      </c>
      <c r="AO411">
        <v>1</v>
      </c>
      <c r="AP411">
        <v>1</v>
      </c>
      <c r="AQ411">
        <v>1</v>
      </c>
      <c r="AR411">
        <v>1</v>
      </c>
      <c r="AV411">
        <v>1</v>
      </c>
      <c r="AW411">
        <v>1</v>
      </c>
      <c r="AX411">
        <v>1</v>
      </c>
      <c r="AY411">
        <v>1</v>
      </c>
      <c r="AZ411">
        <v>1</v>
      </c>
      <c r="BA411">
        <v>1</v>
      </c>
      <c r="BB411">
        <v>1</v>
      </c>
      <c r="BC411">
        <v>1</v>
      </c>
      <c r="BD411">
        <v>1</v>
      </c>
      <c r="BI411">
        <v>1</v>
      </c>
      <c r="BJ411">
        <v>1</v>
      </c>
      <c r="BK411">
        <v>1</v>
      </c>
      <c r="BL411">
        <v>1</v>
      </c>
      <c r="BM411">
        <v>1</v>
      </c>
      <c r="BN411">
        <v>1</v>
      </c>
      <c r="BO411">
        <v>1</v>
      </c>
      <c r="BP411">
        <v>1</v>
      </c>
      <c r="BV411">
        <v>1</v>
      </c>
      <c r="BW411">
        <v>1</v>
      </c>
      <c r="BX411">
        <v>1</v>
      </c>
      <c r="BY411">
        <v>1</v>
      </c>
      <c r="CA411">
        <v>1</v>
      </c>
      <c r="CB411">
        <v>1</v>
      </c>
      <c r="CC411">
        <v>1</v>
      </c>
      <c r="CI411">
        <v>1</v>
      </c>
      <c r="CO411">
        <v>1</v>
      </c>
      <c r="CP411">
        <v>1</v>
      </c>
      <c r="CQ411">
        <v>1</v>
      </c>
      <c r="CV411">
        <v>1</v>
      </c>
      <c r="DC411">
        <v>1</v>
      </c>
      <c r="DD411">
        <v>1</v>
      </c>
      <c r="DI411">
        <v>1</v>
      </c>
      <c r="DQ411">
        <v>1</v>
      </c>
      <c r="DR411">
        <v>1</v>
      </c>
      <c r="DV411">
        <v>1</v>
      </c>
      <c r="EE411">
        <v>1</v>
      </c>
      <c r="ES411">
        <v>1</v>
      </c>
      <c r="FV411" s="18">
        <f t="shared" si="598"/>
        <v>0.34238310708898945</v>
      </c>
    </row>
    <row r="412" spans="1:178" ht="14.25" customHeight="1" x14ac:dyDescent="0.25">
      <c r="A412" s="86" t="s">
        <v>273</v>
      </c>
      <c r="B412">
        <v>9</v>
      </c>
      <c r="C412">
        <v>25</v>
      </c>
      <c r="D412" s="8" t="s">
        <v>9</v>
      </c>
      <c r="E412" s="8" t="s">
        <v>197</v>
      </c>
      <c r="F412" s="8" t="s">
        <v>197</v>
      </c>
      <c r="G412" s="8" t="s">
        <v>201</v>
      </c>
      <c r="H412" s="8" t="s">
        <v>194</v>
      </c>
      <c r="I412">
        <v>1</v>
      </c>
      <c r="J412">
        <v>1</v>
      </c>
      <c r="K412">
        <v>1</v>
      </c>
      <c r="L412">
        <v>1</v>
      </c>
      <c r="M412">
        <v>1</v>
      </c>
      <c r="N412">
        <v>1</v>
      </c>
      <c r="O412">
        <v>1</v>
      </c>
      <c r="P412">
        <v>1</v>
      </c>
      <c r="Q412">
        <v>1</v>
      </c>
      <c r="V412">
        <v>1</v>
      </c>
      <c r="W412">
        <v>1</v>
      </c>
      <c r="X412">
        <v>1</v>
      </c>
      <c r="Y412">
        <v>1</v>
      </c>
      <c r="AJ412">
        <v>1</v>
      </c>
      <c r="AK412">
        <v>1</v>
      </c>
      <c r="AT412">
        <v>1</v>
      </c>
      <c r="AU412">
        <v>1</v>
      </c>
      <c r="AY412">
        <v>1</v>
      </c>
      <c r="BE412">
        <v>1</v>
      </c>
      <c r="BF412">
        <v>1</v>
      </c>
      <c r="BG412">
        <v>1</v>
      </c>
      <c r="BH412">
        <v>1</v>
      </c>
      <c r="BM412">
        <v>1</v>
      </c>
      <c r="BQ412">
        <v>1</v>
      </c>
      <c r="BR412">
        <v>1</v>
      </c>
      <c r="BS412">
        <v>1</v>
      </c>
      <c r="BT412">
        <v>1</v>
      </c>
      <c r="BU412">
        <v>1</v>
      </c>
      <c r="BV412">
        <v>1</v>
      </c>
      <c r="BW412">
        <v>1</v>
      </c>
      <c r="BX412">
        <v>1</v>
      </c>
      <c r="BY412">
        <v>1</v>
      </c>
      <c r="BZ412">
        <v>1</v>
      </c>
      <c r="CA412">
        <v>1</v>
      </c>
      <c r="CE412">
        <v>1</v>
      </c>
      <c r="CF412">
        <v>1</v>
      </c>
      <c r="CJ412">
        <v>1</v>
      </c>
      <c r="CK412">
        <v>1</v>
      </c>
      <c r="CL412">
        <v>1</v>
      </c>
      <c r="CM412">
        <v>1</v>
      </c>
      <c r="CO412">
        <v>1</v>
      </c>
      <c r="CR412">
        <v>1</v>
      </c>
      <c r="CS412">
        <v>1</v>
      </c>
      <c r="CV412">
        <v>1</v>
      </c>
      <c r="CW412">
        <v>1</v>
      </c>
      <c r="CX412">
        <v>1</v>
      </c>
      <c r="DE412">
        <v>1</v>
      </c>
      <c r="DF412">
        <v>1</v>
      </c>
      <c r="DI412">
        <v>1</v>
      </c>
      <c r="DJ412">
        <v>1</v>
      </c>
      <c r="DK412">
        <v>1</v>
      </c>
      <c r="DS412">
        <v>1</v>
      </c>
      <c r="DT412">
        <v>1</v>
      </c>
      <c r="DW412">
        <v>1</v>
      </c>
      <c r="EF412">
        <v>1</v>
      </c>
      <c r="EG412">
        <v>1</v>
      </c>
      <c r="ET412">
        <v>1</v>
      </c>
      <c r="EV412">
        <v>1</v>
      </c>
      <c r="FV412" s="18">
        <f t="shared" si="598"/>
        <v>0.30015082956259426</v>
      </c>
    </row>
    <row r="413" spans="1:178" ht="14.25" customHeight="1" x14ac:dyDescent="0.25">
      <c r="A413" s="86" t="s">
        <v>273</v>
      </c>
      <c r="B413">
        <v>9</v>
      </c>
      <c r="C413">
        <v>25</v>
      </c>
      <c r="D413" s="8" t="s">
        <v>9</v>
      </c>
      <c r="E413" s="8" t="s">
        <v>197</v>
      </c>
      <c r="F413" s="8" t="s">
        <v>197</v>
      </c>
      <c r="G413" s="8" t="s">
        <v>201</v>
      </c>
      <c r="H413" s="8" t="s">
        <v>195</v>
      </c>
      <c r="R413">
        <v>1</v>
      </c>
      <c r="S413">
        <v>1</v>
      </c>
      <c r="T413">
        <v>1</v>
      </c>
      <c r="U413">
        <v>1</v>
      </c>
      <c r="Z413">
        <v>1</v>
      </c>
      <c r="AA413">
        <v>1</v>
      </c>
      <c r="AB413">
        <v>1</v>
      </c>
      <c r="AC413">
        <v>1</v>
      </c>
      <c r="AD413">
        <v>1</v>
      </c>
      <c r="AE413">
        <v>1</v>
      </c>
      <c r="AF413">
        <v>1</v>
      </c>
      <c r="AG413">
        <v>1</v>
      </c>
      <c r="AH413">
        <v>1</v>
      </c>
      <c r="AI413">
        <v>1</v>
      </c>
      <c r="AL413">
        <v>1</v>
      </c>
      <c r="AM413">
        <v>1</v>
      </c>
      <c r="AN413">
        <v>1</v>
      </c>
      <c r="AO413">
        <v>1</v>
      </c>
      <c r="AP413">
        <v>1</v>
      </c>
      <c r="AQ413">
        <v>1</v>
      </c>
      <c r="AR413">
        <v>1</v>
      </c>
      <c r="AS413">
        <v>1</v>
      </c>
      <c r="AV413">
        <v>1</v>
      </c>
      <c r="AW413">
        <v>1</v>
      </c>
      <c r="AX413">
        <v>1</v>
      </c>
      <c r="AZ413">
        <v>1</v>
      </c>
      <c r="BA413">
        <v>1</v>
      </c>
      <c r="BB413">
        <v>1</v>
      </c>
      <c r="BC413">
        <v>1</v>
      </c>
      <c r="BD413">
        <v>1</v>
      </c>
      <c r="BI413">
        <v>1</v>
      </c>
      <c r="BJ413">
        <v>1</v>
      </c>
      <c r="BK413">
        <v>1</v>
      </c>
      <c r="BL413">
        <v>1</v>
      </c>
      <c r="BN413">
        <v>1</v>
      </c>
      <c r="BO413">
        <v>1</v>
      </c>
      <c r="BP413">
        <v>1</v>
      </c>
      <c r="CB413">
        <v>1</v>
      </c>
      <c r="CC413">
        <v>1</v>
      </c>
      <c r="CD413">
        <v>1</v>
      </c>
      <c r="CG413">
        <v>1</v>
      </c>
      <c r="CH413">
        <v>1</v>
      </c>
      <c r="CN413">
        <v>1</v>
      </c>
      <c r="CP413">
        <v>1</v>
      </c>
      <c r="CQ413">
        <v>1</v>
      </c>
      <c r="CT413">
        <v>1</v>
      </c>
      <c r="CU413">
        <v>1</v>
      </c>
      <c r="CY413">
        <v>1</v>
      </c>
      <c r="CZ413">
        <v>1</v>
      </c>
      <c r="DA413">
        <v>1</v>
      </c>
      <c r="DB413">
        <v>1</v>
      </c>
      <c r="DC413">
        <v>1</v>
      </c>
      <c r="DD413">
        <v>1</v>
      </c>
      <c r="DG413">
        <v>1</v>
      </c>
      <c r="DH413">
        <v>1</v>
      </c>
      <c r="DL413">
        <v>1</v>
      </c>
      <c r="DM413">
        <v>1</v>
      </c>
      <c r="DN413">
        <v>1</v>
      </c>
      <c r="DO413">
        <v>1</v>
      </c>
      <c r="DP413">
        <v>1</v>
      </c>
      <c r="DQ413">
        <v>1</v>
      </c>
      <c r="DR413">
        <v>1</v>
      </c>
      <c r="DU413">
        <v>1</v>
      </c>
      <c r="DV413">
        <v>1</v>
      </c>
      <c r="DX413">
        <v>1</v>
      </c>
      <c r="DY413">
        <v>1</v>
      </c>
      <c r="DZ413">
        <v>1</v>
      </c>
      <c r="EA413">
        <v>1</v>
      </c>
      <c r="EB413">
        <v>1</v>
      </c>
      <c r="EC413">
        <v>1</v>
      </c>
      <c r="ED413">
        <v>1</v>
      </c>
      <c r="EE413">
        <v>1</v>
      </c>
      <c r="EH413">
        <v>1</v>
      </c>
      <c r="EI413">
        <v>1</v>
      </c>
      <c r="EJ413">
        <v>1</v>
      </c>
      <c r="EK413">
        <v>1</v>
      </c>
      <c r="EL413">
        <v>1</v>
      </c>
      <c r="ER413">
        <v>1</v>
      </c>
      <c r="ES413">
        <v>1</v>
      </c>
      <c r="EU413">
        <v>1</v>
      </c>
      <c r="EW413">
        <v>1</v>
      </c>
      <c r="EX413">
        <v>1</v>
      </c>
      <c r="EY413">
        <v>1</v>
      </c>
      <c r="FH413">
        <v>1</v>
      </c>
      <c r="FI413">
        <v>1</v>
      </c>
      <c r="FJ413">
        <v>1</v>
      </c>
      <c r="FK413">
        <v>1</v>
      </c>
      <c r="FL413">
        <v>1</v>
      </c>
      <c r="FV413" s="18">
        <f t="shared" si="598"/>
        <v>0.50075414781297134</v>
      </c>
    </row>
    <row r="414" spans="1:178" ht="14.25" customHeight="1" x14ac:dyDescent="0.25">
      <c r="A414" s="86" t="s">
        <v>273</v>
      </c>
      <c r="B414">
        <v>9</v>
      </c>
      <c r="C414">
        <v>25</v>
      </c>
      <c r="D414" s="25" t="s">
        <v>9</v>
      </c>
      <c r="E414" s="25" t="s">
        <v>197</v>
      </c>
      <c r="F414" s="8" t="s">
        <v>197</v>
      </c>
      <c r="G414" s="8" t="s">
        <v>201</v>
      </c>
      <c r="H414" s="25" t="s">
        <v>220</v>
      </c>
      <c r="CI414">
        <v>1</v>
      </c>
      <c r="FG414">
        <v>1</v>
      </c>
      <c r="FU414">
        <v>1</v>
      </c>
      <c r="FV414" s="18">
        <f t="shared" si="596"/>
        <v>1.8099547511312219E-2</v>
      </c>
    </row>
    <row r="415" spans="1:178" ht="14.25" customHeight="1" x14ac:dyDescent="0.25">
      <c r="A415" s="86" t="s">
        <v>273</v>
      </c>
      <c r="B415">
        <v>9</v>
      </c>
      <c r="C415">
        <v>25</v>
      </c>
      <c r="D415" s="25" t="s">
        <v>242</v>
      </c>
      <c r="E415" s="21" t="s">
        <v>15</v>
      </c>
      <c r="F415" s="8" t="s">
        <v>197</v>
      </c>
      <c r="G415" s="8" t="s">
        <v>201</v>
      </c>
      <c r="H415" s="24" t="s">
        <v>194</v>
      </c>
      <c r="I415">
        <v>1</v>
      </c>
      <c r="J415">
        <v>1</v>
      </c>
      <c r="N415">
        <v>1</v>
      </c>
      <c r="V415">
        <v>1</v>
      </c>
      <c r="W415">
        <v>1</v>
      </c>
      <c r="Y415">
        <v>1</v>
      </c>
      <c r="Z415">
        <v>1</v>
      </c>
      <c r="AI415">
        <v>1</v>
      </c>
      <c r="AK415">
        <v>1</v>
      </c>
      <c r="AL415">
        <v>1</v>
      </c>
      <c r="AY415">
        <v>1</v>
      </c>
      <c r="FV415" s="18">
        <f t="shared" si="596"/>
        <v>5.128205128205128E-2</v>
      </c>
    </row>
    <row r="416" spans="1:178" ht="14.25" customHeight="1" x14ac:dyDescent="0.25">
      <c r="A416" s="86" t="s">
        <v>273</v>
      </c>
      <c r="B416">
        <v>9</v>
      </c>
      <c r="C416">
        <v>25</v>
      </c>
      <c r="D416" s="25" t="s">
        <v>242</v>
      </c>
      <c r="E416" s="21" t="s">
        <v>15</v>
      </c>
      <c r="F416" s="8" t="s">
        <v>197</v>
      </c>
      <c r="G416" s="8" t="s">
        <v>201</v>
      </c>
      <c r="H416" s="24" t="s">
        <v>195</v>
      </c>
      <c r="K416">
        <v>1</v>
      </c>
      <c r="L416">
        <v>1</v>
      </c>
      <c r="M416">
        <v>1</v>
      </c>
      <c r="X416">
        <v>1</v>
      </c>
      <c r="AM416">
        <v>1</v>
      </c>
      <c r="AZ416">
        <v>1</v>
      </c>
      <c r="BM416">
        <v>1</v>
      </c>
      <c r="CA416">
        <v>1</v>
      </c>
      <c r="CO416">
        <v>1</v>
      </c>
      <c r="DC416">
        <v>1</v>
      </c>
      <c r="FV416" s="18">
        <f t="shared" si="596"/>
        <v>3.6199095022624438E-2</v>
      </c>
    </row>
    <row r="417" spans="1:178" ht="14.25" customHeight="1" x14ac:dyDescent="0.25">
      <c r="A417" s="86" t="s">
        <v>273</v>
      </c>
      <c r="B417">
        <v>9</v>
      </c>
      <c r="C417">
        <v>25</v>
      </c>
      <c r="D417" s="25" t="s">
        <v>14</v>
      </c>
      <c r="E417" s="21" t="s">
        <v>15</v>
      </c>
      <c r="F417" s="8" t="s">
        <v>197</v>
      </c>
      <c r="G417" s="8" t="s">
        <v>201</v>
      </c>
      <c r="H417" s="24" t="s">
        <v>194</v>
      </c>
      <c r="I417">
        <v>1</v>
      </c>
      <c r="J417">
        <v>1</v>
      </c>
      <c r="N417">
        <v>1</v>
      </c>
      <c r="V417">
        <v>1</v>
      </c>
      <c r="W417">
        <v>1</v>
      </c>
      <c r="Y417">
        <v>1</v>
      </c>
      <c r="Z417">
        <v>1</v>
      </c>
      <c r="AI417">
        <v>1</v>
      </c>
      <c r="AK417">
        <v>1</v>
      </c>
      <c r="AL417">
        <v>1</v>
      </c>
      <c r="AY417">
        <v>1</v>
      </c>
      <c r="FV417" s="18">
        <f t="shared" ref="FV417:FV418" si="599">SUMPRODUCT(I417:FU417,$I$1:$FU$1)/(SUM($I$1:$FU$1))</f>
        <v>5.128205128205128E-2</v>
      </c>
    </row>
    <row r="418" spans="1:178" ht="14.25" customHeight="1" x14ac:dyDescent="0.25">
      <c r="A418" s="86" t="s">
        <v>273</v>
      </c>
      <c r="B418">
        <v>9</v>
      </c>
      <c r="C418">
        <v>25</v>
      </c>
      <c r="D418" s="25" t="s">
        <v>14</v>
      </c>
      <c r="E418" s="21" t="s">
        <v>15</v>
      </c>
      <c r="F418" s="8" t="s">
        <v>197</v>
      </c>
      <c r="G418" s="8" t="s">
        <v>201</v>
      </c>
      <c r="H418" s="24" t="s">
        <v>195</v>
      </c>
      <c r="K418">
        <v>1</v>
      </c>
      <c r="L418">
        <v>1</v>
      </c>
      <c r="M418">
        <v>1</v>
      </c>
      <c r="X418">
        <v>1</v>
      </c>
      <c r="AM418">
        <v>1</v>
      </c>
      <c r="AZ418">
        <v>1</v>
      </c>
      <c r="BM418">
        <v>1</v>
      </c>
      <c r="CA418">
        <v>1</v>
      </c>
      <c r="CO418">
        <v>1</v>
      </c>
      <c r="DC418">
        <v>1</v>
      </c>
      <c r="FV418" s="18">
        <f t="shared" si="599"/>
        <v>3.6199095022624438E-2</v>
      </c>
    </row>
    <row r="419" spans="1:178" ht="14.25" customHeight="1" x14ac:dyDescent="0.25">
      <c r="A419" s="86" t="s">
        <v>273</v>
      </c>
      <c r="B419">
        <v>9</v>
      </c>
      <c r="C419">
        <v>25</v>
      </c>
      <c r="D419" s="25" t="s">
        <v>13</v>
      </c>
      <c r="E419" s="21" t="s">
        <v>15</v>
      </c>
      <c r="F419" s="8" t="s">
        <v>197</v>
      </c>
      <c r="G419" s="8" t="s">
        <v>201</v>
      </c>
      <c r="H419" s="24" t="s">
        <v>194</v>
      </c>
      <c r="I419">
        <v>1</v>
      </c>
      <c r="J419">
        <v>1</v>
      </c>
      <c r="W419">
        <v>1</v>
      </c>
      <c r="AA419">
        <v>1</v>
      </c>
      <c r="AK419">
        <v>1</v>
      </c>
      <c r="AY419">
        <v>1</v>
      </c>
      <c r="BI419">
        <v>1</v>
      </c>
      <c r="BM419">
        <v>1</v>
      </c>
      <c r="FV419" s="18">
        <f t="shared" si="596"/>
        <v>3.7707390648567117E-2</v>
      </c>
    </row>
    <row r="420" spans="1:178" ht="14.25" customHeight="1" x14ac:dyDescent="0.25">
      <c r="A420" s="86" t="s">
        <v>273</v>
      </c>
      <c r="B420">
        <v>9</v>
      </c>
      <c r="C420">
        <v>25</v>
      </c>
      <c r="D420" s="25" t="s">
        <v>13</v>
      </c>
      <c r="E420" s="21" t="s">
        <v>15</v>
      </c>
      <c r="F420" s="8" t="s">
        <v>197</v>
      </c>
      <c r="G420" s="8" t="s">
        <v>201</v>
      </c>
      <c r="H420" s="24" t="s">
        <v>195</v>
      </c>
      <c r="K420">
        <v>1</v>
      </c>
      <c r="L420">
        <v>1</v>
      </c>
      <c r="M420">
        <v>1</v>
      </c>
      <c r="N420">
        <v>1</v>
      </c>
      <c r="O420">
        <v>1</v>
      </c>
      <c r="R420">
        <v>1</v>
      </c>
      <c r="Y420">
        <v>1</v>
      </c>
      <c r="Z420">
        <v>1</v>
      </c>
      <c r="AI420">
        <v>1</v>
      </c>
      <c r="AJ420">
        <v>1</v>
      </c>
      <c r="AL420">
        <v>1</v>
      </c>
      <c r="AM420">
        <v>1</v>
      </c>
      <c r="AV420">
        <v>1</v>
      </c>
      <c r="AZ420">
        <v>1</v>
      </c>
      <c r="BN420">
        <v>1</v>
      </c>
      <c r="CA420">
        <v>1</v>
      </c>
      <c r="CO420">
        <v>1</v>
      </c>
      <c r="DC420">
        <v>1</v>
      </c>
      <c r="DQ420">
        <v>1</v>
      </c>
      <c r="FV420" s="18">
        <f t="shared" si="596"/>
        <v>8.1447963800904979E-2</v>
      </c>
    </row>
    <row r="421" spans="1:178" ht="14.25" customHeight="1" x14ac:dyDescent="0.25">
      <c r="A421" s="86" t="s">
        <v>273</v>
      </c>
      <c r="B421">
        <v>9</v>
      </c>
      <c r="C421">
        <v>25</v>
      </c>
      <c r="D421" s="25" t="s">
        <v>13</v>
      </c>
      <c r="E421" s="21" t="s">
        <v>15</v>
      </c>
      <c r="F421" s="8" t="s">
        <v>197</v>
      </c>
      <c r="G421" s="8" t="s">
        <v>201</v>
      </c>
      <c r="H421" s="25" t="s">
        <v>220</v>
      </c>
      <c r="V421">
        <v>1</v>
      </c>
      <c r="X421">
        <v>1</v>
      </c>
      <c r="FV421" s="18">
        <f t="shared" si="596"/>
        <v>1.2066365007541479E-2</v>
      </c>
    </row>
    <row r="422" spans="1:178" ht="14.25" customHeight="1" x14ac:dyDescent="0.25">
      <c r="A422" s="86" t="s">
        <v>273</v>
      </c>
      <c r="B422">
        <v>9</v>
      </c>
      <c r="C422">
        <v>25</v>
      </c>
      <c r="D422" s="25" t="s">
        <v>12</v>
      </c>
      <c r="E422" s="21" t="s">
        <v>15</v>
      </c>
      <c r="F422" s="8" t="s">
        <v>197</v>
      </c>
      <c r="G422" s="8" t="s">
        <v>201</v>
      </c>
      <c r="H422" s="24" t="s">
        <v>194</v>
      </c>
      <c r="I422">
        <v>1</v>
      </c>
      <c r="J422">
        <v>1</v>
      </c>
      <c r="W422">
        <v>1</v>
      </c>
      <c r="AA422">
        <v>1</v>
      </c>
      <c r="AK422">
        <v>1</v>
      </c>
      <c r="AY422">
        <v>1</v>
      </c>
      <c r="BI422">
        <v>1</v>
      </c>
      <c r="BM422">
        <v>1</v>
      </c>
      <c r="FV422" s="18">
        <f t="shared" ref="FV422:FV424" si="600">SUMPRODUCT(I422:FU422,$I$1:$FU$1)/(SUM($I$1:$FU$1))</f>
        <v>3.7707390648567117E-2</v>
      </c>
    </row>
    <row r="423" spans="1:178" ht="14.25" customHeight="1" x14ac:dyDescent="0.25">
      <c r="A423" s="86" t="s">
        <v>273</v>
      </c>
      <c r="B423">
        <v>9</v>
      </c>
      <c r="C423">
        <v>25</v>
      </c>
      <c r="D423" s="25" t="s">
        <v>12</v>
      </c>
      <c r="E423" s="21" t="s">
        <v>15</v>
      </c>
      <c r="F423" s="8" t="s">
        <v>197</v>
      </c>
      <c r="G423" s="8" t="s">
        <v>201</v>
      </c>
      <c r="H423" s="24" t="s">
        <v>195</v>
      </c>
      <c r="K423">
        <v>1</v>
      </c>
      <c r="L423">
        <v>1</v>
      </c>
      <c r="M423">
        <v>1</v>
      </c>
      <c r="N423">
        <v>1</v>
      </c>
      <c r="O423">
        <v>1</v>
      </c>
      <c r="R423">
        <v>1</v>
      </c>
      <c r="Y423">
        <v>1</v>
      </c>
      <c r="Z423">
        <v>1</v>
      </c>
      <c r="AI423">
        <v>1</v>
      </c>
      <c r="AJ423">
        <v>1</v>
      </c>
      <c r="AL423">
        <v>1</v>
      </c>
      <c r="AM423">
        <v>1</v>
      </c>
      <c r="AV423">
        <v>1</v>
      </c>
      <c r="AZ423">
        <v>1</v>
      </c>
      <c r="BN423">
        <v>1</v>
      </c>
      <c r="CA423">
        <v>1</v>
      </c>
      <c r="CO423">
        <v>1</v>
      </c>
      <c r="DC423">
        <v>1</v>
      </c>
      <c r="DQ423">
        <v>1</v>
      </c>
      <c r="FV423" s="18">
        <f t="shared" si="600"/>
        <v>8.1447963800904979E-2</v>
      </c>
    </row>
    <row r="424" spans="1:178" ht="14.25" customHeight="1" x14ac:dyDescent="0.25">
      <c r="A424" s="86" t="s">
        <v>273</v>
      </c>
      <c r="B424">
        <v>9</v>
      </c>
      <c r="C424">
        <v>25</v>
      </c>
      <c r="D424" s="25" t="s">
        <v>12</v>
      </c>
      <c r="E424" s="21" t="s">
        <v>15</v>
      </c>
      <c r="F424" s="8" t="s">
        <v>197</v>
      </c>
      <c r="G424" s="8" t="s">
        <v>201</v>
      </c>
      <c r="H424" s="25" t="s">
        <v>220</v>
      </c>
      <c r="V424">
        <v>1</v>
      </c>
      <c r="X424">
        <v>1</v>
      </c>
      <c r="FV424" s="18">
        <f t="shared" si="600"/>
        <v>1.2066365007541479E-2</v>
      </c>
    </row>
    <row r="425" spans="1:178" ht="14.25" customHeight="1" x14ac:dyDescent="0.25">
      <c r="A425" s="86" t="s">
        <v>273</v>
      </c>
      <c r="B425">
        <v>9</v>
      </c>
      <c r="C425">
        <v>25</v>
      </c>
      <c r="D425" s="25" t="s">
        <v>11</v>
      </c>
      <c r="E425" s="21" t="s">
        <v>15</v>
      </c>
      <c r="F425" s="8" t="s">
        <v>197</v>
      </c>
      <c r="G425" s="8" t="s">
        <v>201</v>
      </c>
      <c r="H425" s="24" t="s">
        <v>194</v>
      </c>
      <c r="I425">
        <v>1</v>
      </c>
      <c r="J425">
        <v>1</v>
      </c>
      <c r="P425">
        <v>1</v>
      </c>
      <c r="V425">
        <v>1</v>
      </c>
      <c r="W425">
        <v>1</v>
      </c>
      <c r="AK425">
        <v>1</v>
      </c>
      <c r="AN425">
        <v>1</v>
      </c>
      <c r="BI425">
        <v>1</v>
      </c>
      <c r="FV425" s="18">
        <f t="shared" ref="FV425:FV427" si="601">SUMPRODUCT(I425:FU425,$I$1:$FU$1)/(SUM($I$1:$FU$1))</f>
        <v>4.072398190045249E-2</v>
      </c>
    </row>
    <row r="426" spans="1:178" ht="14.25" customHeight="1" x14ac:dyDescent="0.25">
      <c r="A426" s="86" t="s">
        <v>273</v>
      </c>
      <c r="B426">
        <v>9</v>
      </c>
      <c r="C426">
        <v>25</v>
      </c>
      <c r="D426" s="25" t="s">
        <v>11</v>
      </c>
      <c r="E426" s="21" t="s">
        <v>15</v>
      </c>
      <c r="F426" s="8" t="s">
        <v>197</v>
      </c>
      <c r="G426" s="8" t="s">
        <v>201</v>
      </c>
      <c r="H426" s="24" t="s">
        <v>195</v>
      </c>
      <c r="K426">
        <v>1</v>
      </c>
      <c r="L426">
        <v>1</v>
      </c>
      <c r="M426">
        <v>1</v>
      </c>
      <c r="N426">
        <v>1</v>
      </c>
      <c r="O426">
        <v>1</v>
      </c>
      <c r="R426">
        <v>1</v>
      </c>
      <c r="S426">
        <v>1</v>
      </c>
      <c r="X426">
        <v>1</v>
      </c>
      <c r="Y426">
        <v>1</v>
      </c>
      <c r="Z426">
        <v>1</v>
      </c>
      <c r="AA426">
        <v>1</v>
      </c>
      <c r="AI426">
        <v>1</v>
      </c>
      <c r="AJ426">
        <v>1</v>
      </c>
      <c r="AM426">
        <v>1</v>
      </c>
      <c r="AV426">
        <v>1</v>
      </c>
      <c r="AZ426">
        <v>1</v>
      </c>
      <c r="BA426">
        <v>1</v>
      </c>
      <c r="BN426">
        <v>1</v>
      </c>
      <c r="CA426">
        <v>1</v>
      </c>
      <c r="CB426">
        <v>1</v>
      </c>
      <c r="CO426">
        <v>1</v>
      </c>
      <c r="DC426">
        <v>1</v>
      </c>
      <c r="DQ426">
        <v>1</v>
      </c>
      <c r="EE426">
        <v>1</v>
      </c>
      <c r="FV426" s="18">
        <f t="shared" si="601"/>
        <v>9.8039215686274508E-2</v>
      </c>
    </row>
    <row r="427" spans="1:178" ht="14.25" customHeight="1" x14ac:dyDescent="0.25">
      <c r="A427" s="86" t="s">
        <v>273</v>
      </c>
      <c r="B427">
        <v>9</v>
      </c>
      <c r="C427">
        <v>25</v>
      </c>
      <c r="D427" s="25" t="s">
        <v>11</v>
      </c>
      <c r="E427" s="21" t="s">
        <v>15</v>
      </c>
      <c r="F427" s="8" t="s">
        <v>197</v>
      </c>
      <c r="G427" s="8" t="s">
        <v>201</v>
      </c>
      <c r="H427" s="25" t="s">
        <v>220</v>
      </c>
      <c r="AL427">
        <v>1</v>
      </c>
      <c r="AY427">
        <v>1</v>
      </c>
      <c r="BM427">
        <v>1</v>
      </c>
      <c r="FV427" s="18">
        <f t="shared" si="601"/>
        <v>1.2066365007541479E-2</v>
      </c>
    </row>
    <row r="428" spans="1:178" ht="14.25" customHeight="1" x14ac:dyDescent="0.25">
      <c r="A428" s="86" t="s">
        <v>273</v>
      </c>
      <c r="B428">
        <v>9</v>
      </c>
      <c r="C428">
        <v>25</v>
      </c>
      <c r="D428" s="25" t="s">
        <v>10</v>
      </c>
      <c r="E428" s="21" t="s">
        <v>15</v>
      </c>
      <c r="F428" s="8" t="s">
        <v>197</v>
      </c>
      <c r="G428" s="8" t="s">
        <v>201</v>
      </c>
      <c r="H428" s="24" t="s">
        <v>194</v>
      </c>
      <c r="J428">
        <v>1</v>
      </c>
      <c r="P428">
        <v>1</v>
      </c>
      <c r="W428">
        <v>1</v>
      </c>
      <c r="AB428">
        <v>1</v>
      </c>
      <c r="AK428">
        <v>1</v>
      </c>
      <c r="AY428">
        <v>1</v>
      </c>
      <c r="BI428">
        <v>1</v>
      </c>
      <c r="BM428">
        <v>1</v>
      </c>
      <c r="FV428" s="18">
        <f t="shared" si="596"/>
        <v>3.6199095022624438E-2</v>
      </c>
    </row>
    <row r="429" spans="1:178" ht="14.25" customHeight="1" x14ac:dyDescent="0.25">
      <c r="A429" s="86" t="s">
        <v>273</v>
      </c>
      <c r="B429">
        <v>9</v>
      </c>
      <c r="C429">
        <v>25</v>
      </c>
      <c r="D429" s="25" t="s">
        <v>10</v>
      </c>
      <c r="E429" s="21" t="s">
        <v>15</v>
      </c>
      <c r="F429" s="8" t="s">
        <v>197</v>
      </c>
      <c r="G429" s="8" t="s">
        <v>201</v>
      </c>
      <c r="H429" s="24" t="s">
        <v>195</v>
      </c>
      <c r="I429">
        <v>1</v>
      </c>
      <c r="K429">
        <v>1</v>
      </c>
      <c r="L429">
        <v>1</v>
      </c>
      <c r="M429">
        <v>1</v>
      </c>
      <c r="N429">
        <v>1</v>
      </c>
      <c r="O429">
        <v>1</v>
      </c>
      <c r="Q429">
        <v>1</v>
      </c>
      <c r="R429">
        <v>1</v>
      </c>
      <c r="S429">
        <v>1</v>
      </c>
      <c r="T429">
        <v>1</v>
      </c>
      <c r="X429">
        <v>1</v>
      </c>
      <c r="Y429">
        <v>1</v>
      </c>
      <c r="Z429">
        <v>1</v>
      </c>
      <c r="AA429">
        <v>1</v>
      </c>
      <c r="AI429">
        <v>1</v>
      </c>
      <c r="AJ429">
        <v>1</v>
      </c>
      <c r="AM429">
        <v>1</v>
      </c>
      <c r="AN429">
        <v>1</v>
      </c>
      <c r="AV429">
        <v>1</v>
      </c>
      <c r="AW429">
        <v>1</v>
      </c>
      <c r="AZ429">
        <v>1</v>
      </c>
      <c r="BA429">
        <v>1</v>
      </c>
      <c r="BN429">
        <v>1</v>
      </c>
      <c r="BO429">
        <v>1</v>
      </c>
      <c r="CA429">
        <v>1</v>
      </c>
      <c r="CB429">
        <v>1</v>
      </c>
      <c r="CO429">
        <v>1</v>
      </c>
      <c r="CP429">
        <v>1</v>
      </c>
      <c r="DC429">
        <v>1</v>
      </c>
      <c r="DD429">
        <v>1</v>
      </c>
      <c r="DQ429">
        <v>1</v>
      </c>
      <c r="DR429">
        <v>1</v>
      </c>
      <c r="EE429">
        <v>1</v>
      </c>
      <c r="ES429">
        <v>1</v>
      </c>
      <c r="FG429">
        <v>1</v>
      </c>
      <c r="FU429">
        <v>1</v>
      </c>
      <c r="FV429" s="18">
        <f t="shared" si="596"/>
        <v>0.14630467571644043</v>
      </c>
    </row>
    <row r="430" spans="1:178" ht="14.25" customHeight="1" x14ac:dyDescent="0.25">
      <c r="A430" s="86" t="s">
        <v>273</v>
      </c>
      <c r="B430">
        <v>9</v>
      </c>
      <c r="C430">
        <v>25</v>
      </c>
      <c r="D430" s="25" t="s">
        <v>10</v>
      </c>
      <c r="E430" s="21" t="s">
        <v>15</v>
      </c>
      <c r="F430" s="8" t="s">
        <v>197</v>
      </c>
      <c r="G430" s="8" t="s">
        <v>201</v>
      </c>
      <c r="H430" s="25" t="s">
        <v>220</v>
      </c>
      <c r="V430">
        <v>1</v>
      </c>
      <c r="AL430">
        <v>1</v>
      </c>
      <c r="FV430" s="18">
        <f t="shared" si="596"/>
        <v>1.2066365007541479E-2</v>
      </c>
    </row>
    <row r="431" spans="1:178" ht="14.25" customHeight="1" x14ac:dyDescent="0.25">
      <c r="A431" s="86" t="s">
        <v>273</v>
      </c>
      <c r="B431">
        <v>9</v>
      </c>
      <c r="C431">
        <v>25</v>
      </c>
      <c r="D431" s="25" t="s">
        <v>9</v>
      </c>
      <c r="E431" s="21" t="s">
        <v>15</v>
      </c>
      <c r="F431" s="8" t="s">
        <v>197</v>
      </c>
      <c r="G431" s="8" t="s">
        <v>201</v>
      </c>
      <c r="H431" s="24" t="s">
        <v>194</v>
      </c>
      <c r="I431">
        <v>1</v>
      </c>
      <c r="J431">
        <v>1</v>
      </c>
      <c r="K431">
        <v>1</v>
      </c>
      <c r="R431">
        <v>1</v>
      </c>
      <c r="W431">
        <v>1</v>
      </c>
      <c r="AA431">
        <v>1</v>
      </c>
      <c r="AK431">
        <v>1</v>
      </c>
      <c r="AV431">
        <v>1</v>
      </c>
      <c r="AY431">
        <v>1</v>
      </c>
      <c r="BI431">
        <v>1</v>
      </c>
      <c r="FV431" s="18">
        <f t="shared" si="596"/>
        <v>4.8265460030165915E-2</v>
      </c>
    </row>
    <row r="432" spans="1:178" ht="14.25" customHeight="1" x14ac:dyDescent="0.25">
      <c r="A432" s="86" t="s">
        <v>273</v>
      </c>
      <c r="B432">
        <v>9</v>
      </c>
      <c r="C432">
        <v>25</v>
      </c>
      <c r="D432" s="25" t="s">
        <v>9</v>
      </c>
      <c r="E432" s="21" t="s">
        <v>15</v>
      </c>
      <c r="F432" s="8" t="s">
        <v>197</v>
      </c>
      <c r="G432" s="8" t="s">
        <v>201</v>
      </c>
      <c r="H432" s="24" t="s">
        <v>195</v>
      </c>
      <c r="L432">
        <v>1</v>
      </c>
      <c r="M432">
        <v>1</v>
      </c>
      <c r="N432">
        <v>1</v>
      </c>
      <c r="O432">
        <v>1</v>
      </c>
      <c r="P432">
        <v>1</v>
      </c>
      <c r="Q432">
        <v>1</v>
      </c>
      <c r="S432">
        <v>1</v>
      </c>
      <c r="T432">
        <v>1</v>
      </c>
      <c r="U432">
        <v>1</v>
      </c>
      <c r="X432">
        <v>1</v>
      </c>
      <c r="AB432">
        <v>1</v>
      </c>
      <c r="AC432">
        <v>1</v>
      </c>
      <c r="AD432">
        <v>1</v>
      </c>
      <c r="AE432">
        <v>1</v>
      </c>
      <c r="AJ432">
        <v>1</v>
      </c>
      <c r="AM432">
        <v>1</v>
      </c>
      <c r="AN432">
        <v>1</v>
      </c>
      <c r="AO432">
        <v>1</v>
      </c>
      <c r="AW432">
        <v>1</v>
      </c>
      <c r="AX432">
        <v>1</v>
      </c>
      <c r="AZ432">
        <v>1</v>
      </c>
      <c r="BA432">
        <v>1</v>
      </c>
      <c r="BB432">
        <v>1</v>
      </c>
      <c r="BN432">
        <v>1</v>
      </c>
      <c r="BO432">
        <v>1</v>
      </c>
      <c r="CB432">
        <v>1</v>
      </c>
      <c r="CC432">
        <v>1</v>
      </c>
      <c r="CO432">
        <v>1</v>
      </c>
      <c r="CP432">
        <v>1</v>
      </c>
      <c r="DC432">
        <v>1</v>
      </c>
      <c r="DD432">
        <v>1</v>
      </c>
      <c r="DQ432">
        <v>1</v>
      </c>
      <c r="DR432">
        <v>1</v>
      </c>
      <c r="EE432">
        <v>1</v>
      </c>
      <c r="EF432">
        <v>1</v>
      </c>
      <c r="ES432">
        <v>1</v>
      </c>
      <c r="FG432">
        <v>1</v>
      </c>
      <c r="FU432">
        <v>1</v>
      </c>
      <c r="FV432" s="18">
        <f t="shared" si="596"/>
        <v>0.14328808446455504</v>
      </c>
    </row>
    <row r="433" spans="1:178" ht="14.25" customHeight="1" x14ac:dyDescent="0.25">
      <c r="A433" s="86" t="s">
        <v>273</v>
      </c>
      <c r="B433">
        <v>9</v>
      </c>
      <c r="C433">
        <v>25</v>
      </c>
      <c r="D433" s="25" t="s">
        <v>9</v>
      </c>
      <c r="E433" s="21" t="s">
        <v>15</v>
      </c>
      <c r="F433" s="8" t="s">
        <v>197</v>
      </c>
      <c r="G433" s="8" t="s">
        <v>201</v>
      </c>
      <c r="H433" s="25" t="s">
        <v>220</v>
      </c>
      <c r="V433">
        <v>1</v>
      </c>
      <c r="Y433">
        <v>1</v>
      </c>
      <c r="Z433">
        <v>1</v>
      </c>
      <c r="AI433">
        <v>1</v>
      </c>
      <c r="AL433">
        <v>1</v>
      </c>
      <c r="BM433">
        <v>1</v>
      </c>
      <c r="CA433">
        <v>1</v>
      </c>
      <c r="FV433" s="18">
        <f t="shared" ref="FV433:FV501" si="602">SUMPRODUCT(I433:FU433,$I$1:$FU$1)/(SUM($I$1:$FU$1))</f>
        <v>3.6199095022624438E-2</v>
      </c>
    </row>
    <row r="434" spans="1:178" ht="14.25" customHeight="1" x14ac:dyDescent="0.25">
      <c r="A434" s="86" t="s">
        <v>273</v>
      </c>
      <c r="B434">
        <v>9</v>
      </c>
      <c r="C434">
        <v>25</v>
      </c>
      <c r="D434" s="25" t="s">
        <v>8</v>
      </c>
      <c r="E434" s="21" t="s">
        <v>15</v>
      </c>
      <c r="F434" s="8" t="s">
        <v>197</v>
      </c>
      <c r="G434" s="8" t="s">
        <v>201</v>
      </c>
      <c r="H434" s="24" t="s">
        <v>194</v>
      </c>
      <c r="I434">
        <v>1</v>
      </c>
      <c r="J434">
        <v>1</v>
      </c>
      <c r="W434">
        <v>1</v>
      </c>
      <c r="AK434">
        <v>1</v>
      </c>
      <c r="AX434">
        <v>1</v>
      </c>
      <c r="CA434">
        <v>1</v>
      </c>
      <c r="DV434">
        <v>1</v>
      </c>
      <c r="EE434">
        <v>1</v>
      </c>
      <c r="FV434" s="18">
        <f t="shared" si="602"/>
        <v>4.3740573152337855E-2</v>
      </c>
    </row>
    <row r="435" spans="1:178" ht="14.25" customHeight="1" x14ac:dyDescent="0.25">
      <c r="A435" s="86" t="s">
        <v>273</v>
      </c>
      <c r="B435">
        <v>9</v>
      </c>
      <c r="C435">
        <v>25</v>
      </c>
      <c r="D435" s="25" t="s">
        <v>8</v>
      </c>
      <c r="E435" s="21" t="s">
        <v>15</v>
      </c>
      <c r="F435" s="8" t="s">
        <v>197</v>
      </c>
      <c r="G435" s="8" t="s">
        <v>201</v>
      </c>
      <c r="H435" s="24" t="s">
        <v>195</v>
      </c>
      <c r="K435">
        <v>1</v>
      </c>
      <c r="L435">
        <v>1</v>
      </c>
      <c r="M435">
        <v>1</v>
      </c>
      <c r="N435">
        <v>1</v>
      </c>
      <c r="O435">
        <v>1</v>
      </c>
      <c r="P435">
        <v>1</v>
      </c>
      <c r="Q435">
        <v>1</v>
      </c>
      <c r="S435">
        <v>1</v>
      </c>
      <c r="T435">
        <v>1</v>
      </c>
      <c r="U435">
        <v>1</v>
      </c>
      <c r="X435">
        <v>1</v>
      </c>
      <c r="Y435">
        <v>1</v>
      </c>
      <c r="Z435">
        <v>1</v>
      </c>
      <c r="AA435">
        <v>1</v>
      </c>
      <c r="AB435">
        <v>1</v>
      </c>
      <c r="AC435">
        <v>1</v>
      </c>
      <c r="AD435">
        <v>1</v>
      </c>
      <c r="AE435">
        <v>1</v>
      </c>
      <c r="AF435">
        <v>1</v>
      </c>
      <c r="AG435">
        <v>1</v>
      </c>
      <c r="AH435">
        <v>1</v>
      </c>
      <c r="AI435">
        <v>1</v>
      </c>
      <c r="AJ435">
        <v>1</v>
      </c>
      <c r="AM435">
        <v>1</v>
      </c>
      <c r="AN435">
        <v>1</v>
      </c>
      <c r="AO435">
        <v>1</v>
      </c>
      <c r="AP435">
        <v>1</v>
      </c>
      <c r="AQ435">
        <v>1</v>
      </c>
      <c r="AR435">
        <v>1</v>
      </c>
      <c r="AS435">
        <v>1</v>
      </c>
      <c r="AT435">
        <v>1</v>
      </c>
      <c r="AU435">
        <v>1</v>
      </c>
      <c r="AV435">
        <v>1</v>
      </c>
      <c r="AW435">
        <v>1</v>
      </c>
      <c r="AZ435">
        <v>1</v>
      </c>
      <c r="BA435">
        <v>1</v>
      </c>
      <c r="BB435">
        <v>1</v>
      </c>
      <c r="BC435">
        <v>1</v>
      </c>
      <c r="BD435">
        <v>1</v>
      </c>
      <c r="BE435">
        <v>1</v>
      </c>
      <c r="BF435">
        <v>1</v>
      </c>
      <c r="BG435">
        <v>1</v>
      </c>
      <c r="BH435">
        <v>1</v>
      </c>
      <c r="BI435">
        <v>1</v>
      </c>
      <c r="BJ435">
        <v>1</v>
      </c>
      <c r="BK435">
        <v>1</v>
      </c>
      <c r="BL435">
        <v>1</v>
      </c>
      <c r="BN435">
        <v>1</v>
      </c>
      <c r="BO435">
        <v>1</v>
      </c>
      <c r="BP435">
        <v>1</v>
      </c>
      <c r="BQ435">
        <v>1</v>
      </c>
      <c r="BR435">
        <v>1</v>
      </c>
      <c r="BS435">
        <v>1</v>
      </c>
      <c r="BT435">
        <v>1</v>
      </c>
      <c r="BU435">
        <v>1</v>
      </c>
      <c r="BV435">
        <v>1</v>
      </c>
      <c r="BW435">
        <v>1</v>
      </c>
      <c r="BX435">
        <v>1</v>
      </c>
      <c r="BY435">
        <v>1</v>
      </c>
      <c r="BZ435">
        <v>1</v>
      </c>
      <c r="CB435">
        <v>1</v>
      </c>
      <c r="CC435">
        <v>1</v>
      </c>
      <c r="CD435">
        <v>1</v>
      </c>
      <c r="CE435">
        <v>1</v>
      </c>
      <c r="CF435">
        <v>1</v>
      </c>
      <c r="CG435">
        <v>1</v>
      </c>
      <c r="CH435">
        <v>1</v>
      </c>
      <c r="CI435">
        <v>1</v>
      </c>
      <c r="CJ435">
        <v>1</v>
      </c>
      <c r="CK435">
        <v>1</v>
      </c>
      <c r="CL435">
        <v>1</v>
      </c>
      <c r="CM435">
        <v>1</v>
      </c>
      <c r="CN435">
        <v>1</v>
      </c>
      <c r="CO435">
        <v>1</v>
      </c>
      <c r="CP435">
        <v>1</v>
      </c>
      <c r="CQ435">
        <v>1</v>
      </c>
      <c r="CR435">
        <v>1</v>
      </c>
      <c r="CS435">
        <v>1</v>
      </c>
      <c r="CT435">
        <v>1</v>
      </c>
      <c r="CU435">
        <v>1</v>
      </c>
      <c r="CV435">
        <v>1</v>
      </c>
      <c r="CW435">
        <v>1</v>
      </c>
      <c r="CX435">
        <v>1</v>
      </c>
      <c r="CY435">
        <v>1</v>
      </c>
      <c r="CZ435">
        <v>1</v>
      </c>
      <c r="DA435">
        <v>1</v>
      </c>
      <c r="DB435">
        <v>1</v>
      </c>
      <c r="DC435">
        <v>1</v>
      </c>
      <c r="DD435">
        <v>1</v>
      </c>
      <c r="DE435">
        <v>1</v>
      </c>
      <c r="DF435">
        <v>1</v>
      </c>
      <c r="DG435">
        <v>1</v>
      </c>
      <c r="DH435">
        <v>1</v>
      </c>
      <c r="DI435">
        <v>1</v>
      </c>
      <c r="DJ435">
        <v>1</v>
      </c>
      <c r="DK435">
        <v>1</v>
      </c>
      <c r="DN435">
        <v>1</v>
      </c>
      <c r="DO435">
        <v>1</v>
      </c>
      <c r="DP435">
        <v>1</v>
      </c>
      <c r="DQ435">
        <v>1</v>
      </c>
      <c r="DR435">
        <v>1</v>
      </c>
      <c r="DS435">
        <v>1</v>
      </c>
      <c r="DT435">
        <v>1</v>
      </c>
      <c r="DU435">
        <v>1</v>
      </c>
      <c r="DW435">
        <v>1</v>
      </c>
      <c r="DX435">
        <v>1</v>
      </c>
      <c r="EC435">
        <v>1</v>
      </c>
      <c r="ED435">
        <v>1</v>
      </c>
      <c r="EF435">
        <v>1</v>
      </c>
      <c r="EG435">
        <v>1</v>
      </c>
      <c r="EH435">
        <v>1</v>
      </c>
      <c r="EI435">
        <v>1</v>
      </c>
      <c r="EJ435">
        <v>1</v>
      </c>
      <c r="EQ435">
        <v>1</v>
      </c>
      <c r="ER435">
        <v>1</v>
      </c>
      <c r="ES435">
        <v>1</v>
      </c>
      <c r="ET435">
        <v>1</v>
      </c>
      <c r="EU435">
        <v>1</v>
      </c>
      <c r="EV435">
        <v>1</v>
      </c>
      <c r="EW435">
        <v>1</v>
      </c>
      <c r="FE435">
        <v>1</v>
      </c>
      <c r="FF435">
        <v>1</v>
      </c>
      <c r="FG435">
        <v>1</v>
      </c>
      <c r="FH435">
        <v>1</v>
      </c>
      <c r="FI435">
        <v>1</v>
      </c>
      <c r="FU435">
        <v>1</v>
      </c>
      <c r="FV435" s="18">
        <f t="shared" si="602"/>
        <v>0.66063348416289591</v>
      </c>
    </row>
    <row r="436" spans="1:178" ht="14.25" customHeight="1" x14ac:dyDescent="0.25">
      <c r="A436" s="86" t="s">
        <v>273</v>
      </c>
      <c r="B436">
        <v>9</v>
      </c>
      <c r="C436">
        <v>25</v>
      </c>
      <c r="D436" s="25" t="s">
        <v>8</v>
      </c>
      <c r="E436" s="21" t="s">
        <v>15</v>
      </c>
      <c r="F436" s="8" t="s">
        <v>197</v>
      </c>
      <c r="G436" s="8" t="s">
        <v>201</v>
      </c>
      <c r="H436" s="25" t="s">
        <v>220</v>
      </c>
      <c r="R436">
        <v>1</v>
      </c>
      <c r="V436">
        <v>1</v>
      </c>
      <c r="AL436">
        <v>1</v>
      </c>
      <c r="AY436">
        <v>1</v>
      </c>
      <c r="BM436">
        <v>1</v>
      </c>
      <c r="FV436" s="18">
        <f t="shared" si="602"/>
        <v>2.4132730015082957E-2</v>
      </c>
    </row>
    <row r="437" spans="1:178" ht="14.25" customHeight="1" x14ac:dyDescent="0.25">
      <c r="A437" s="86" t="s">
        <v>273</v>
      </c>
      <c r="B437">
        <v>9</v>
      </c>
      <c r="C437">
        <v>25</v>
      </c>
      <c r="D437" s="25" t="s">
        <v>12</v>
      </c>
      <c r="E437" s="25" t="s">
        <v>13</v>
      </c>
      <c r="F437" s="8" t="s">
        <v>197</v>
      </c>
      <c r="G437" s="8" t="s">
        <v>201</v>
      </c>
      <c r="H437" s="24" t="s">
        <v>194</v>
      </c>
      <c r="J437">
        <v>1</v>
      </c>
      <c r="K437">
        <v>1</v>
      </c>
      <c r="P437">
        <v>1</v>
      </c>
      <c r="W437">
        <v>1</v>
      </c>
      <c r="AA437">
        <v>1</v>
      </c>
      <c r="AI437">
        <v>1</v>
      </c>
      <c r="AK437">
        <v>1</v>
      </c>
      <c r="AY437">
        <v>1</v>
      </c>
      <c r="BI437">
        <v>1</v>
      </c>
      <c r="FV437" s="18">
        <f t="shared" si="602"/>
        <v>4.3740573152337855E-2</v>
      </c>
    </row>
    <row r="438" spans="1:178" ht="14.25" customHeight="1" x14ac:dyDescent="0.25">
      <c r="A438" s="86" t="s">
        <v>273</v>
      </c>
      <c r="B438">
        <v>9</v>
      </c>
      <c r="C438">
        <v>25</v>
      </c>
      <c r="D438" s="25" t="s">
        <v>12</v>
      </c>
      <c r="E438" s="25" t="s">
        <v>13</v>
      </c>
      <c r="F438" s="8" t="s">
        <v>197</v>
      </c>
      <c r="G438" s="8" t="s">
        <v>201</v>
      </c>
      <c r="H438" s="24" t="s">
        <v>195</v>
      </c>
      <c r="I438">
        <v>1</v>
      </c>
      <c r="L438">
        <v>1</v>
      </c>
      <c r="M438">
        <v>1</v>
      </c>
      <c r="N438">
        <v>1</v>
      </c>
      <c r="O438">
        <v>1</v>
      </c>
      <c r="R438">
        <v>1</v>
      </c>
      <c r="X438">
        <v>1</v>
      </c>
      <c r="Y438">
        <v>1</v>
      </c>
      <c r="Z438">
        <v>1</v>
      </c>
      <c r="AJ438">
        <v>1</v>
      </c>
      <c r="AM438">
        <v>1</v>
      </c>
      <c r="AV438">
        <v>1</v>
      </c>
      <c r="AZ438">
        <v>1</v>
      </c>
      <c r="BN438">
        <v>1</v>
      </c>
      <c r="CA438">
        <v>1</v>
      </c>
      <c r="CO438">
        <v>1</v>
      </c>
      <c r="DC438">
        <v>1</v>
      </c>
      <c r="DQ438">
        <v>1</v>
      </c>
      <c r="FV438" s="18">
        <f t="shared" si="602"/>
        <v>7.3906485671191555E-2</v>
      </c>
    </row>
    <row r="439" spans="1:178" ht="14.25" customHeight="1" x14ac:dyDescent="0.25">
      <c r="A439" s="86" t="s">
        <v>273</v>
      </c>
      <c r="B439">
        <v>9</v>
      </c>
      <c r="C439">
        <v>25</v>
      </c>
      <c r="D439" s="25" t="s">
        <v>12</v>
      </c>
      <c r="E439" s="25" t="s">
        <v>13</v>
      </c>
      <c r="F439" s="8" t="s">
        <v>197</v>
      </c>
      <c r="G439" s="8" t="s">
        <v>201</v>
      </c>
      <c r="H439" s="25" t="s">
        <v>220</v>
      </c>
      <c r="V439">
        <v>1</v>
      </c>
      <c r="AL439">
        <v>1</v>
      </c>
      <c r="BM439">
        <v>1</v>
      </c>
      <c r="FV439" s="18">
        <f t="shared" si="602"/>
        <v>1.6591251885369532E-2</v>
      </c>
    </row>
    <row r="440" spans="1:178" ht="14.25" customHeight="1" x14ac:dyDescent="0.25">
      <c r="A440" s="86" t="s">
        <v>273</v>
      </c>
      <c r="B440">
        <v>9</v>
      </c>
      <c r="C440">
        <v>25</v>
      </c>
      <c r="D440" s="25" t="s">
        <v>11</v>
      </c>
      <c r="E440" s="25" t="s">
        <v>13</v>
      </c>
      <c r="F440" s="8" t="s">
        <v>197</v>
      </c>
      <c r="G440" s="8" t="s">
        <v>201</v>
      </c>
      <c r="H440" s="24" t="s">
        <v>194</v>
      </c>
      <c r="J440">
        <v>1</v>
      </c>
      <c r="K440">
        <v>1</v>
      </c>
      <c r="Q440">
        <v>1</v>
      </c>
      <c r="W440">
        <v>1</v>
      </c>
      <c r="AA440">
        <v>1</v>
      </c>
      <c r="AK440">
        <v>1</v>
      </c>
      <c r="AN440">
        <v>1</v>
      </c>
      <c r="AY440">
        <v>1</v>
      </c>
      <c r="BI440">
        <v>1</v>
      </c>
      <c r="FV440" s="18">
        <f t="shared" si="602"/>
        <v>3.7707390648567117E-2</v>
      </c>
    </row>
    <row r="441" spans="1:178" ht="14.25" customHeight="1" x14ac:dyDescent="0.25">
      <c r="A441" s="86" t="s">
        <v>273</v>
      </c>
      <c r="B441">
        <v>9</v>
      </c>
      <c r="C441">
        <v>25</v>
      </c>
      <c r="D441" s="25" t="s">
        <v>11</v>
      </c>
      <c r="E441" s="25" t="s">
        <v>13</v>
      </c>
      <c r="F441" s="8" t="s">
        <v>197</v>
      </c>
      <c r="G441" s="8" t="s">
        <v>201</v>
      </c>
      <c r="H441" s="24" t="s">
        <v>195</v>
      </c>
      <c r="I441">
        <v>1</v>
      </c>
      <c r="L441">
        <v>1</v>
      </c>
      <c r="M441">
        <v>1</v>
      </c>
      <c r="N441">
        <v>1</v>
      </c>
      <c r="O441">
        <v>1</v>
      </c>
      <c r="P441">
        <v>1</v>
      </c>
      <c r="R441">
        <v>1</v>
      </c>
      <c r="S441">
        <v>1</v>
      </c>
      <c r="T441">
        <v>1</v>
      </c>
      <c r="X441">
        <v>1</v>
      </c>
      <c r="Z441">
        <v>1</v>
      </c>
      <c r="AB441">
        <v>1</v>
      </c>
      <c r="AJ441">
        <v>1</v>
      </c>
      <c r="AM441">
        <v>1</v>
      </c>
      <c r="AV441">
        <v>1</v>
      </c>
      <c r="AW441">
        <v>1</v>
      </c>
      <c r="AZ441">
        <v>1</v>
      </c>
      <c r="BA441">
        <v>1</v>
      </c>
      <c r="BN441">
        <v>1</v>
      </c>
      <c r="CA441">
        <v>1</v>
      </c>
      <c r="CO441">
        <v>1</v>
      </c>
      <c r="DC441">
        <v>1</v>
      </c>
      <c r="DQ441">
        <v>1</v>
      </c>
      <c r="EE441">
        <v>1</v>
      </c>
      <c r="FV441" s="18">
        <f t="shared" si="602"/>
        <v>9.9547511312217188E-2</v>
      </c>
    </row>
    <row r="442" spans="1:178" ht="14.25" customHeight="1" x14ac:dyDescent="0.25">
      <c r="A442" s="86" t="s">
        <v>273</v>
      </c>
      <c r="B442">
        <v>9</v>
      </c>
      <c r="C442">
        <v>25</v>
      </c>
      <c r="D442" s="25" t="s">
        <v>11</v>
      </c>
      <c r="E442" s="25" t="s">
        <v>13</v>
      </c>
      <c r="F442" s="8" t="s">
        <v>197</v>
      </c>
      <c r="G442" s="8" t="s">
        <v>201</v>
      </c>
      <c r="H442" s="25" t="s">
        <v>220</v>
      </c>
      <c r="V442">
        <v>1</v>
      </c>
      <c r="Y442">
        <v>1</v>
      </c>
      <c r="AI442">
        <v>1</v>
      </c>
      <c r="AL442">
        <v>1</v>
      </c>
      <c r="BM442">
        <v>1</v>
      </c>
      <c r="FV442" s="18">
        <f t="shared" si="602"/>
        <v>2.8657616892911009E-2</v>
      </c>
    </row>
    <row r="443" spans="1:178" ht="14.25" customHeight="1" x14ac:dyDescent="0.25">
      <c r="A443" s="86" t="s">
        <v>273</v>
      </c>
      <c r="B443">
        <v>9</v>
      </c>
      <c r="C443">
        <v>25</v>
      </c>
      <c r="D443" s="25" t="s">
        <v>10</v>
      </c>
      <c r="E443" s="25" t="s">
        <v>13</v>
      </c>
      <c r="F443" s="8" t="s">
        <v>197</v>
      </c>
      <c r="G443" s="8" t="s">
        <v>201</v>
      </c>
      <c r="H443" s="24" t="s">
        <v>194</v>
      </c>
      <c r="I443">
        <v>1</v>
      </c>
      <c r="J443">
        <v>1</v>
      </c>
      <c r="W443">
        <v>1</v>
      </c>
      <c r="AC443">
        <v>1</v>
      </c>
      <c r="AK443">
        <v>1</v>
      </c>
      <c r="AO443">
        <v>1</v>
      </c>
      <c r="AY443">
        <v>1</v>
      </c>
      <c r="BV443">
        <v>1</v>
      </c>
      <c r="FV443" s="18">
        <f t="shared" si="602"/>
        <v>3.6199095022624438E-2</v>
      </c>
    </row>
    <row r="444" spans="1:178" ht="14.25" customHeight="1" x14ac:dyDescent="0.25">
      <c r="A444" s="86" t="s">
        <v>273</v>
      </c>
      <c r="B444">
        <v>9</v>
      </c>
      <c r="C444">
        <v>25</v>
      </c>
      <c r="D444" s="25" t="s">
        <v>10</v>
      </c>
      <c r="E444" s="25" t="s">
        <v>13</v>
      </c>
      <c r="F444" s="8" t="s">
        <v>197</v>
      </c>
      <c r="G444" s="8" t="s">
        <v>201</v>
      </c>
      <c r="H444" s="24" t="s">
        <v>195</v>
      </c>
      <c r="K444">
        <v>1</v>
      </c>
      <c r="L444">
        <v>1</v>
      </c>
      <c r="M444">
        <v>1</v>
      </c>
      <c r="N444">
        <v>1</v>
      </c>
      <c r="O444">
        <v>1</v>
      </c>
      <c r="P444">
        <v>1</v>
      </c>
      <c r="Q444">
        <v>1</v>
      </c>
      <c r="R444">
        <v>1</v>
      </c>
      <c r="T444">
        <v>1</v>
      </c>
      <c r="U444">
        <v>1</v>
      </c>
      <c r="X444">
        <v>1</v>
      </c>
      <c r="Z444">
        <v>1</v>
      </c>
      <c r="AA444">
        <v>1</v>
      </c>
      <c r="AB444">
        <v>1</v>
      </c>
      <c r="AJ444">
        <v>1</v>
      </c>
      <c r="AM444">
        <v>1</v>
      </c>
      <c r="AN444">
        <v>1</v>
      </c>
      <c r="AV444">
        <v>1</v>
      </c>
      <c r="AW444">
        <v>1</v>
      </c>
      <c r="AX444">
        <v>1</v>
      </c>
      <c r="AZ444">
        <v>1</v>
      </c>
      <c r="BA444">
        <v>1</v>
      </c>
      <c r="BI444">
        <v>1</v>
      </c>
      <c r="BN444">
        <v>1</v>
      </c>
      <c r="BO444">
        <v>1</v>
      </c>
      <c r="CB444">
        <v>1</v>
      </c>
      <c r="CO444">
        <v>1</v>
      </c>
      <c r="CP444">
        <v>1</v>
      </c>
      <c r="DC444">
        <v>1</v>
      </c>
      <c r="DD444">
        <v>1</v>
      </c>
      <c r="DQ444">
        <v>1</v>
      </c>
      <c r="EE444">
        <v>1</v>
      </c>
      <c r="ES444">
        <v>1</v>
      </c>
      <c r="FV444" s="18">
        <f t="shared" si="602"/>
        <v>0.13725490196078433</v>
      </c>
    </row>
    <row r="445" spans="1:178" ht="14.25" customHeight="1" x14ac:dyDescent="0.25">
      <c r="A445" s="86" t="s">
        <v>273</v>
      </c>
      <c r="B445">
        <v>9</v>
      </c>
      <c r="C445">
        <v>25</v>
      </c>
      <c r="D445" s="25" t="s">
        <v>10</v>
      </c>
      <c r="E445" s="25" t="s">
        <v>13</v>
      </c>
      <c r="F445" s="8" t="s">
        <v>197</v>
      </c>
      <c r="G445" s="8" t="s">
        <v>201</v>
      </c>
      <c r="H445" s="25" t="s">
        <v>220</v>
      </c>
      <c r="S445">
        <v>1</v>
      </c>
      <c r="V445">
        <v>1</v>
      </c>
      <c r="Y445">
        <v>1</v>
      </c>
      <c r="AI445">
        <v>1</v>
      </c>
      <c r="AL445">
        <v>1</v>
      </c>
      <c r="BM445">
        <v>1</v>
      </c>
      <c r="CA445">
        <v>1</v>
      </c>
      <c r="FV445" s="18">
        <f t="shared" si="602"/>
        <v>3.6199095022624438E-2</v>
      </c>
    </row>
    <row r="446" spans="1:178" ht="14.25" customHeight="1" x14ac:dyDescent="0.25">
      <c r="A446" s="86" t="s">
        <v>273</v>
      </c>
      <c r="B446">
        <v>9</v>
      </c>
      <c r="C446">
        <v>25</v>
      </c>
      <c r="D446" s="25" t="s">
        <v>9</v>
      </c>
      <c r="E446" s="25" t="s">
        <v>13</v>
      </c>
      <c r="F446" s="8" t="s">
        <v>197</v>
      </c>
      <c r="G446" s="8" t="s">
        <v>201</v>
      </c>
      <c r="H446" s="24" t="s">
        <v>194</v>
      </c>
      <c r="I446">
        <v>1</v>
      </c>
      <c r="J446">
        <v>1</v>
      </c>
      <c r="K446">
        <v>1</v>
      </c>
      <c r="L446">
        <v>1</v>
      </c>
      <c r="Q446">
        <v>1</v>
      </c>
      <c r="U446">
        <v>1</v>
      </c>
      <c r="W446">
        <v>1</v>
      </c>
      <c r="AD446">
        <v>1</v>
      </c>
      <c r="AJ446">
        <v>1</v>
      </c>
      <c r="AK446">
        <v>1</v>
      </c>
      <c r="BV446">
        <v>1</v>
      </c>
      <c r="FV446" s="18">
        <f t="shared" si="602"/>
        <v>4.9773755656108594E-2</v>
      </c>
    </row>
    <row r="447" spans="1:178" ht="14.25" customHeight="1" x14ac:dyDescent="0.25">
      <c r="A447" s="86" t="s">
        <v>273</v>
      </c>
      <c r="B447">
        <v>9</v>
      </c>
      <c r="C447">
        <v>25</v>
      </c>
      <c r="D447" s="25" t="s">
        <v>9</v>
      </c>
      <c r="E447" s="25" t="s">
        <v>13</v>
      </c>
      <c r="F447" s="8" t="s">
        <v>197</v>
      </c>
      <c r="G447" s="8" t="s">
        <v>201</v>
      </c>
      <c r="H447" s="24" t="s">
        <v>195</v>
      </c>
      <c r="M447">
        <v>1</v>
      </c>
      <c r="N447">
        <v>1</v>
      </c>
      <c r="O447">
        <v>1</v>
      </c>
      <c r="P447">
        <v>1</v>
      </c>
      <c r="R447">
        <v>1</v>
      </c>
      <c r="S447">
        <v>1</v>
      </c>
      <c r="T447">
        <v>1</v>
      </c>
      <c r="X447">
        <v>1</v>
      </c>
      <c r="AA447">
        <v>1</v>
      </c>
      <c r="AB447">
        <v>1</v>
      </c>
      <c r="AC447">
        <v>1</v>
      </c>
      <c r="AN447">
        <v>1</v>
      </c>
      <c r="AO447">
        <v>1</v>
      </c>
      <c r="AW447">
        <v>1</v>
      </c>
      <c r="AX447">
        <v>1</v>
      </c>
      <c r="AZ447">
        <v>1</v>
      </c>
      <c r="BA447">
        <v>1</v>
      </c>
      <c r="BB447">
        <v>1</v>
      </c>
      <c r="BI447">
        <v>1</v>
      </c>
      <c r="BJ447">
        <v>1</v>
      </c>
      <c r="BN447">
        <v>1</v>
      </c>
      <c r="BO447">
        <v>1</v>
      </c>
      <c r="CB447">
        <v>1</v>
      </c>
      <c r="CC447">
        <v>1</v>
      </c>
      <c r="CP447">
        <v>1</v>
      </c>
      <c r="DD447">
        <v>1</v>
      </c>
      <c r="DQ447">
        <v>1</v>
      </c>
      <c r="DR447">
        <v>1</v>
      </c>
      <c r="EE447">
        <v>1</v>
      </c>
      <c r="EF447">
        <v>1</v>
      </c>
      <c r="FG447">
        <v>1</v>
      </c>
      <c r="FU447">
        <v>1</v>
      </c>
      <c r="FV447" s="18">
        <f t="shared" si="602"/>
        <v>0.12669683257918551</v>
      </c>
    </row>
    <row r="448" spans="1:178" ht="14.25" customHeight="1" x14ac:dyDescent="0.25">
      <c r="A448" s="86" t="s">
        <v>273</v>
      </c>
      <c r="B448">
        <v>9</v>
      </c>
      <c r="C448">
        <v>25</v>
      </c>
      <c r="D448" s="25" t="s">
        <v>9</v>
      </c>
      <c r="E448" s="25" t="s">
        <v>13</v>
      </c>
      <c r="F448" s="8" t="s">
        <v>197</v>
      </c>
      <c r="G448" s="8" t="s">
        <v>201</v>
      </c>
      <c r="H448" s="25" t="s">
        <v>220</v>
      </c>
      <c r="V448">
        <v>1</v>
      </c>
      <c r="Y448">
        <v>1</v>
      </c>
      <c r="Z448">
        <v>1</v>
      </c>
      <c r="AI448">
        <v>1</v>
      </c>
      <c r="AL448">
        <v>1</v>
      </c>
      <c r="AM448">
        <v>1</v>
      </c>
      <c r="AV448">
        <v>1</v>
      </c>
      <c r="AY448">
        <v>1</v>
      </c>
      <c r="BM448">
        <v>1</v>
      </c>
      <c r="CA448">
        <v>1</v>
      </c>
      <c r="CO448">
        <v>1</v>
      </c>
      <c r="DC448">
        <v>1</v>
      </c>
      <c r="ES448">
        <v>1</v>
      </c>
      <c r="FV448" s="18">
        <f t="shared" si="602"/>
        <v>6.636500754147813E-2</v>
      </c>
    </row>
    <row r="449" spans="1:178" ht="14.25" customHeight="1" x14ac:dyDescent="0.25">
      <c r="A449" s="86" t="s">
        <v>273</v>
      </c>
      <c r="B449">
        <v>9</v>
      </c>
      <c r="C449">
        <v>25</v>
      </c>
      <c r="D449" s="25" t="s">
        <v>8</v>
      </c>
      <c r="E449" s="25" t="s">
        <v>13</v>
      </c>
      <c r="F449" s="8" t="s">
        <v>197</v>
      </c>
      <c r="G449" s="8" t="s">
        <v>201</v>
      </c>
      <c r="H449" s="24" t="s">
        <v>194</v>
      </c>
      <c r="I449">
        <v>1</v>
      </c>
      <c r="J449">
        <v>1</v>
      </c>
      <c r="K449">
        <v>1</v>
      </c>
      <c r="W449">
        <v>1</v>
      </c>
      <c r="AK449">
        <v>1</v>
      </c>
      <c r="AY449">
        <v>1</v>
      </c>
      <c r="AZ449">
        <v>1</v>
      </c>
      <c r="BW449">
        <v>1</v>
      </c>
      <c r="BX449">
        <v>1</v>
      </c>
      <c r="EE449">
        <v>1</v>
      </c>
      <c r="FV449" s="18">
        <f t="shared" si="602"/>
        <v>4.9773755656108594E-2</v>
      </c>
    </row>
    <row r="450" spans="1:178" ht="14.25" customHeight="1" x14ac:dyDescent="0.25">
      <c r="A450" s="86" t="s">
        <v>273</v>
      </c>
      <c r="B450">
        <v>9</v>
      </c>
      <c r="C450">
        <v>25</v>
      </c>
      <c r="D450" s="25" t="s">
        <v>8</v>
      </c>
      <c r="E450" s="25" t="s">
        <v>13</v>
      </c>
      <c r="F450" s="8" t="s">
        <v>197</v>
      </c>
      <c r="G450" s="8" t="s">
        <v>201</v>
      </c>
      <c r="H450" s="24" t="s">
        <v>195</v>
      </c>
      <c r="L450">
        <v>1</v>
      </c>
      <c r="M450">
        <v>1</v>
      </c>
      <c r="N450">
        <v>1</v>
      </c>
      <c r="O450">
        <v>1</v>
      </c>
      <c r="P450">
        <v>1</v>
      </c>
      <c r="Q450">
        <v>1</v>
      </c>
      <c r="R450">
        <v>1</v>
      </c>
      <c r="S450">
        <v>1</v>
      </c>
      <c r="T450">
        <v>1</v>
      </c>
      <c r="U450">
        <v>1</v>
      </c>
      <c r="X450">
        <v>1</v>
      </c>
      <c r="Y450">
        <v>1</v>
      </c>
      <c r="Z450">
        <v>1</v>
      </c>
      <c r="AB450">
        <v>1</v>
      </c>
      <c r="AC450">
        <v>1</v>
      </c>
      <c r="AD450">
        <v>1</v>
      </c>
      <c r="AE450">
        <v>1</v>
      </c>
      <c r="AF450">
        <v>1</v>
      </c>
      <c r="AG450">
        <v>1</v>
      </c>
      <c r="AH450">
        <v>1</v>
      </c>
      <c r="AJ450">
        <v>1</v>
      </c>
      <c r="AL450">
        <v>1</v>
      </c>
      <c r="AM450">
        <v>1</v>
      </c>
      <c r="AN450">
        <v>1</v>
      </c>
      <c r="AO450">
        <v>1</v>
      </c>
      <c r="AP450">
        <v>1</v>
      </c>
      <c r="AQ450">
        <v>1</v>
      </c>
      <c r="AR450">
        <v>1</v>
      </c>
      <c r="AS450">
        <v>1</v>
      </c>
      <c r="AT450">
        <v>1</v>
      </c>
      <c r="AU450">
        <v>1</v>
      </c>
      <c r="AV450">
        <v>1</v>
      </c>
      <c r="AW450">
        <v>1</v>
      </c>
      <c r="AX450">
        <v>1</v>
      </c>
      <c r="BA450">
        <v>1</v>
      </c>
      <c r="BB450">
        <v>1</v>
      </c>
      <c r="BC450">
        <v>1</v>
      </c>
      <c r="BD450">
        <v>1</v>
      </c>
      <c r="BE450">
        <v>1</v>
      </c>
      <c r="BF450">
        <v>1</v>
      </c>
      <c r="BG450">
        <v>1</v>
      </c>
      <c r="BH450">
        <v>1</v>
      </c>
      <c r="BI450">
        <v>1</v>
      </c>
      <c r="BJ450">
        <v>1</v>
      </c>
      <c r="BK450">
        <v>1</v>
      </c>
      <c r="BL450">
        <v>1</v>
      </c>
      <c r="BN450">
        <v>1</v>
      </c>
      <c r="BO450">
        <v>1</v>
      </c>
      <c r="BP450">
        <v>1</v>
      </c>
      <c r="BQ450">
        <v>1</v>
      </c>
      <c r="BR450">
        <v>1</v>
      </c>
      <c r="BS450">
        <v>1</v>
      </c>
      <c r="BT450">
        <v>1</v>
      </c>
      <c r="BU450">
        <v>1</v>
      </c>
      <c r="BV450">
        <v>1</v>
      </c>
      <c r="BY450">
        <v>1</v>
      </c>
      <c r="BZ450">
        <v>1</v>
      </c>
      <c r="CB450">
        <v>1</v>
      </c>
      <c r="CC450">
        <v>1</v>
      </c>
      <c r="CD450">
        <v>1</v>
      </c>
      <c r="CE450">
        <v>1</v>
      </c>
      <c r="CF450">
        <v>1</v>
      </c>
      <c r="CG450">
        <v>1</v>
      </c>
      <c r="CH450">
        <v>1</v>
      </c>
      <c r="CI450">
        <v>1</v>
      </c>
      <c r="CJ450">
        <v>1</v>
      </c>
      <c r="CK450">
        <v>1</v>
      </c>
      <c r="CL450">
        <v>1</v>
      </c>
      <c r="CM450">
        <v>1</v>
      </c>
      <c r="CN450">
        <v>1</v>
      </c>
      <c r="CP450">
        <v>1</v>
      </c>
      <c r="CQ450">
        <v>1</v>
      </c>
      <c r="CR450">
        <v>1</v>
      </c>
      <c r="CS450">
        <v>1</v>
      </c>
      <c r="CT450">
        <v>1</v>
      </c>
      <c r="CU450">
        <v>1</v>
      </c>
      <c r="CV450">
        <v>1</v>
      </c>
      <c r="CW450">
        <v>1</v>
      </c>
      <c r="CX450">
        <v>1</v>
      </c>
      <c r="CY450">
        <v>1</v>
      </c>
      <c r="CZ450">
        <v>1</v>
      </c>
      <c r="DA450">
        <v>1</v>
      </c>
      <c r="DB450">
        <v>1</v>
      </c>
      <c r="DD450">
        <v>1</v>
      </c>
      <c r="DE450">
        <v>1</v>
      </c>
      <c r="DF450">
        <v>1</v>
      </c>
      <c r="DG450">
        <v>1</v>
      </c>
      <c r="DH450">
        <v>1</v>
      </c>
      <c r="DI450">
        <v>1</v>
      </c>
      <c r="DJ450">
        <v>1</v>
      </c>
      <c r="DK450">
        <v>1</v>
      </c>
      <c r="DL450">
        <v>1</v>
      </c>
      <c r="DN450">
        <v>1</v>
      </c>
      <c r="DO450">
        <v>1</v>
      </c>
      <c r="DP450">
        <v>1</v>
      </c>
      <c r="DQ450">
        <v>1</v>
      </c>
      <c r="DR450">
        <v>1</v>
      </c>
      <c r="DS450">
        <v>1</v>
      </c>
      <c r="DT450">
        <v>1</v>
      </c>
      <c r="DU450">
        <v>1</v>
      </c>
      <c r="DV450">
        <v>1</v>
      </c>
      <c r="DW450">
        <v>1</v>
      </c>
      <c r="DX450">
        <v>1</v>
      </c>
      <c r="EC450">
        <v>1</v>
      </c>
      <c r="ED450">
        <v>1</v>
      </c>
      <c r="EF450">
        <v>1</v>
      </c>
      <c r="EG450">
        <v>1</v>
      </c>
      <c r="EH450">
        <v>1</v>
      </c>
      <c r="EJ450">
        <v>1</v>
      </c>
      <c r="EK450">
        <v>1</v>
      </c>
      <c r="EQ450">
        <v>1</v>
      </c>
      <c r="ER450">
        <v>1</v>
      </c>
      <c r="ET450">
        <v>1</v>
      </c>
      <c r="EU450">
        <v>1</v>
      </c>
      <c r="EV450">
        <v>1</v>
      </c>
      <c r="EW450">
        <v>1</v>
      </c>
      <c r="EX450">
        <v>1</v>
      </c>
      <c r="FE450">
        <v>1</v>
      </c>
      <c r="FF450">
        <v>1</v>
      </c>
      <c r="FG450">
        <v>1</v>
      </c>
      <c r="FH450">
        <v>1</v>
      </c>
      <c r="FI450">
        <v>1</v>
      </c>
      <c r="FJ450">
        <v>1</v>
      </c>
      <c r="FU450">
        <v>1</v>
      </c>
      <c r="FV450" s="18">
        <f t="shared" si="602"/>
        <v>0.66214177978883859</v>
      </c>
    </row>
    <row r="451" spans="1:178" ht="14.25" customHeight="1" x14ac:dyDescent="0.25">
      <c r="A451" s="86" t="s">
        <v>273</v>
      </c>
      <c r="B451">
        <v>9</v>
      </c>
      <c r="C451">
        <v>25</v>
      </c>
      <c r="D451" s="25" t="s">
        <v>8</v>
      </c>
      <c r="E451" s="25" t="s">
        <v>13</v>
      </c>
      <c r="F451" s="8" t="s">
        <v>197</v>
      </c>
      <c r="G451" s="8" t="s">
        <v>201</v>
      </c>
      <c r="H451" s="25" t="s">
        <v>220</v>
      </c>
      <c r="V451">
        <v>1</v>
      </c>
      <c r="AA451">
        <v>1</v>
      </c>
      <c r="AI451">
        <v>1</v>
      </c>
      <c r="BM451">
        <v>1</v>
      </c>
      <c r="CA451">
        <v>1</v>
      </c>
      <c r="CO451">
        <v>1</v>
      </c>
      <c r="DC451">
        <v>1</v>
      </c>
      <c r="EI451">
        <v>1</v>
      </c>
      <c r="ES451">
        <v>1</v>
      </c>
      <c r="FV451" s="18">
        <f t="shared" si="602"/>
        <v>5.2790346907993967E-2</v>
      </c>
    </row>
    <row r="452" spans="1:178" ht="14.25" customHeight="1" x14ac:dyDescent="0.25">
      <c r="A452" s="86" t="s">
        <v>273</v>
      </c>
      <c r="B452">
        <v>9</v>
      </c>
      <c r="C452">
        <v>25</v>
      </c>
      <c r="D452" s="25" t="s">
        <v>11</v>
      </c>
      <c r="E452" s="25" t="s">
        <v>12</v>
      </c>
      <c r="F452" s="8" t="s">
        <v>197</v>
      </c>
      <c r="G452" s="8" t="s">
        <v>201</v>
      </c>
      <c r="H452" s="24" t="s">
        <v>194</v>
      </c>
      <c r="J452">
        <v>1</v>
      </c>
      <c r="K452">
        <v>1</v>
      </c>
      <c r="Q452">
        <v>1</v>
      </c>
      <c r="W452">
        <v>1</v>
      </c>
      <c r="AA452">
        <v>1</v>
      </c>
      <c r="AK452">
        <v>1</v>
      </c>
      <c r="AN452">
        <v>1</v>
      </c>
      <c r="AY452">
        <v>1</v>
      </c>
      <c r="BI452">
        <v>1</v>
      </c>
      <c r="FV452" s="18">
        <f t="shared" ref="FV452:FV463" si="603">SUMPRODUCT(I452:FU452,$I$1:$FU$1)/(SUM($I$1:$FU$1))</f>
        <v>3.7707390648567117E-2</v>
      </c>
    </row>
    <row r="453" spans="1:178" ht="14.25" customHeight="1" x14ac:dyDescent="0.25">
      <c r="A453" s="86" t="s">
        <v>273</v>
      </c>
      <c r="B453">
        <v>9</v>
      </c>
      <c r="C453">
        <v>25</v>
      </c>
      <c r="D453" s="25" t="s">
        <v>11</v>
      </c>
      <c r="E453" s="25" t="s">
        <v>12</v>
      </c>
      <c r="F453" s="8" t="s">
        <v>197</v>
      </c>
      <c r="G453" s="8" t="s">
        <v>201</v>
      </c>
      <c r="H453" s="24" t="s">
        <v>195</v>
      </c>
      <c r="I453">
        <v>1</v>
      </c>
      <c r="L453">
        <v>1</v>
      </c>
      <c r="M453">
        <v>1</v>
      </c>
      <c r="N453">
        <v>1</v>
      </c>
      <c r="O453">
        <v>1</v>
      </c>
      <c r="P453">
        <v>1</v>
      </c>
      <c r="R453">
        <v>1</v>
      </c>
      <c r="S453">
        <v>1</v>
      </c>
      <c r="T453">
        <v>1</v>
      </c>
      <c r="X453">
        <v>1</v>
      </c>
      <c r="Z453">
        <v>1</v>
      </c>
      <c r="AB453">
        <v>1</v>
      </c>
      <c r="AJ453">
        <v>1</v>
      </c>
      <c r="AM453">
        <v>1</v>
      </c>
      <c r="AV453">
        <v>1</v>
      </c>
      <c r="AW453">
        <v>1</v>
      </c>
      <c r="AZ453">
        <v>1</v>
      </c>
      <c r="BA453">
        <v>1</v>
      </c>
      <c r="BN453">
        <v>1</v>
      </c>
      <c r="CA453">
        <v>1</v>
      </c>
      <c r="CO453">
        <v>1</v>
      </c>
      <c r="DC453">
        <v>1</v>
      </c>
      <c r="DQ453">
        <v>1</v>
      </c>
      <c r="EE453">
        <v>1</v>
      </c>
      <c r="FV453" s="18">
        <f t="shared" si="603"/>
        <v>9.9547511312217188E-2</v>
      </c>
    </row>
    <row r="454" spans="1:178" ht="14.25" customHeight="1" x14ac:dyDescent="0.25">
      <c r="A454" s="86" t="s">
        <v>273</v>
      </c>
      <c r="B454">
        <v>9</v>
      </c>
      <c r="C454">
        <v>25</v>
      </c>
      <c r="D454" s="25" t="s">
        <v>11</v>
      </c>
      <c r="E454" s="25" t="s">
        <v>12</v>
      </c>
      <c r="F454" s="8" t="s">
        <v>197</v>
      </c>
      <c r="G454" s="8" t="s">
        <v>201</v>
      </c>
      <c r="H454" s="25" t="s">
        <v>220</v>
      </c>
      <c r="V454">
        <v>1</v>
      </c>
      <c r="Y454">
        <v>1</v>
      </c>
      <c r="AI454">
        <v>1</v>
      </c>
      <c r="AL454">
        <v>1</v>
      </c>
      <c r="BM454">
        <v>1</v>
      </c>
      <c r="FV454" s="18">
        <f t="shared" si="603"/>
        <v>2.8657616892911009E-2</v>
      </c>
    </row>
    <row r="455" spans="1:178" ht="14.25" customHeight="1" x14ac:dyDescent="0.25">
      <c r="A455" s="86" t="s">
        <v>273</v>
      </c>
      <c r="B455">
        <v>9</v>
      </c>
      <c r="C455">
        <v>25</v>
      </c>
      <c r="D455" s="25" t="s">
        <v>10</v>
      </c>
      <c r="E455" s="25" t="s">
        <v>12</v>
      </c>
      <c r="F455" s="8" t="s">
        <v>197</v>
      </c>
      <c r="G455" s="8" t="s">
        <v>201</v>
      </c>
      <c r="H455" s="24" t="s">
        <v>194</v>
      </c>
      <c r="I455">
        <v>1</v>
      </c>
      <c r="J455">
        <v>1</v>
      </c>
      <c r="W455">
        <v>1</v>
      </c>
      <c r="AC455">
        <v>1</v>
      </c>
      <c r="AK455">
        <v>1</v>
      </c>
      <c r="AO455">
        <v>1</v>
      </c>
      <c r="AY455">
        <v>1</v>
      </c>
      <c r="BV455">
        <v>1</v>
      </c>
      <c r="FV455" s="18">
        <f t="shared" si="603"/>
        <v>3.6199095022624438E-2</v>
      </c>
    </row>
    <row r="456" spans="1:178" ht="14.25" customHeight="1" x14ac:dyDescent="0.25">
      <c r="A456" s="86" t="s">
        <v>273</v>
      </c>
      <c r="B456">
        <v>9</v>
      </c>
      <c r="C456">
        <v>25</v>
      </c>
      <c r="D456" s="25" t="s">
        <v>10</v>
      </c>
      <c r="E456" s="25" t="s">
        <v>12</v>
      </c>
      <c r="F456" s="8" t="s">
        <v>197</v>
      </c>
      <c r="G456" s="8" t="s">
        <v>201</v>
      </c>
      <c r="H456" s="24" t="s">
        <v>195</v>
      </c>
      <c r="K456">
        <v>1</v>
      </c>
      <c r="L456">
        <v>1</v>
      </c>
      <c r="M456">
        <v>1</v>
      </c>
      <c r="N456">
        <v>1</v>
      </c>
      <c r="O456">
        <v>1</v>
      </c>
      <c r="P456">
        <v>1</v>
      </c>
      <c r="Q456">
        <v>1</v>
      </c>
      <c r="R456">
        <v>1</v>
      </c>
      <c r="T456">
        <v>1</v>
      </c>
      <c r="U456">
        <v>1</v>
      </c>
      <c r="X456">
        <v>1</v>
      </c>
      <c r="Z456">
        <v>1</v>
      </c>
      <c r="AA456">
        <v>1</v>
      </c>
      <c r="AB456">
        <v>1</v>
      </c>
      <c r="AJ456">
        <v>1</v>
      </c>
      <c r="AM456">
        <v>1</v>
      </c>
      <c r="AN456">
        <v>1</v>
      </c>
      <c r="AV456">
        <v>1</v>
      </c>
      <c r="AW456">
        <v>1</v>
      </c>
      <c r="AX456">
        <v>1</v>
      </c>
      <c r="AZ456">
        <v>1</v>
      </c>
      <c r="BA456">
        <v>1</v>
      </c>
      <c r="BI456">
        <v>1</v>
      </c>
      <c r="BN456">
        <v>1</v>
      </c>
      <c r="BO456">
        <v>1</v>
      </c>
      <c r="CB456">
        <v>1</v>
      </c>
      <c r="CO456">
        <v>1</v>
      </c>
      <c r="CP456">
        <v>1</v>
      </c>
      <c r="DC456">
        <v>1</v>
      </c>
      <c r="DD456">
        <v>1</v>
      </c>
      <c r="DQ456">
        <v>1</v>
      </c>
      <c r="EE456">
        <v>1</v>
      </c>
      <c r="ES456">
        <v>1</v>
      </c>
      <c r="FV456" s="18">
        <f t="shared" si="603"/>
        <v>0.13725490196078433</v>
      </c>
    </row>
    <row r="457" spans="1:178" ht="14.25" customHeight="1" x14ac:dyDescent="0.25">
      <c r="A457" s="86" t="s">
        <v>273</v>
      </c>
      <c r="B457">
        <v>9</v>
      </c>
      <c r="C457">
        <v>25</v>
      </c>
      <c r="D457" s="25" t="s">
        <v>10</v>
      </c>
      <c r="E457" s="25" t="s">
        <v>12</v>
      </c>
      <c r="F457" s="8" t="s">
        <v>197</v>
      </c>
      <c r="G457" s="8" t="s">
        <v>201</v>
      </c>
      <c r="H457" s="25" t="s">
        <v>220</v>
      </c>
      <c r="S457">
        <v>1</v>
      </c>
      <c r="V457">
        <v>1</v>
      </c>
      <c r="Y457">
        <v>1</v>
      </c>
      <c r="AI457">
        <v>1</v>
      </c>
      <c r="AL457">
        <v>1</v>
      </c>
      <c r="BM457">
        <v>1</v>
      </c>
      <c r="CA457">
        <v>1</v>
      </c>
      <c r="FV457" s="18">
        <f t="shared" si="603"/>
        <v>3.6199095022624438E-2</v>
      </c>
    </row>
    <row r="458" spans="1:178" ht="14.25" customHeight="1" x14ac:dyDescent="0.25">
      <c r="A458" s="86" t="s">
        <v>273</v>
      </c>
      <c r="B458">
        <v>9</v>
      </c>
      <c r="C458">
        <v>25</v>
      </c>
      <c r="D458" s="25" t="s">
        <v>9</v>
      </c>
      <c r="E458" s="25" t="s">
        <v>12</v>
      </c>
      <c r="F458" s="8" t="s">
        <v>197</v>
      </c>
      <c r="G458" s="8" t="s">
        <v>201</v>
      </c>
      <c r="H458" s="24" t="s">
        <v>194</v>
      </c>
      <c r="I458">
        <v>1</v>
      </c>
      <c r="J458">
        <v>1</v>
      </c>
      <c r="K458">
        <v>1</v>
      </c>
      <c r="L458">
        <v>1</v>
      </c>
      <c r="Q458">
        <v>1</v>
      </c>
      <c r="U458">
        <v>1</v>
      </c>
      <c r="W458">
        <v>1</v>
      </c>
      <c r="AD458">
        <v>1</v>
      </c>
      <c r="AJ458">
        <v>1</v>
      </c>
      <c r="AK458">
        <v>1</v>
      </c>
      <c r="BV458">
        <v>1</v>
      </c>
      <c r="FV458" s="18">
        <f t="shared" si="603"/>
        <v>4.9773755656108594E-2</v>
      </c>
    </row>
    <row r="459" spans="1:178" ht="14.25" customHeight="1" x14ac:dyDescent="0.25">
      <c r="A459" s="86" t="s">
        <v>273</v>
      </c>
      <c r="B459">
        <v>9</v>
      </c>
      <c r="C459">
        <v>25</v>
      </c>
      <c r="D459" s="25" t="s">
        <v>9</v>
      </c>
      <c r="E459" s="25" t="s">
        <v>12</v>
      </c>
      <c r="F459" s="8" t="s">
        <v>197</v>
      </c>
      <c r="G459" s="8" t="s">
        <v>201</v>
      </c>
      <c r="H459" s="24" t="s">
        <v>195</v>
      </c>
      <c r="M459">
        <v>1</v>
      </c>
      <c r="N459">
        <v>1</v>
      </c>
      <c r="O459">
        <v>1</v>
      </c>
      <c r="P459">
        <v>1</v>
      </c>
      <c r="R459">
        <v>1</v>
      </c>
      <c r="S459">
        <v>1</v>
      </c>
      <c r="T459">
        <v>1</v>
      </c>
      <c r="X459">
        <v>1</v>
      </c>
      <c r="AA459">
        <v>1</v>
      </c>
      <c r="AB459">
        <v>1</v>
      </c>
      <c r="AC459">
        <v>1</v>
      </c>
      <c r="AN459">
        <v>1</v>
      </c>
      <c r="AO459">
        <v>1</v>
      </c>
      <c r="AW459">
        <v>1</v>
      </c>
      <c r="AX459">
        <v>1</v>
      </c>
      <c r="AZ459">
        <v>1</v>
      </c>
      <c r="BA459">
        <v>1</v>
      </c>
      <c r="BB459">
        <v>1</v>
      </c>
      <c r="BI459">
        <v>1</v>
      </c>
      <c r="BJ459">
        <v>1</v>
      </c>
      <c r="BN459">
        <v>1</v>
      </c>
      <c r="BO459">
        <v>1</v>
      </c>
      <c r="CB459">
        <v>1</v>
      </c>
      <c r="CC459">
        <v>1</v>
      </c>
      <c r="CP459">
        <v>1</v>
      </c>
      <c r="DD459">
        <v>1</v>
      </c>
      <c r="DQ459">
        <v>1</v>
      </c>
      <c r="DR459">
        <v>1</v>
      </c>
      <c r="EE459">
        <v>1</v>
      </c>
      <c r="EF459">
        <v>1</v>
      </c>
      <c r="FG459">
        <v>1</v>
      </c>
      <c r="FU459">
        <v>1</v>
      </c>
      <c r="FV459" s="18">
        <f t="shared" si="603"/>
        <v>0.12669683257918551</v>
      </c>
    </row>
    <row r="460" spans="1:178" ht="14.25" customHeight="1" x14ac:dyDescent="0.25">
      <c r="A460" s="86" t="s">
        <v>273</v>
      </c>
      <c r="B460">
        <v>9</v>
      </c>
      <c r="C460">
        <v>25</v>
      </c>
      <c r="D460" s="25" t="s">
        <v>9</v>
      </c>
      <c r="E460" s="25" t="s">
        <v>12</v>
      </c>
      <c r="F460" s="8" t="s">
        <v>197</v>
      </c>
      <c r="G460" s="8" t="s">
        <v>201</v>
      </c>
      <c r="H460" s="25" t="s">
        <v>220</v>
      </c>
      <c r="V460">
        <v>1</v>
      </c>
      <c r="Y460">
        <v>1</v>
      </c>
      <c r="Z460">
        <v>1</v>
      </c>
      <c r="AI460">
        <v>1</v>
      </c>
      <c r="AL460">
        <v>1</v>
      </c>
      <c r="AM460">
        <v>1</v>
      </c>
      <c r="AV460">
        <v>1</v>
      </c>
      <c r="AY460">
        <v>1</v>
      </c>
      <c r="BM460">
        <v>1</v>
      </c>
      <c r="CA460">
        <v>1</v>
      </c>
      <c r="CO460">
        <v>1</v>
      </c>
      <c r="DC460">
        <v>1</v>
      </c>
      <c r="ES460">
        <v>1</v>
      </c>
      <c r="FV460" s="18">
        <f t="shared" si="603"/>
        <v>6.636500754147813E-2</v>
      </c>
    </row>
    <row r="461" spans="1:178" ht="14.25" customHeight="1" x14ac:dyDescent="0.25">
      <c r="A461" s="86" t="s">
        <v>273</v>
      </c>
      <c r="B461">
        <v>9</v>
      </c>
      <c r="C461">
        <v>25</v>
      </c>
      <c r="D461" s="25" t="s">
        <v>8</v>
      </c>
      <c r="E461" s="25" t="s">
        <v>12</v>
      </c>
      <c r="F461" s="8" t="s">
        <v>197</v>
      </c>
      <c r="G461" s="8" t="s">
        <v>201</v>
      </c>
      <c r="H461" s="24" t="s">
        <v>194</v>
      </c>
      <c r="I461">
        <v>1</v>
      </c>
      <c r="J461">
        <v>1</v>
      </c>
      <c r="K461">
        <v>1</v>
      </c>
      <c r="W461">
        <v>1</v>
      </c>
      <c r="AK461">
        <v>1</v>
      </c>
      <c r="AY461">
        <v>1</v>
      </c>
      <c r="AZ461">
        <v>1</v>
      </c>
      <c r="BW461">
        <v>1</v>
      </c>
      <c r="BX461">
        <v>1</v>
      </c>
      <c r="EE461">
        <v>1</v>
      </c>
      <c r="FV461" s="18">
        <f t="shared" si="603"/>
        <v>4.9773755656108594E-2</v>
      </c>
    </row>
    <row r="462" spans="1:178" ht="14.25" customHeight="1" x14ac:dyDescent="0.25">
      <c r="A462" s="86" t="s">
        <v>273</v>
      </c>
      <c r="B462">
        <v>9</v>
      </c>
      <c r="C462">
        <v>25</v>
      </c>
      <c r="D462" s="25" t="s">
        <v>8</v>
      </c>
      <c r="E462" s="25" t="s">
        <v>12</v>
      </c>
      <c r="F462" s="8" t="s">
        <v>197</v>
      </c>
      <c r="G462" s="8" t="s">
        <v>201</v>
      </c>
      <c r="H462" s="24" t="s">
        <v>195</v>
      </c>
      <c r="L462">
        <v>1</v>
      </c>
      <c r="M462">
        <v>1</v>
      </c>
      <c r="N462">
        <v>1</v>
      </c>
      <c r="O462">
        <v>1</v>
      </c>
      <c r="P462">
        <v>1</v>
      </c>
      <c r="Q462">
        <v>1</v>
      </c>
      <c r="R462">
        <v>1</v>
      </c>
      <c r="S462">
        <v>1</v>
      </c>
      <c r="T462">
        <v>1</v>
      </c>
      <c r="U462">
        <v>1</v>
      </c>
      <c r="X462">
        <v>1</v>
      </c>
      <c r="Y462">
        <v>1</v>
      </c>
      <c r="Z462">
        <v>1</v>
      </c>
      <c r="AB462">
        <v>1</v>
      </c>
      <c r="AC462">
        <v>1</v>
      </c>
      <c r="AD462">
        <v>1</v>
      </c>
      <c r="AE462">
        <v>1</v>
      </c>
      <c r="AF462">
        <v>1</v>
      </c>
      <c r="AG462">
        <v>1</v>
      </c>
      <c r="AH462">
        <v>1</v>
      </c>
      <c r="AJ462">
        <v>1</v>
      </c>
      <c r="AL462">
        <v>1</v>
      </c>
      <c r="AM462">
        <v>1</v>
      </c>
      <c r="AN462">
        <v>1</v>
      </c>
      <c r="AO462">
        <v>1</v>
      </c>
      <c r="AP462">
        <v>1</v>
      </c>
      <c r="AQ462">
        <v>1</v>
      </c>
      <c r="AR462">
        <v>1</v>
      </c>
      <c r="AS462">
        <v>1</v>
      </c>
      <c r="AT462">
        <v>1</v>
      </c>
      <c r="AU462">
        <v>1</v>
      </c>
      <c r="AV462">
        <v>1</v>
      </c>
      <c r="AW462">
        <v>1</v>
      </c>
      <c r="AX462">
        <v>1</v>
      </c>
      <c r="BA462">
        <v>1</v>
      </c>
      <c r="BB462">
        <v>1</v>
      </c>
      <c r="BC462">
        <v>1</v>
      </c>
      <c r="BD462">
        <v>1</v>
      </c>
      <c r="BE462">
        <v>1</v>
      </c>
      <c r="BF462">
        <v>1</v>
      </c>
      <c r="BG462">
        <v>1</v>
      </c>
      <c r="BH462">
        <v>1</v>
      </c>
      <c r="BI462">
        <v>1</v>
      </c>
      <c r="BJ462">
        <v>1</v>
      </c>
      <c r="BK462">
        <v>1</v>
      </c>
      <c r="BL462">
        <v>1</v>
      </c>
      <c r="BN462">
        <v>1</v>
      </c>
      <c r="BO462">
        <v>1</v>
      </c>
      <c r="BP462">
        <v>1</v>
      </c>
      <c r="BQ462">
        <v>1</v>
      </c>
      <c r="BR462">
        <v>1</v>
      </c>
      <c r="BS462">
        <v>1</v>
      </c>
      <c r="BT462">
        <v>1</v>
      </c>
      <c r="BU462">
        <v>1</v>
      </c>
      <c r="BV462">
        <v>1</v>
      </c>
      <c r="BY462">
        <v>1</v>
      </c>
      <c r="BZ462">
        <v>1</v>
      </c>
      <c r="CB462">
        <v>1</v>
      </c>
      <c r="CC462">
        <v>1</v>
      </c>
      <c r="CD462">
        <v>1</v>
      </c>
      <c r="CE462">
        <v>1</v>
      </c>
      <c r="CF462">
        <v>1</v>
      </c>
      <c r="CG462">
        <v>1</v>
      </c>
      <c r="CH462">
        <v>1</v>
      </c>
      <c r="CI462">
        <v>1</v>
      </c>
      <c r="CJ462">
        <v>1</v>
      </c>
      <c r="CK462">
        <v>1</v>
      </c>
      <c r="CL462">
        <v>1</v>
      </c>
      <c r="CM462">
        <v>1</v>
      </c>
      <c r="CN462">
        <v>1</v>
      </c>
      <c r="CP462">
        <v>1</v>
      </c>
      <c r="CQ462">
        <v>1</v>
      </c>
      <c r="CR462">
        <v>1</v>
      </c>
      <c r="CS462">
        <v>1</v>
      </c>
      <c r="CT462">
        <v>1</v>
      </c>
      <c r="CU462">
        <v>1</v>
      </c>
      <c r="CV462">
        <v>1</v>
      </c>
      <c r="CW462">
        <v>1</v>
      </c>
      <c r="CX462">
        <v>1</v>
      </c>
      <c r="CY462">
        <v>1</v>
      </c>
      <c r="CZ462">
        <v>1</v>
      </c>
      <c r="DA462">
        <v>1</v>
      </c>
      <c r="DB462">
        <v>1</v>
      </c>
      <c r="DD462">
        <v>1</v>
      </c>
      <c r="DE462">
        <v>1</v>
      </c>
      <c r="DF462">
        <v>1</v>
      </c>
      <c r="DG462">
        <v>1</v>
      </c>
      <c r="DH462">
        <v>1</v>
      </c>
      <c r="DI462">
        <v>1</v>
      </c>
      <c r="DJ462">
        <v>1</v>
      </c>
      <c r="DK462">
        <v>1</v>
      </c>
      <c r="DL462">
        <v>1</v>
      </c>
      <c r="DN462">
        <v>1</v>
      </c>
      <c r="DO462">
        <v>1</v>
      </c>
      <c r="DP462">
        <v>1</v>
      </c>
      <c r="DQ462">
        <v>1</v>
      </c>
      <c r="DR462">
        <v>1</v>
      </c>
      <c r="DS462">
        <v>1</v>
      </c>
      <c r="DT462">
        <v>1</v>
      </c>
      <c r="DU462">
        <v>1</v>
      </c>
      <c r="DV462">
        <v>1</v>
      </c>
      <c r="DW462">
        <v>1</v>
      </c>
      <c r="DX462">
        <v>1</v>
      </c>
      <c r="EC462">
        <v>1</v>
      </c>
      <c r="ED462">
        <v>1</v>
      </c>
      <c r="EF462">
        <v>1</v>
      </c>
      <c r="EG462">
        <v>1</v>
      </c>
      <c r="EH462">
        <v>1</v>
      </c>
      <c r="EJ462">
        <v>1</v>
      </c>
      <c r="EK462">
        <v>1</v>
      </c>
      <c r="EQ462">
        <v>1</v>
      </c>
      <c r="ER462">
        <v>1</v>
      </c>
      <c r="ET462">
        <v>1</v>
      </c>
      <c r="EU462">
        <v>1</v>
      </c>
      <c r="EV462">
        <v>1</v>
      </c>
      <c r="EW462">
        <v>1</v>
      </c>
      <c r="EX462">
        <v>1</v>
      </c>
      <c r="FE462">
        <v>1</v>
      </c>
      <c r="FF462">
        <v>1</v>
      </c>
      <c r="FG462">
        <v>1</v>
      </c>
      <c r="FH462">
        <v>1</v>
      </c>
      <c r="FI462">
        <v>1</v>
      </c>
      <c r="FJ462">
        <v>1</v>
      </c>
      <c r="FU462">
        <v>1</v>
      </c>
      <c r="FV462" s="18">
        <f t="shared" si="603"/>
        <v>0.66214177978883859</v>
      </c>
    </row>
    <row r="463" spans="1:178" ht="14.25" customHeight="1" x14ac:dyDescent="0.25">
      <c r="A463" s="86" t="s">
        <v>273</v>
      </c>
      <c r="B463">
        <v>9</v>
      </c>
      <c r="C463">
        <v>25</v>
      </c>
      <c r="D463" s="25" t="s">
        <v>8</v>
      </c>
      <c r="E463" s="25" t="s">
        <v>12</v>
      </c>
      <c r="F463" s="8" t="s">
        <v>197</v>
      </c>
      <c r="G463" s="8" t="s">
        <v>201</v>
      </c>
      <c r="H463" s="25" t="s">
        <v>220</v>
      </c>
      <c r="V463">
        <v>1</v>
      </c>
      <c r="AA463">
        <v>1</v>
      </c>
      <c r="AI463">
        <v>1</v>
      </c>
      <c r="BM463">
        <v>1</v>
      </c>
      <c r="CA463">
        <v>1</v>
      </c>
      <c r="CO463">
        <v>1</v>
      </c>
      <c r="DC463">
        <v>1</v>
      </c>
      <c r="EI463">
        <v>1</v>
      </c>
      <c r="ES463">
        <v>1</v>
      </c>
      <c r="FV463" s="18">
        <f t="shared" si="603"/>
        <v>5.2790346907993967E-2</v>
      </c>
    </row>
    <row r="464" spans="1:178" ht="14.25" customHeight="1" x14ac:dyDescent="0.25">
      <c r="A464" s="86" t="s">
        <v>273</v>
      </c>
      <c r="B464">
        <v>9</v>
      </c>
      <c r="C464">
        <v>25</v>
      </c>
      <c r="D464" s="25" t="s">
        <v>10</v>
      </c>
      <c r="E464" s="25" t="s">
        <v>11</v>
      </c>
      <c r="F464" s="8" t="s">
        <v>197</v>
      </c>
      <c r="G464" s="8" t="s">
        <v>201</v>
      </c>
      <c r="H464" s="25" t="s">
        <v>220</v>
      </c>
      <c r="R464">
        <v>1</v>
      </c>
      <c r="V464">
        <v>1</v>
      </c>
      <c r="X464">
        <v>1</v>
      </c>
      <c r="Y464">
        <v>1</v>
      </c>
      <c r="Z464">
        <v>1</v>
      </c>
      <c r="AI464">
        <v>1</v>
      </c>
      <c r="AL464">
        <v>1</v>
      </c>
      <c r="AM464">
        <v>1</v>
      </c>
      <c r="AV464">
        <v>1</v>
      </c>
      <c r="BM464">
        <v>1</v>
      </c>
      <c r="CA464">
        <v>1</v>
      </c>
      <c r="CO464">
        <v>1</v>
      </c>
      <c r="FV464" s="18">
        <f t="shared" si="602"/>
        <v>5.8823529411764705E-2</v>
      </c>
    </row>
    <row r="465" spans="1:178" ht="14.25" customHeight="1" x14ac:dyDescent="0.25">
      <c r="A465" s="86" t="s">
        <v>273</v>
      </c>
      <c r="B465">
        <v>9</v>
      </c>
      <c r="C465">
        <v>25</v>
      </c>
      <c r="D465" s="25" t="s">
        <v>10</v>
      </c>
      <c r="E465" s="25" t="s">
        <v>11</v>
      </c>
      <c r="F465" s="8" t="s">
        <v>197</v>
      </c>
      <c r="G465" s="8" t="s">
        <v>201</v>
      </c>
      <c r="H465" s="25" t="s">
        <v>194</v>
      </c>
      <c r="J465">
        <v>1</v>
      </c>
      <c r="K465">
        <v>1</v>
      </c>
      <c r="W465">
        <v>1</v>
      </c>
      <c r="AD465">
        <v>1</v>
      </c>
      <c r="AK465">
        <v>1</v>
      </c>
      <c r="AY465">
        <v>1</v>
      </c>
      <c r="BV465">
        <v>1</v>
      </c>
      <c r="FV465" s="18">
        <f t="shared" si="602"/>
        <v>3.1674208144796379E-2</v>
      </c>
    </row>
    <row r="466" spans="1:178" ht="14.25" customHeight="1" x14ac:dyDescent="0.25">
      <c r="A466" s="86" t="s">
        <v>273</v>
      </c>
      <c r="B466">
        <v>9</v>
      </c>
      <c r="C466">
        <v>25</v>
      </c>
      <c r="D466" s="25" t="s">
        <v>10</v>
      </c>
      <c r="E466" s="25" t="s">
        <v>11</v>
      </c>
      <c r="F466" s="8" t="s">
        <v>197</v>
      </c>
      <c r="G466" s="8" t="s">
        <v>201</v>
      </c>
      <c r="H466" s="25" t="s">
        <v>195</v>
      </c>
      <c r="I466">
        <v>1</v>
      </c>
      <c r="L466">
        <v>1</v>
      </c>
      <c r="M466">
        <v>1</v>
      </c>
      <c r="N466">
        <v>1</v>
      </c>
      <c r="O466">
        <v>1</v>
      </c>
      <c r="P466">
        <v>1</v>
      </c>
      <c r="Q466">
        <v>1</v>
      </c>
      <c r="S466">
        <v>1</v>
      </c>
      <c r="T466">
        <v>1</v>
      </c>
      <c r="U466">
        <v>1</v>
      </c>
      <c r="AA466">
        <v>1</v>
      </c>
      <c r="AB466">
        <v>1</v>
      </c>
      <c r="AC466">
        <v>1</v>
      </c>
      <c r="AJ466">
        <v>1</v>
      </c>
      <c r="AN466">
        <v>1</v>
      </c>
      <c r="AO466">
        <v>1</v>
      </c>
      <c r="AW466">
        <v>1</v>
      </c>
      <c r="AX466">
        <v>1</v>
      </c>
      <c r="AZ466">
        <v>1</v>
      </c>
      <c r="BA466">
        <v>1</v>
      </c>
      <c r="BI466">
        <v>1</v>
      </c>
      <c r="BJ466">
        <v>1</v>
      </c>
      <c r="BN466">
        <v>1</v>
      </c>
      <c r="BO466">
        <v>1</v>
      </c>
      <c r="CB466">
        <v>1</v>
      </c>
      <c r="CP466">
        <v>1</v>
      </c>
      <c r="DC466">
        <v>1</v>
      </c>
      <c r="DD466">
        <v>1</v>
      </c>
      <c r="DQ466">
        <v>1</v>
      </c>
      <c r="EE466">
        <v>1</v>
      </c>
      <c r="ES466">
        <v>1</v>
      </c>
      <c r="FG466">
        <v>1</v>
      </c>
      <c r="FV466" s="18">
        <f t="shared" si="602"/>
        <v>0.13574660633484162</v>
      </c>
    </row>
    <row r="467" spans="1:178" ht="14.25" customHeight="1" x14ac:dyDescent="0.25">
      <c r="A467" s="86" t="s">
        <v>273</v>
      </c>
      <c r="B467">
        <v>9</v>
      </c>
      <c r="C467">
        <v>25</v>
      </c>
      <c r="D467" s="25" t="s">
        <v>9</v>
      </c>
      <c r="E467" s="25" t="s">
        <v>11</v>
      </c>
      <c r="F467" s="8" t="s">
        <v>197</v>
      </c>
      <c r="G467" s="8" t="s">
        <v>201</v>
      </c>
      <c r="H467" s="25" t="s">
        <v>194</v>
      </c>
      <c r="I467">
        <v>1</v>
      </c>
      <c r="J467">
        <v>1</v>
      </c>
      <c r="K467">
        <v>1</v>
      </c>
      <c r="L467">
        <v>1</v>
      </c>
      <c r="M467">
        <v>1</v>
      </c>
      <c r="W467">
        <v>1</v>
      </c>
      <c r="AK467">
        <v>1</v>
      </c>
      <c r="AW467">
        <v>1</v>
      </c>
      <c r="AY467">
        <v>1</v>
      </c>
      <c r="CI467">
        <v>1</v>
      </c>
      <c r="CV467">
        <v>1</v>
      </c>
      <c r="FV467" s="18">
        <f t="shared" si="602"/>
        <v>5.7315233785822019E-2</v>
      </c>
    </row>
    <row r="468" spans="1:178" ht="14.25" customHeight="1" x14ac:dyDescent="0.25">
      <c r="A468" s="86" t="s">
        <v>273</v>
      </c>
      <c r="B468">
        <v>9</v>
      </c>
      <c r="C468">
        <v>25</v>
      </c>
      <c r="D468" s="25" t="s">
        <v>9</v>
      </c>
      <c r="E468" s="25" t="s">
        <v>11</v>
      </c>
      <c r="F468" s="8" t="s">
        <v>197</v>
      </c>
      <c r="G468" s="8" t="s">
        <v>201</v>
      </c>
      <c r="H468" s="25" t="s">
        <v>195</v>
      </c>
      <c r="N468">
        <v>1</v>
      </c>
      <c r="Q468">
        <v>1</v>
      </c>
      <c r="T468">
        <v>1</v>
      </c>
      <c r="U468">
        <v>1</v>
      </c>
      <c r="AA468">
        <v>1</v>
      </c>
      <c r="AB468">
        <v>1</v>
      </c>
      <c r="AC468">
        <v>1</v>
      </c>
      <c r="AD468">
        <v>1</v>
      </c>
      <c r="AN468">
        <v>1</v>
      </c>
      <c r="AO468">
        <v>1</v>
      </c>
      <c r="AX468">
        <v>1</v>
      </c>
      <c r="BA468">
        <v>1</v>
      </c>
      <c r="BB468">
        <v>1</v>
      </c>
      <c r="BJ468">
        <v>1</v>
      </c>
      <c r="BK468">
        <v>1</v>
      </c>
      <c r="BL468">
        <v>1</v>
      </c>
      <c r="BO468">
        <v>1</v>
      </c>
      <c r="BV468">
        <v>1</v>
      </c>
      <c r="CB468">
        <v>1</v>
      </c>
      <c r="CP468">
        <v>1</v>
      </c>
      <c r="DD468">
        <v>1</v>
      </c>
      <c r="FU468">
        <v>1</v>
      </c>
      <c r="FV468" s="18">
        <f t="shared" si="602"/>
        <v>9.8039215686274508E-2</v>
      </c>
    </row>
    <row r="469" spans="1:178" ht="14.25" customHeight="1" x14ac:dyDescent="0.25">
      <c r="A469" s="86" t="s">
        <v>273</v>
      </c>
      <c r="B469">
        <v>9</v>
      </c>
      <c r="C469">
        <v>25</v>
      </c>
      <c r="D469" s="25" t="s">
        <v>9</v>
      </c>
      <c r="E469" s="25" t="s">
        <v>11</v>
      </c>
      <c r="F469" s="8" t="s">
        <v>197</v>
      </c>
      <c r="G469" s="8" t="s">
        <v>201</v>
      </c>
      <c r="H469" s="25" t="s">
        <v>220</v>
      </c>
      <c r="O469">
        <v>1</v>
      </c>
      <c r="P469">
        <v>1</v>
      </c>
      <c r="R469">
        <v>1</v>
      </c>
      <c r="S469">
        <v>1</v>
      </c>
      <c r="V469">
        <v>1</v>
      </c>
      <c r="X469">
        <v>1</v>
      </c>
      <c r="Y469">
        <v>1</v>
      </c>
      <c r="Z469">
        <v>1</v>
      </c>
      <c r="AI469">
        <v>1</v>
      </c>
      <c r="AJ469">
        <v>1</v>
      </c>
      <c r="AL469">
        <v>1</v>
      </c>
      <c r="AM469">
        <v>1</v>
      </c>
      <c r="AV469">
        <v>1</v>
      </c>
      <c r="AZ469">
        <v>1</v>
      </c>
      <c r="BI469">
        <v>1</v>
      </c>
      <c r="BM469">
        <v>1</v>
      </c>
      <c r="BN469">
        <v>1</v>
      </c>
      <c r="CA469">
        <v>1</v>
      </c>
      <c r="CO469">
        <v>1</v>
      </c>
      <c r="DC469">
        <v>1</v>
      </c>
      <c r="DQ469">
        <v>1</v>
      </c>
      <c r="EE469">
        <v>1</v>
      </c>
      <c r="ES469">
        <v>1</v>
      </c>
      <c r="FG469">
        <v>1</v>
      </c>
      <c r="FV469" s="18">
        <f t="shared" si="602"/>
        <v>0.11463046757164404</v>
      </c>
    </row>
    <row r="470" spans="1:178" ht="14.25" customHeight="1" x14ac:dyDescent="0.25">
      <c r="A470" s="86" t="s">
        <v>273</v>
      </c>
      <c r="B470">
        <v>9</v>
      </c>
      <c r="C470">
        <v>25</v>
      </c>
      <c r="D470" s="25" t="s">
        <v>8</v>
      </c>
      <c r="E470" s="25" t="s">
        <v>11</v>
      </c>
      <c r="F470" s="8" t="s">
        <v>197</v>
      </c>
      <c r="G470" s="8" t="s">
        <v>201</v>
      </c>
      <c r="H470" s="25" t="s">
        <v>194</v>
      </c>
      <c r="I470">
        <v>1</v>
      </c>
      <c r="J470">
        <v>1</v>
      </c>
      <c r="K470">
        <v>1</v>
      </c>
      <c r="L470">
        <v>1</v>
      </c>
      <c r="W470">
        <v>1</v>
      </c>
      <c r="AK470">
        <v>1</v>
      </c>
      <c r="AZ470">
        <v>1</v>
      </c>
      <c r="BN470">
        <v>1</v>
      </c>
      <c r="CW470">
        <v>1</v>
      </c>
      <c r="DJ470">
        <v>1</v>
      </c>
      <c r="DW470">
        <v>1</v>
      </c>
      <c r="FV470" s="18">
        <f t="shared" si="602"/>
        <v>5.5806938159879339E-2</v>
      </c>
    </row>
    <row r="471" spans="1:178" ht="14.25" customHeight="1" x14ac:dyDescent="0.25">
      <c r="A471" s="86" t="s">
        <v>273</v>
      </c>
      <c r="B471">
        <v>9</v>
      </c>
      <c r="C471">
        <v>25</v>
      </c>
      <c r="D471" s="25" t="s">
        <v>8</v>
      </c>
      <c r="E471" s="25" t="s">
        <v>11</v>
      </c>
      <c r="F471" s="8" t="s">
        <v>197</v>
      </c>
      <c r="G471" s="8" t="s">
        <v>201</v>
      </c>
      <c r="H471" s="25" t="s">
        <v>195</v>
      </c>
      <c r="M471">
        <v>1</v>
      </c>
      <c r="N471">
        <v>1</v>
      </c>
      <c r="O471">
        <v>1</v>
      </c>
      <c r="P471">
        <v>1</v>
      </c>
      <c r="Q471">
        <v>1</v>
      </c>
      <c r="R471">
        <v>1</v>
      </c>
      <c r="S471">
        <v>1</v>
      </c>
      <c r="T471">
        <v>1</v>
      </c>
      <c r="U471">
        <v>1</v>
      </c>
      <c r="X471">
        <v>1</v>
      </c>
      <c r="Y471">
        <v>1</v>
      </c>
      <c r="Z471">
        <v>1</v>
      </c>
      <c r="AA471">
        <v>1</v>
      </c>
      <c r="AB471">
        <v>1</v>
      </c>
      <c r="AC471">
        <v>1</v>
      </c>
      <c r="AD471">
        <v>1</v>
      </c>
      <c r="AE471">
        <v>1</v>
      </c>
      <c r="AF471">
        <v>1</v>
      </c>
      <c r="AG471">
        <v>1</v>
      </c>
      <c r="AH471">
        <v>1</v>
      </c>
      <c r="AJ471">
        <v>1</v>
      </c>
      <c r="AL471">
        <v>1</v>
      </c>
      <c r="AM471">
        <v>1</v>
      </c>
      <c r="AN471">
        <v>1</v>
      </c>
      <c r="AP471">
        <v>1</v>
      </c>
      <c r="AQ471">
        <v>1</v>
      </c>
      <c r="AR471">
        <v>1</v>
      </c>
      <c r="AS471">
        <v>1</v>
      </c>
      <c r="AT471">
        <v>1</v>
      </c>
      <c r="AU471">
        <v>1</v>
      </c>
      <c r="AW471">
        <v>1</v>
      </c>
      <c r="AX471">
        <v>1</v>
      </c>
      <c r="BA471">
        <v>1</v>
      </c>
      <c r="BB471">
        <v>1</v>
      </c>
      <c r="BC471">
        <v>1</v>
      </c>
      <c r="BD471">
        <v>1</v>
      </c>
      <c r="BE471">
        <v>1</v>
      </c>
      <c r="BF471">
        <v>1</v>
      </c>
      <c r="BG471">
        <v>1</v>
      </c>
      <c r="BH471">
        <v>1</v>
      </c>
      <c r="BI471">
        <v>1</v>
      </c>
      <c r="BJ471">
        <v>1</v>
      </c>
      <c r="BK471">
        <v>1</v>
      </c>
      <c r="BL471">
        <v>1</v>
      </c>
      <c r="BO471">
        <v>1</v>
      </c>
      <c r="BP471">
        <v>1</v>
      </c>
      <c r="BQ471">
        <v>1</v>
      </c>
      <c r="BR471">
        <v>1</v>
      </c>
      <c r="BS471">
        <v>1</v>
      </c>
      <c r="BT471">
        <v>1</v>
      </c>
      <c r="BU471">
        <v>1</v>
      </c>
      <c r="BV471">
        <v>1</v>
      </c>
      <c r="BW471">
        <v>1</v>
      </c>
      <c r="BX471">
        <v>1</v>
      </c>
      <c r="BY471">
        <v>1</v>
      </c>
      <c r="BZ471">
        <v>1</v>
      </c>
      <c r="CB471">
        <v>1</v>
      </c>
      <c r="CC471">
        <v>1</v>
      </c>
      <c r="CD471">
        <v>1</v>
      </c>
      <c r="CE471">
        <v>1</v>
      </c>
      <c r="CF471">
        <v>1</v>
      </c>
      <c r="CG471">
        <v>1</v>
      </c>
      <c r="CH471">
        <v>1</v>
      </c>
      <c r="CI471">
        <v>1</v>
      </c>
      <c r="CJ471">
        <v>1</v>
      </c>
      <c r="CK471">
        <v>1</v>
      </c>
      <c r="CL471">
        <v>1</v>
      </c>
      <c r="CM471">
        <v>1</v>
      </c>
      <c r="CN471">
        <v>1</v>
      </c>
      <c r="CP471">
        <v>1</v>
      </c>
      <c r="CQ471">
        <v>1</v>
      </c>
      <c r="CR471">
        <v>1</v>
      </c>
      <c r="CS471">
        <v>1</v>
      </c>
      <c r="CT471">
        <v>1</v>
      </c>
      <c r="CU471">
        <v>1</v>
      </c>
      <c r="CV471">
        <v>1</v>
      </c>
      <c r="CX471">
        <v>1</v>
      </c>
      <c r="CY471">
        <v>1</v>
      </c>
      <c r="CZ471">
        <v>1</v>
      </c>
      <c r="DA471">
        <v>1</v>
      </c>
      <c r="DB471">
        <v>1</v>
      </c>
      <c r="DD471">
        <v>1</v>
      </c>
      <c r="DE471">
        <v>1</v>
      </c>
      <c r="DF471">
        <v>1</v>
      </c>
      <c r="DG471">
        <v>1</v>
      </c>
      <c r="DH471">
        <v>1</v>
      </c>
      <c r="DI471">
        <v>1</v>
      </c>
      <c r="DK471">
        <v>1</v>
      </c>
      <c r="DL471">
        <v>1</v>
      </c>
      <c r="DM471">
        <v>1</v>
      </c>
      <c r="DN471">
        <v>1</v>
      </c>
      <c r="DO471">
        <v>1</v>
      </c>
      <c r="DP471">
        <v>1</v>
      </c>
      <c r="DR471">
        <v>1</v>
      </c>
      <c r="DS471">
        <v>1</v>
      </c>
      <c r="DT471">
        <v>1</v>
      </c>
      <c r="DU471">
        <v>1</v>
      </c>
      <c r="DX471">
        <v>1</v>
      </c>
      <c r="DY471">
        <v>1</v>
      </c>
      <c r="EB471">
        <v>1</v>
      </c>
      <c r="EC471">
        <v>1</v>
      </c>
      <c r="ED471">
        <v>1</v>
      </c>
      <c r="EF471">
        <v>1</v>
      </c>
      <c r="EG471">
        <v>1</v>
      </c>
      <c r="EH471">
        <v>1</v>
      </c>
      <c r="EI471">
        <v>1</v>
      </c>
      <c r="EJ471">
        <v>1</v>
      </c>
      <c r="EK471">
        <v>1</v>
      </c>
      <c r="EL471">
        <v>1</v>
      </c>
      <c r="EQ471">
        <v>1</v>
      </c>
      <c r="ER471">
        <v>1</v>
      </c>
      <c r="ET471">
        <v>1</v>
      </c>
      <c r="EU471">
        <v>1</v>
      </c>
      <c r="EV471">
        <v>1</v>
      </c>
      <c r="EW471">
        <v>1</v>
      </c>
      <c r="EX471">
        <v>1</v>
      </c>
      <c r="FE471">
        <v>1</v>
      </c>
      <c r="FF471">
        <v>1</v>
      </c>
      <c r="FH471">
        <v>1</v>
      </c>
      <c r="FI471">
        <v>1</v>
      </c>
      <c r="FJ471">
        <v>1</v>
      </c>
      <c r="FK471">
        <v>1</v>
      </c>
      <c r="FV471" s="18">
        <f t="shared" si="602"/>
        <v>0.66968325791855199</v>
      </c>
    </row>
    <row r="472" spans="1:178" ht="14.25" customHeight="1" x14ac:dyDescent="0.25">
      <c r="A472" s="86" t="s">
        <v>273</v>
      </c>
      <c r="B472">
        <v>9</v>
      </c>
      <c r="C472">
        <v>25</v>
      </c>
      <c r="D472" s="25" t="s">
        <v>8</v>
      </c>
      <c r="E472" s="25" t="s">
        <v>11</v>
      </c>
      <c r="F472" s="8" t="s">
        <v>197</v>
      </c>
      <c r="G472" s="8" t="s">
        <v>201</v>
      </c>
      <c r="H472" s="25" t="s">
        <v>220</v>
      </c>
      <c r="V472">
        <v>1</v>
      </c>
      <c r="AI472">
        <v>1</v>
      </c>
      <c r="AO472">
        <v>1</v>
      </c>
      <c r="AV472">
        <v>1</v>
      </c>
      <c r="AY472">
        <v>1</v>
      </c>
      <c r="BM472">
        <v>1</v>
      </c>
      <c r="CA472">
        <v>1</v>
      </c>
      <c r="CO472">
        <v>1</v>
      </c>
      <c r="DC472">
        <v>1</v>
      </c>
      <c r="DQ472">
        <v>1</v>
      </c>
      <c r="DV472">
        <v>1</v>
      </c>
      <c r="EE472">
        <v>1</v>
      </c>
      <c r="ES472">
        <v>1</v>
      </c>
      <c r="FG472">
        <v>1</v>
      </c>
      <c r="FU472">
        <v>1</v>
      </c>
      <c r="FV472" s="18">
        <f t="shared" si="602"/>
        <v>8.4464555052790352E-2</v>
      </c>
    </row>
    <row r="473" spans="1:178" ht="14.25" customHeight="1" x14ac:dyDescent="0.25">
      <c r="A473" s="86" t="s">
        <v>273</v>
      </c>
      <c r="B473">
        <v>9</v>
      </c>
      <c r="C473">
        <v>25</v>
      </c>
      <c r="D473" s="25" t="s">
        <v>9</v>
      </c>
      <c r="E473" s="25" t="s">
        <v>10</v>
      </c>
      <c r="F473" s="8" t="s">
        <v>197</v>
      </c>
      <c r="G473" s="8" t="s">
        <v>201</v>
      </c>
      <c r="H473" s="25" t="s">
        <v>194</v>
      </c>
      <c r="I473">
        <v>1</v>
      </c>
      <c r="J473">
        <v>1</v>
      </c>
      <c r="K473">
        <v>1</v>
      </c>
      <c r="L473">
        <v>1</v>
      </c>
      <c r="M473">
        <v>1</v>
      </c>
      <c r="W473">
        <v>1</v>
      </c>
      <c r="AK473">
        <v>1</v>
      </c>
      <c r="AW473">
        <v>1</v>
      </c>
      <c r="AY473">
        <v>1</v>
      </c>
      <c r="CV473">
        <v>1</v>
      </c>
      <c r="DI473">
        <v>1</v>
      </c>
      <c r="DV473">
        <v>1</v>
      </c>
      <c r="FV473" s="18">
        <f t="shared" si="602"/>
        <v>6.636500754147813E-2</v>
      </c>
    </row>
    <row r="474" spans="1:178" ht="14.25" customHeight="1" x14ac:dyDescent="0.25">
      <c r="A474" s="86" t="s">
        <v>273</v>
      </c>
      <c r="B474">
        <v>9</v>
      </c>
      <c r="C474">
        <v>25</v>
      </c>
      <c r="D474" s="25" t="s">
        <v>9</v>
      </c>
      <c r="E474" s="25" t="s">
        <v>10</v>
      </c>
      <c r="F474" s="8" t="s">
        <v>197</v>
      </c>
      <c r="G474" s="8" t="s">
        <v>201</v>
      </c>
      <c r="H474" s="25" t="s">
        <v>195</v>
      </c>
      <c r="N474">
        <v>1</v>
      </c>
      <c r="O474">
        <v>1</v>
      </c>
      <c r="AA474">
        <v>1</v>
      </c>
      <c r="AB474">
        <v>1</v>
      </c>
      <c r="AC474">
        <v>1</v>
      </c>
      <c r="AN474">
        <v>1</v>
      </c>
      <c r="AO474">
        <v>1</v>
      </c>
      <c r="AX474">
        <v>1</v>
      </c>
      <c r="BA474">
        <v>1</v>
      </c>
      <c r="BJ474">
        <v>1</v>
      </c>
      <c r="BK474">
        <v>1</v>
      </c>
      <c r="BL474">
        <v>1</v>
      </c>
      <c r="FV474" s="18">
        <f t="shared" si="602"/>
        <v>6.0331825037707391E-2</v>
      </c>
    </row>
    <row r="475" spans="1:178" ht="14.25" customHeight="1" x14ac:dyDescent="0.25">
      <c r="A475" s="86" t="s">
        <v>273</v>
      </c>
      <c r="B475">
        <v>9</v>
      </c>
      <c r="C475">
        <v>25</v>
      </c>
      <c r="D475" s="25" t="s">
        <v>9</v>
      </c>
      <c r="E475" s="25" t="s">
        <v>10</v>
      </c>
      <c r="F475" s="8" t="s">
        <v>197</v>
      </c>
      <c r="G475" s="8" t="s">
        <v>201</v>
      </c>
      <c r="H475" s="25" t="s">
        <v>220</v>
      </c>
      <c r="P475">
        <v>1</v>
      </c>
      <c r="Q475">
        <v>1</v>
      </c>
      <c r="R475">
        <v>1</v>
      </c>
      <c r="S475">
        <v>1</v>
      </c>
      <c r="T475">
        <v>1</v>
      </c>
      <c r="U475">
        <v>1</v>
      </c>
      <c r="V475">
        <v>1</v>
      </c>
      <c r="X475">
        <v>1</v>
      </c>
      <c r="Y475">
        <v>1</v>
      </c>
      <c r="Z475">
        <v>1</v>
      </c>
      <c r="AI475">
        <v>1</v>
      </c>
      <c r="AJ475">
        <v>1</v>
      </c>
      <c r="AL475">
        <v>1</v>
      </c>
      <c r="AM475">
        <v>1</v>
      </c>
      <c r="AV475">
        <v>1</v>
      </c>
      <c r="AZ475">
        <v>1</v>
      </c>
      <c r="BI475">
        <v>1</v>
      </c>
      <c r="BM475">
        <v>1</v>
      </c>
      <c r="BN475">
        <v>1</v>
      </c>
      <c r="BV475">
        <v>1</v>
      </c>
      <c r="CA475">
        <v>1</v>
      </c>
      <c r="CI475">
        <v>1</v>
      </c>
      <c r="CO475">
        <v>1</v>
      </c>
      <c r="DC475">
        <v>1</v>
      </c>
      <c r="DQ475">
        <v>1</v>
      </c>
      <c r="EE475">
        <v>1</v>
      </c>
      <c r="ES475">
        <v>1</v>
      </c>
      <c r="FG475">
        <v>1</v>
      </c>
      <c r="FU475">
        <v>1</v>
      </c>
      <c r="FV475" s="18">
        <f t="shared" si="602"/>
        <v>0.14328808446455504</v>
      </c>
    </row>
    <row r="476" spans="1:178" ht="14.25" customHeight="1" x14ac:dyDescent="0.25">
      <c r="A476" s="86" t="s">
        <v>273</v>
      </c>
      <c r="B476">
        <v>9</v>
      </c>
      <c r="C476">
        <v>25</v>
      </c>
      <c r="D476" s="25" t="s">
        <v>8</v>
      </c>
      <c r="E476" s="25" t="s">
        <v>10</v>
      </c>
      <c r="F476" s="8" t="s">
        <v>197</v>
      </c>
      <c r="G476" s="8" t="s">
        <v>201</v>
      </c>
      <c r="H476" s="25" t="s">
        <v>194</v>
      </c>
      <c r="I476">
        <v>1</v>
      </c>
      <c r="J476">
        <v>1</v>
      </c>
      <c r="K476">
        <v>1</v>
      </c>
      <c r="L476">
        <v>1</v>
      </c>
      <c r="M476">
        <v>1</v>
      </c>
      <c r="V476">
        <v>1</v>
      </c>
      <c r="W476">
        <v>1</v>
      </c>
      <c r="AK476">
        <v>1</v>
      </c>
      <c r="AY476">
        <v>1</v>
      </c>
      <c r="AZ476">
        <v>1</v>
      </c>
      <c r="BN476">
        <v>1</v>
      </c>
      <c r="CB476">
        <v>1</v>
      </c>
      <c r="DX476">
        <v>1</v>
      </c>
      <c r="EJ476">
        <v>1</v>
      </c>
      <c r="EK476">
        <v>1</v>
      </c>
      <c r="EW476">
        <v>1</v>
      </c>
      <c r="FV476" s="18">
        <f t="shared" si="602"/>
        <v>8.4464555052790352E-2</v>
      </c>
    </row>
    <row r="477" spans="1:178" ht="14.25" customHeight="1" x14ac:dyDescent="0.25">
      <c r="A477" s="86" t="s">
        <v>273</v>
      </c>
      <c r="B477">
        <v>9</v>
      </c>
      <c r="C477">
        <v>25</v>
      </c>
      <c r="D477" s="25" t="s">
        <v>8</v>
      </c>
      <c r="E477" s="25" t="s">
        <v>10</v>
      </c>
      <c r="F477" s="8" t="s">
        <v>197</v>
      </c>
      <c r="G477" s="8" t="s">
        <v>201</v>
      </c>
      <c r="H477" s="25" t="s">
        <v>195</v>
      </c>
      <c r="N477">
        <v>1</v>
      </c>
      <c r="O477">
        <v>1</v>
      </c>
      <c r="P477">
        <v>1</v>
      </c>
      <c r="Q477">
        <v>1</v>
      </c>
      <c r="R477">
        <v>1</v>
      </c>
      <c r="S477">
        <v>1</v>
      </c>
      <c r="T477">
        <v>1</v>
      </c>
      <c r="U477">
        <v>1</v>
      </c>
      <c r="X477">
        <v>1</v>
      </c>
      <c r="Y477">
        <v>1</v>
      </c>
      <c r="Z477">
        <v>1</v>
      </c>
      <c r="AA477">
        <v>1</v>
      </c>
      <c r="AB477">
        <v>1</v>
      </c>
      <c r="AE477">
        <v>1</v>
      </c>
      <c r="AF477">
        <v>1</v>
      </c>
      <c r="AG477">
        <v>1</v>
      </c>
      <c r="AH477">
        <v>1</v>
      </c>
      <c r="AL477">
        <v>1</v>
      </c>
      <c r="AM477">
        <v>1</v>
      </c>
      <c r="AN477">
        <v>1</v>
      </c>
      <c r="AO477">
        <v>1</v>
      </c>
      <c r="AP477">
        <v>1</v>
      </c>
      <c r="AQ477">
        <v>1</v>
      </c>
      <c r="AR477">
        <v>1</v>
      </c>
      <c r="AS477">
        <v>1</v>
      </c>
      <c r="AT477">
        <v>1</v>
      </c>
      <c r="AU477">
        <v>1</v>
      </c>
      <c r="AW477">
        <v>1</v>
      </c>
      <c r="AX477">
        <v>1</v>
      </c>
      <c r="BA477">
        <v>1</v>
      </c>
      <c r="BB477">
        <v>1</v>
      </c>
      <c r="BC477">
        <v>1</v>
      </c>
      <c r="BD477">
        <v>1</v>
      </c>
      <c r="BE477">
        <v>1</v>
      </c>
      <c r="BF477">
        <v>1</v>
      </c>
      <c r="BG477">
        <v>1</v>
      </c>
      <c r="BH477">
        <v>1</v>
      </c>
      <c r="BJ477">
        <v>1</v>
      </c>
      <c r="BK477">
        <v>1</v>
      </c>
      <c r="BL477">
        <v>1</v>
      </c>
      <c r="BO477">
        <v>1</v>
      </c>
      <c r="BP477">
        <v>1</v>
      </c>
      <c r="BQ477">
        <v>1</v>
      </c>
      <c r="BR477">
        <v>1</v>
      </c>
      <c r="BS477">
        <v>1</v>
      </c>
      <c r="BT477">
        <v>1</v>
      </c>
      <c r="BU477">
        <v>1</v>
      </c>
      <c r="BW477">
        <v>1</v>
      </c>
      <c r="BX477">
        <v>1</v>
      </c>
      <c r="BY477">
        <v>1</v>
      </c>
      <c r="BZ477">
        <v>1</v>
      </c>
      <c r="CC477">
        <v>1</v>
      </c>
      <c r="CD477">
        <v>1</v>
      </c>
      <c r="CE477">
        <v>1</v>
      </c>
      <c r="CF477">
        <v>1</v>
      </c>
      <c r="CG477">
        <v>1</v>
      </c>
      <c r="CH477">
        <v>1</v>
      </c>
      <c r="CI477">
        <v>1</v>
      </c>
      <c r="CJ477">
        <v>1</v>
      </c>
      <c r="CK477">
        <v>1</v>
      </c>
      <c r="CL477">
        <v>1</v>
      </c>
      <c r="CM477">
        <v>1</v>
      </c>
      <c r="CN477">
        <v>1</v>
      </c>
      <c r="CP477">
        <v>1</v>
      </c>
      <c r="CQ477">
        <v>1</v>
      </c>
      <c r="CR477">
        <v>1</v>
      </c>
      <c r="CS477">
        <v>1</v>
      </c>
      <c r="CT477">
        <v>1</v>
      </c>
      <c r="CU477">
        <v>1</v>
      </c>
      <c r="CV477">
        <v>1</v>
      </c>
      <c r="CW477">
        <v>1</v>
      </c>
      <c r="CX477">
        <v>1</v>
      </c>
      <c r="CY477">
        <v>1</v>
      </c>
      <c r="CZ477">
        <v>1</v>
      </c>
      <c r="DA477">
        <v>1</v>
      </c>
      <c r="DB477">
        <v>1</v>
      </c>
      <c r="DD477">
        <v>1</v>
      </c>
      <c r="DE477">
        <v>1</v>
      </c>
      <c r="DF477">
        <v>1</v>
      </c>
      <c r="DG477">
        <v>1</v>
      </c>
      <c r="DH477">
        <v>1</v>
      </c>
      <c r="DI477">
        <v>1</v>
      </c>
      <c r="DJ477">
        <v>1</v>
      </c>
      <c r="DK477">
        <v>1</v>
      </c>
      <c r="DL477">
        <v>1</v>
      </c>
      <c r="DM477">
        <v>1</v>
      </c>
      <c r="DN477">
        <v>1</v>
      </c>
      <c r="DO477">
        <v>1</v>
      </c>
      <c r="DP477">
        <v>1</v>
      </c>
      <c r="DR477">
        <v>1</v>
      </c>
      <c r="DS477">
        <v>1</v>
      </c>
      <c r="DT477">
        <v>1</v>
      </c>
      <c r="DU477">
        <v>1</v>
      </c>
      <c r="DW477">
        <v>1</v>
      </c>
      <c r="DY477">
        <v>1</v>
      </c>
      <c r="DZ477">
        <v>1</v>
      </c>
      <c r="EA477">
        <v>1</v>
      </c>
      <c r="EB477">
        <v>1</v>
      </c>
      <c r="EC477">
        <v>1</v>
      </c>
      <c r="ED477">
        <v>1</v>
      </c>
      <c r="EF477">
        <v>1</v>
      </c>
      <c r="EG477">
        <v>1</v>
      </c>
      <c r="EH477">
        <v>1</v>
      </c>
      <c r="EI477">
        <v>1</v>
      </c>
      <c r="EL477">
        <v>1</v>
      </c>
      <c r="EP477">
        <v>1</v>
      </c>
      <c r="EQ477">
        <v>1</v>
      </c>
      <c r="ER477">
        <v>1</v>
      </c>
      <c r="ET477">
        <v>1</v>
      </c>
      <c r="EU477">
        <v>1</v>
      </c>
      <c r="EV477">
        <v>1</v>
      </c>
      <c r="EX477">
        <v>1</v>
      </c>
      <c r="EY477">
        <v>1</v>
      </c>
      <c r="FE477">
        <v>1</v>
      </c>
      <c r="FF477">
        <v>1</v>
      </c>
      <c r="FH477">
        <v>1</v>
      </c>
      <c r="FJ477">
        <v>1</v>
      </c>
      <c r="FK477">
        <v>1</v>
      </c>
      <c r="FL477">
        <v>1</v>
      </c>
      <c r="FV477" s="18">
        <f t="shared" si="602"/>
        <v>0.66063348416289591</v>
      </c>
    </row>
    <row r="478" spans="1:178" ht="14.25" customHeight="1" x14ac:dyDescent="0.25">
      <c r="A478" s="86" t="s">
        <v>273</v>
      </c>
      <c r="B478">
        <v>9</v>
      </c>
      <c r="C478">
        <v>25</v>
      </c>
      <c r="D478" s="25" t="s">
        <v>8</v>
      </c>
      <c r="E478" s="25" t="s">
        <v>10</v>
      </c>
      <c r="F478" s="8" t="s">
        <v>197</v>
      </c>
      <c r="G478" s="8" t="s">
        <v>201</v>
      </c>
      <c r="H478" s="25" t="s">
        <v>220</v>
      </c>
      <c r="AC478">
        <v>1</v>
      </c>
      <c r="AD478">
        <v>1</v>
      </c>
      <c r="AI478">
        <v>1</v>
      </c>
      <c r="AJ478">
        <v>1</v>
      </c>
      <c r="AV478">
        <v>1</v>
      </c>
      <c r="BI478">
        <v>1</v>
      </c>
      <c r="BM478">
        <v>1</v>
      </c>
      <c r="BV478">
        <v>1</v>
      </c>
      <c r="CA478">
        <v>1</v>
      </c>
      <c r="CO478">
        <v>1</v>
      </c>
      <c r="DC478">
        <v>1</v>
      </c>
      <c r="DQ478">
        <v>1</v>
      </c>
      <c r="DV478">
        <v>1</v>
      </c>
      <c r="EE478">
        <v>1</v>
      </c>
      <c r="ES478">
        <v>1</v>
      </c>
      <c r="FG478">
        <v>1</v>
      </c>
      <c r="FI478">
        <v>1</v>
      </c>
      <c r="FU478">
        <v>1</v>
      </c>
      <c r="FV478" s="18">
        <f t="shared" si="602"/>
        <v>0.11010558069381599</v>
      </c>
    </row>
    <row r="479" spans="1:178" ht="14.25" customHeight="1" x14ac:dyDescent="0.25">
      <c r="A479" s="86" t="s">
        <v>273</v>
      </c>
      <c r="B479">
        <v>9</v>
      </c>
      <c r="C479">
        <v>25</v>
      </c>
      <c r="D479" s="25" t="s">
        <v>8</v>
      </c>
      <c r="E479" s="25" t="s">
        <v>234</v>
      </c>
      <c r="F479" s="8" t="s">
        <v>197</v>
      </c>
      <c r="G479" s="8" t="s">
        <v>201</v>
      </c>
      <c r="H479" s="25" t="s">
        <v>194</v>
      </c>
      <c r="I479">
        <v>1</v>
      </c>
      <c r="J479">
        <v>1</v>
      </c>
      <c r="K479">
        <v>1</v>
      </c>
      <c r="L479">
        <v>1</v>
      </c>
      <c r="M479">
        <v>1</v>
      </c>
      <c r="N479">
        <v>1</v>
      </c>
      <c r="O479">
        <v>1</v>
      </c>
      <c r="P479">
        <v>1</v>
      </c>
      <c r="V479">
        <v>1</v>
      </c>
      <c r="W479">
        <v>1</v>
      </c>
      <c r="X479">
        <v>1</v>
      </c>
      <c r="Y479">
        <v>1</v>
      </c>
      <c r="Z479">
        <v>1</v>
      </c>
      <c r="AI479">
        <v>1</v>
      </c>
      <c r="AJ479">
        <v>1</v>
      </c>
      <c r="AK479">
        <v>1</v>
      </c>
      <c r="AV479">
        <v>1</v>
      </c>
      <c r="AX479">
        <v>1</v>
      </c>
      <c r="AY479">
        <v>1</v>
      </c>
      <c r="BH479">
        <v>1</v>
      </c>
      <c r="BI479">
        <v>1</v>
      </c>
      <c r="BM479">
        <v>1</v>
      </c>
      <c r="BS479">
        <v>1</v>
      </c>
      <c r="BT479">
        <v>1</v>
      </c>
      <c r="BW479">
        <v>1</v>
      </c>
      <c r="BX479">
        <v>1</v>
      </c>
      <c r="CA479">
        <v>1</v>
      </c>
      <c r="CF479">
        <v>1</v>
      </c>
      <c r="CG479">
        <v>1</v>
      </c>
      <c r="CJ479">
        <v>1</v>
      </c>
      <c r="CK479">
        <v>1</v>
      </c>
      <c r="CO479">
        <v>1</v>
      </c>
      <c r="CS479">
        <v>1</v>
      </c>
      <c r="CT479">
        <v>1</v>
      </c>
      <c r="DC479">
        <v>1</v>
      </c>
      <c r="DV479">
        <v>1</v>
      </c>
      <c r="DZ479">
        <v>1</v>
      </c>
      <c r="ED479">
        <v>1</v>
      </c>
      <c r="EL479">
        <v>1</v>
      </c>
      <c r="EM479">
        <v>1</v>
      </c>
      <c r="EN479">
        <v>1</v>
      </c>
      <c r="ER479">
        <v>1</v>
      </c>
      <c r="EW479">
        <v>1</v>
      </c>
      <c r="EX479">
        <v>1</v>
      </c>
      <c r="EY479">
        <v>1</v>
      </c>
      <c r="EZ479">
        <v>1</v>
      </c>
      <c r="FA479">
        <v>1</v>
      </c>
      <c r="FB479">
        <v>1</v>
      </c>
      <c r="FC479">
        <v>1</v>
      </c>
      <c r="FJ479">
        <v>1</v>
      </c>
      <c r="FK479">
        <v>1</v>
      </c>
      <c r="FL479">
        <v>1</v>
      </c>
      <c r="FM479">
        <v>1</v>
      </c>
      <c r="FN479">
        <v>1</v>
      </c>
      <c r="FO479">
        <v>1</v>
      </c>
      <c r="FP479">
        <v>1</v>
      </c>
      <c r="FV479" s="18">
        <f t="shared" si="602"/>
        <v>0.36802413273001511</v>
      </c>
    </row>
    <row r="480" spans="1:178" ht="14.25" customHeight="1" x14ac:dyDescent="0.25">
      <c r="A480" s="86" t="s">
        <v>273</v>
      </c>
      <c r="B480">
        <v>9</v>
      </c>
      <c r="C480">
        <v>25</v>
      </c>
      <c r="D480" s="25" t="s">
        <v>8</v>
      </c>
      <c r="E480" s="25" t="s">
        <v>234</v>
      </c>
      <c r="F480" s="8" t="s">
        <v>197</v>
      </c>
      <c r="G480" s="8" t="s">
        <v>201</v>
      </c>
      <c r="H480" s="25" t="s">
        <v>195</v>
      </c>
      <c r="Q480">
        <v>1</v>
      </c>
      <c r="R480">
        <v>1</v>
      </c>
      <c r="S480">
        <v>1</v>
      </c>
      <c r="T480">
        <v>1</v>
      </c>
      <c r="U480">
        <v>1</v>
      </c>
      <c r="AA480">
        <v>1</v>
      </c>
      <c r="AB480">
        <v>1</v>
      </c>
      <c r="AC480">
        <v>1</v>
      </c>
      <c r="AD480">
        <v>1</v>
      </c>
      <c r="AE480">
        <v>1</v>
      </c>
      <c r="AF480">
        <v>1</v>
      </c>
      <c r="AG480">
        <v>1</v>
      </c>
      <c r="AH480">
        <v>1</v>
      </c>
      <c r="AL480">
        <v>1</v>
      </c>
      <c r="AM480">
        <v>1</v>
      </c>
      <c r="AN480">
        <v>1</v>
      </c>
      <c r="AO480">
        <v>1</v>
      </c>
      <c r="AP480">
        <v>1</v>
      </c>
      <c r="AQ480">
        <v>1</v>
      </c>
      <c r="AR480">
        <v>1</v>
      </c>
      <c r="AS480">
        <v>1</v>
      </c>
      <c r="AT480">
        <v>1</v>
      </c>
      <c r="AU480">
        <v>1</v>
      </c>
      <c r="AW480">
        <v>1</v>
      </c>
      <c r="AZ480">
        <v>1</v>
      </c>
      <c r="BA480">
        <v>1</v>
      </c>
      <c r="BB480">
        <v>1</v>
      </c>
      <c r="BC480">
        <v>1</v>
      </c>
      <c r="BD480">
        <v>1</v>
      </c>
      <c r="BE480">
        <v>1</v>
      </c>
      <c r="BF480">
        <v>1</v>
      </c>
      <c r="BG480">
        <v>1</v>
      </c>
      <c r="BJ480">
        <v>1</v>
      </c>
      <c r="BK480">
        <v>1</v>
      </c>
      <c r="BL480">
        <v>1</v>
      </c>
      <c r="BN480">
        <v>1</v>
      </c>
      <c r="BO480">
        <v>1</v>
      </c>
      <c r="BP480">
        <v>1</v>
      </c>
      <c r="BQ480">
        <v>1</v>
      </c>
      <c r="BR480">
        <v>1</v>
      </c>
      <c r="BU480">
        <v>1</v>
      </c>
      <c r="BY480">
        <v>1</v>
      </c>
      <c r="BZ480">
        <v>1</v>
      </c>
      <c r="CB480">
        <v>1</v>
      </c>
      <c r="CC480">
        <v>1</v>
      </c>
      <c r="CD480">
        <v>1</v>
      </c>
      <c r="CE480">
        <v>1</v>
      </c>
      <c r="CH480">
        <v>1</v>
      </c>
      <c r="CL480">
        <v>1</v>
      </c>
      <c r="CM480">
        <v>1</v>
      </c>
      <c r="CN480">
        <v>1</v>
      </c>
      <c r="CP480">
        <v>1</v>
      </c>
      <c r="CQ480">
        <v>1</v>
      </c>
      <c r="CR480">
        <v>1</v>
      </c>
      <c r="CU480">
        <v>1</v>
      </c>
      <c r="CV480">
        <v>1</v>
      </c>
      <c r="CW480">
        <v>1</v>
      </c>
      <c r="CX480">
        <v>1</v>
      </c>
      <c r="CY480">
        <v>1</v>
      </c>
      <c r="CZ480">
        <v>1</v>
      </c>
      <c r="DA480">
        <v>1</v>
      </c>
      <c r="DB480">
        <v>1</v>
      </c>
      <c r="DD480">
        <v>1</v>
      </c>
      <c r="DE480">
        <v>1</v>
      </c>
      <c r="DF480">
        <v>1</v>
      </c>
      <c r="DG480">
        <v>1</v>
      </c>
      <c r="DH480">
        <v>1</v>
      </c>
      <c r="DI480">
        <v>1</v>
      </c>
      <c r="DJ480">
        <v>1</v>
      </c>
      <c r="DK480">
        <v>1</v>
      </c>
      <c r="DL480">
        <v>1</v>
      </c>
      <c r="DM480">
        <v>1</v>
      </c>
      <c r="DN480">
        <v>1</v>
      </c>
      <c r="DO480">
        <v>1</v>
      </c>
      <c r="DP480">
        <v>1</v>
      </c>
      <c r="DR480">
        <v>1</v>
      </c>
      <c r="DS480">
        <v>1</v>
      </c>
      <c r="DT480">
        <v>1</v>
      </c>
      <c r="DU480">
        <v>1</v>
      </c>
      <c r="DW480">
        <v>1</v>
      </c>
      <c r="DX480">
        <v>1</v>
      </c>
      <c r="DY480">
        <v>1</v>
      </c>
      <c r="EA480">
        <v>1</v>
      </c>
      <c r="EB480">
        <v>1</v>
      </c>
      <c r="EC480">
        <v>1</v>
      </c>
      <c r="EF480">
        <v>1</v>
      </c>
      <c r="EG480">
        <v>1</v>
      </c>
      <c r="EH480">
        <v>1</v>
      </c>
      <c r="EI480">
        <v>1</v>
      </c>
      <c r="EJ480">
        <v>1</v>
      </c>
      <c r="EK480">
        <v>1</v>
      </c>
      <c r="EO480">
        <v>1</v>
      </c>
      <c r="EP480">
        <v>1</v>
      </c>
      <c r="EQ480">
        <v>1</v>
      </c>
      <c r="ET480">
        <v>1</v>
      </c>
      <c r="EU480">
        <v>1</v>
      </c>
      <c r="EV480">
        <v>1</v>
      </c>
      <c r="FD480">
        <v>1</v>
      </c>
      <c r="FE480">
        <v>1</v>
      </c>
      <c r="FF480">
        <v>1</v>
      </c>
      <c r="FH480">
        <v>1</v>
      </c>
      <c r="FI480">
        <v>1</v>
      </c>
      <c r="FQ480">
        <v>1</v>
      </c>
      <c r="FR480">
        <v>1</v>
      </c>
      <c r="FS480">
        <v>1</v>
      </c>
      <c r="FT480">
        <v>1</v>
      </c>
      <c r="FV480" s="18">
        <f t="shared" si="602"/>
        <v>0.59125188536953244</v>
      </c>
    </row>
    <row r="481" spans="1:178" ht="14.25" customHeight="1" x14ac:dyDescent="0.25">
      <c r="A481" s="86" t="s">
        <v>273</v>
      </c>
      <c r="B481">
        <v>9</v>
      </c>
      <c r="C481">
        <v>25</v>
      </c>
      <c r="D481" s="25" t="s">
        <v>8</v>
      </c>
      <c r="E481" s="25" t="s">
        <v>234</v>
      </c>
      <c r="F481" s="8" t="s">
        <v>197</v>
      </c>
      <c r="G481" s="8" t="s">
        <v>201</v>
      </c>
      <c r="H481" s="25" t="s">
        <v>220</v>
      </c>
      <c r="BV481">
        <v>1</v>
      </c>
      <c r="CI481">
        <v>1</v>
      </c>
      <c r="DQ481">
        <v>1</v>
      </c>
      <c r="EE481">
        <v>1</v>
      </c>
      <c r="ES481">
        <v>1</v>
      </c>
      <c r="FG481">
        <v>1</v>
      </c>
      <c r="FU481">
        <v>1</v>
      </c>
      <c r="FV481" s="18">
        <f t="shared" si="602"/>
        <v>4.072398190045249E-2</v>
      </c>
    </row>
    <row r="482" spans="1:178" ht="14.25" customHeight="1" x14ac:dyDescent="0.25">
      <c r="A482" s="86" t="s">
        <v>273</v>
      </c>
      <c r="B482">
        <v>9</v>
      </c>
      <c r="C482">
        <v>25</v>
      </c>
      <c r="D482" s="25" t="s">
        <v>9</v>
      </c>
      <c r="E482" s="25" t="s">
        <v>9</v>
      </c>
      <c r="F482" s="25" t="s">
        <v>8</v>
      </c>
      <c r="G482" s="25" t="s">
        <v>231</v>
      </c>
      <c r="H482" s="25" t="s">
        <v>195</v>
      </c>
      <c r="I482">
        <v>1</v>
      </c>
      <c r="J482">
        <v>1</v>
      </c>
      <c r="K482">
        <v>1</v>
      </c>
      <c r="L482">
        <v>1</v>
      </c>
      <c r="M482">
        <v>1</v>
      </c>
      <c r="N482">
        <v>1</v>
      </c>
      <c r="O482">
        <v>1</v>
      </c>
      <c r="P482">
        <v>1</v>
      </c>
      <c r="Q482">
        <v>1</v>
      </c>
      <c r="V482">
        <v>1</v>
      </c>
      <c r="W482">
        <v>1</v>
      </c>
      <c r="X482">
        <v>1</v>
      </c>
      <c r="Y482">
        <v>1</v>
      </c>
      <c r="AJ482">
        <v>1</v>
      </c>
      <c r="AK482">
        <v>1</v>
      </c>
      <c r="AY482">
        <v>1</v>
      </c>
      <c r="BM482">
        <v>1</v>
      </c>
      <c r="BV482">
        <v>1</v>
      </c>
      <c r="CA482">
        <v>1</v>
      </c>
      <c r="CO482">
        <v>1</v>
      </c>
      <c r="FV482" s="18">
        <f t="shared" si="602"/>
        <v>8.8989441930618404E-2</v>
      </c>
    </row>
    <row r="483" spans="1:178" ht="14.25" customHeight="1" x14ac:dyDescent="0.25">
      <c r="A483" s="86" t="s">
        <v>273</v>
      </c>
      <c r="B483">
        <v>9</v>
      </c>
      <c r="C483">
        <v>25</v>
      </c>
      <c r="D483" s="25" t="s">
        <v>9</v>
      </c>
      <c r="E483" s="25" t="s">
        <v>9</v>
      </c>
      <c r="F483" s="25" t="s">
        <v>8</v>
      </c>
      <c r="G483" s="25" t="s">
        <v>231</v>
      </c>
      <c r="H483" s="25" t="s">
        <v>196</v>
      </c>
      <c r="AT483">
        <v>1</v>
      </c>
      <c r="AU483">
        <v>1</v>
      </c>
      <c r="BE483">
        <v>1</v>
      </c>
      <c r="BF483">
        <v>1</v>
      </c>
      <c r="BG483">
        <v>1</v>
      </c>
      <c r="BH483">
        <v>1</v>
      </c>
      <c r="BQ483">
        <v>1</v>
      </c>
      <c r="BR483">
        <v>1</v>
      </c>
      <c r="BS483">
        <v>1</v>
      </c>
      <c r="BT483">
        <v>1</v>
      </c>
      <c r="BU483">
        <v>1</v>
      </c>
      <c r="BW483">
        <v>1</v>
      </c>
      <c r="BX483">
        <v>1</v>
      </c>
      <c r="BY483">
        <v>1</v>
      </c>
      <c r="BZ483">
        <v>1</v>
      </c>
      <c r="CE483">
        <v>1</v>
      </c>
      <c r="CF483">
        <v>1</v>
      </c>
      <c r="CJ483">
        <v>1</v>
      </c>
      <c r="CK483">
        <v>1</v>
      </c>
      <c r="CL483">
        <v>1</v>
      </c>
      <c r="CM483">
        <v>1</v>
      </c>
      <c r="CR483">
        <v>1</v>
      </c>
      <c r="CS483">
        <v>1</v>
      </c>
      <c r="CV483">
        <v>1</v>
      </c>
      <c r="CW483">
        <v>1</v>
      </c>
      <c r="CX483">
        <v>1</v>
      </c>
      <c r="DE483">
        <v>1</v>
      </c>
      <c r="DF483">
        <v>1</v>
      </c>
      <c r="DI483">
        <v>1</v>
      </c>
      <c r="DJ483">
        <v>1</v>
      </c>
      <c r="DK483">
        <v>1</v>
      </c>
      <c r="DS483">
        <v>1</v>
      </c>
      <c r="DT483">
        <v>1</v>
      </c>
      <c r="DW483">
        <v>1</v>
      </c>
      <c r="EF483">
        <v>1</v>
      </c>
      <c r="EG483">
        <v>1</v>
      </c>
      <c r="ET483">
        <v>1</v>
      </c>
      <c r="EV483">
        <v>1</v>
      </c>
      <c r="FV483" s="18">
        <f t="shared" si="602"/>
        <v>0.21116138763197587</v>
      </c>
    </row>
    <row r="484" spans="1:178" ht="14.25" customHeight="1" x14ac:dyDescent="0.25">
      <c r="A484" s="86" t="s">
        <v>273</v>
      </c>
      <c r="B484">
        <v>9</v>
      </c>
      <c r="C484">
        <v>25</v>
      </c>
      <c r="D484" s="25" t="s">
        <v>9</v>
      </c>
      <c r="E484" s="25" t="s">
        <v>8</v>
      </c>
      <c r="F484" s="8" t="s">
        <v>197</v>
      </c>
      <c r="G484" s="8" t="s">
        <v>201</v>
      </c>
      <c r="H484" s="25" t="s">
        <v>220</v>
      </c>
      <c r="U484">
        <v>1</v>
      </c>
      <c r="AI484">
        <v>1</v>
      </c>
      <c r="AV484">
        <v>1</v>
      </c>
      <c r="BI484">
        <v>1</v>
      </c>
      <c r="DC484">
        <v>1</v>
      </c>
      <c r="DQ484">
        <v>1</v>
      </c>
      <c r="EE484">
        <v>1</v>
      </c>
      <c r="ES484">
        <v>1</v>
      </c>
      <c r="FI484">
        <v>1</v>
      </c>
      <c r="FV484" s="18">
        <f t="shared" si="602"/>
        <v>5.7315233785822019E-2</v>
      </c>
    </row>
    <row r="485" spans="1:178" ht="14.25" customHeight="1" x14ac:dyDescent="0.25">
      <c r="A485" s="86" t="s">
        <v>273</v>
      </c>
      <c r="B485">
        <v>9</v>
      </c>
      <c r="C485">
        <v>25</v>
      </c>
      <c r="D485" s="25" t="s">
        <v>9</v>
      </c>
      <c r="E485" s="25" t="s">
        <v>8</v>
      </c>
      <c r="F485" s="8" t="s">
        <v>197</v>
      </c>
      <c r="G485" s="8" t="s">
        <v>201</v>
      </c>
      <c r="H485" s="25" t="s">
        <v>195</v>
      </c>
      <c r="R485">
        <v>1</v>
      </c>
      <c r="S485">
        <v>1</v>
      </c>
      <c r="T485">
        <v>1</v>
      </c>
      <c r="Z485">
        <v>1</v>
      </c>
      <c r="AA485">
        <v>1</v>
      </c>
      <c r="AB485">
        <v>1</v>
      </c>
      <c r="AC485">
        <v>1</v>
      </c>
      <c r="AD485">
        <v>1</v>
      </c>
      <c r="AE485">
        <v>1</v>
      </c>
      <c r="AF485">
        <v>1</v>
      </c>
      <c r="AG485">
        <v>1</v>
      </c>
      <c r="AH485">
        <v>1</v>
      </c>
      <c r="AL485">
        <v>1</v>
      </c>
      <c r="AM485">
        <v>1</v>
      </c>
      <c r="AN485">
        <v>1</v>
      </c>
      <c r="AO485">
        <v>1</v>
      </c>
      <c r="AP485">
        <v>1</v>
      </c>
      <c r="AQ485">
        <v>1</v>
      </c>
      <c r="AR485">
        <v>1</v>
      </c>
      <c r="AS485">
        <v>1</v>
      </c>
      <c r="AW485">
        <v>1</v>
      </c>
      <c r="AX485">
        <v>1</v>
      </c>
      <c r="AZ485">
        <v>1</v>
      </c>
      <c r="BA485">
        <v>1</v>
      </c>
      <c r="BB485">
        <v>1</v>
      </c>
      <c r="BC485">
        <v>1</v>
      </c>
      <c r="BD485">
        <v>1</v>
      </c>
      <c r="BJ485">
        <v>1</v>
      </c>
      <c r="BK485">
        <v>1</v>
      </c>
      <c r="BL485">
        <v>1</v>
      </c>
      <c r="BN485">
        <v>1</v>
      </c>
      <c r="BO485">
        <v>1</v>
      </c>
      <c r="BP485">
        <v>1</v>
      </c>
      <c r="CB485">
        <v>1</v>
      </c>
      <c r="CC485">
        <v>1</v>
      </c>
      <c r="CD485">
        <v>1</v>
      </c>
      <c r="CN485">
        <v>1</v>
      </c>
      <c r="CP485">
        <v>1</v>
      </c>
      <c r="CQ485">
        <v>1</v>
      </c>
      <c r="CY485">
        <v>1</v>
      </c>
      <c r="DB485">
        <v>1</v>
      </c>
      <c r="DD485">
        <v>1</v>
      </c>
      <c r="DR485">
        <v>1</v>
      </c>
      <c r="DV485">
        <v>1</v>
      </c>
      <c r="EH485">
        <v>1</v>
      </c>
      <c r="EI485">
        <v>1</v>
      </c>
      <c r="EJ485">
        <v>1</v>
      </c>
      <c r="FV485" s="18">
        <f t="shared" si="602"/>
        <v>0.20814479638009051</v>
      </c>
    </row>
    <row r="486" spans="1:178" ht="14.25" customHeight="1" x14ac:dyDescent="0.25">
      <c r="A486" s="86" t="s">
        <v>273</v>
      </c>
      <c r="B486">
        <v>9</v>
      </c>
      <c r="C486">
        <v>25</v>
      </c>
      <c r="D486" s="25" t="s">
        <v>9</v>
      </c>
      <c r="E486" s="25" t="s">
        <v>8</v>
      </c>
      <c r="F486" s="8" t="s">
        <v>197</v>
      </c>
      <c r="G486" s="8" t="s">
        <v>201</v>
      </c>
      <c r="H486" s="25" t="s">
        <v>196</v>
      </c>
      <c r="CG486">
        <v>1</v>
      </c>
      <c r="CH486">
        <v>1</v>
      </c>
      <c r="CT486">
        <v>1</v>
      </c>
      <c r="CU486">
        <v>1</v>
      </c>
      <c r="CZ486">
        <v>1</v>
      </c>
      <c r="DA486">
        <v>1</v>
      </c>
      <c r="DG486">
        <v>1</v>
      </c>
      <c r="DH486">
        <v>1</v>
      </c>
      <c r="DL486">
        <v>1</v>
      </c>
      <c r="DM486">
        <v>1</v>
      </c>
      <c r="DN486">
        <v>1</v>
      </c>
      <c r="DO486">
        <v>1</v>
      </c>
      <c r="DP486">
        <v>1</v>
      </c>
      <c r="DU486">
        <v>1</v>
      </c>
      <c r="DX486">
        <v>1</v>
      </c>
      <c r="DY486">
        <v>1</v>
      </c>
      <c r="DZ486">
        <v>1</v>
      </c>
      <c r="EA486">
        <v>1</v>
      </c>
      <c r="EB486">
        <v>1</v>
      </c>
      <c r="EC486">
        <v>1</v>
      </c>
      <c r="ED486">
        <v>1</v>
      </c>
      <c r="EK486">
        <v>1</v>
      </c>
      <c r="EL486">
        <v>1</v>
      </c>
      <c r="ER486">
        <v>1</v>
      </c>
      <c r="EU486">
        <v>1</v>
      </c>
      <c r="EW486">
        <v>1</v>
      </c>
      <c r="EX486">
        <v>1</v>
      </c>
      <c r="EY486">
        <v>1</v>
      </c>
      <c r="FH486">
        <v>1</v>
      </c>
      <c r="FJ486">
        <v>1</v>
      </c>
      <c r="FK486">
        <v>1</v>
      </c>
      <c r="FL486">
        <v>1</v>
      </c>
      <c r="FV486" s="18">
        <f t="shared" si="602"/>
        <v>0.23529411764705882</v>
      </c>
    </row>
    <row r="487" spans="1:178" ht="14.25" customHeight="1" x14ac:dyDescent="0.25">
      <c r="A487" s="86" t="s">
        <v>273</v>
      </c>
      <c r="B487">
        <v>9</v>
      </c>
      <c r="C487">
        <v>25</v>
      </c>
      <c r="D487" s="25" t="s">
        <v>8</v>
      </c>
      <c r="E487" s="25" t="s">
        <v>8</v>
      </c>
      <c r="F487" s="25" t="s">
        <v>9</v>
      </c>
      <c r="G487" s="8" t="s">
        <v>201</v>
      </c>
      <c r="H487" s="25" t="s">
        <v>220</v>
      </c>
      <c r="I487">
        <v>1</v>
      </c>
      <c r="J487">
        <v>1</v>
      </c>
      <c r="K487">
        <v>1</v>
      </c>
      <c r="L487">
        <v>1</v>
      </c>
      <c r="M487">
        <v>1</v>
      </c>
      <c r="N487">
        <v>1</v>
      </c>
      <c r="O487">
        <v>1</v>
      </c>
      <c r="P487">
        <v>1</v>
      </c>
      <c r="V487">
        <v>1</v>
      </c>
      <c r="W487">
        <v>1</v>
      </c>
      <c r="X487">
        <v>1</v>
      </c>
      <c r="Y487">
        <v>1</v>
      </c>
      <c r="Z487">
        <v>1</v>
      </c>
      <c r="AI487">
        <v>1</v>
      </c>
      <c r="AJ487">
        <v>1</v>
      </c>
      <c r="AK487">
        <v>1</v>
      </c>
      <c r="AV487">
        <v>1</v>
      </c>
      <c r="AX487">
        <v>1</v>
      </c>
      <c r="AY487">
        <v>1</v>
      </c>
      <c r="BI487">
        <v>1</v>
      </c>
      <c r="BM487">
        <v>1</v>
      </c>
      <c r="CA487">
        <v>1</v>
      </c>
      <c r="CO487">
        <v>1</v>
      </c>
      <c r="DC487">
        <v>1</v>
      </c>
      <c r="FV487" s="18">
        <f t="shared" si="602"/>
        <v>0.12066365007541478</v>
      </c>
    </row>
    <row r="488" spans="1:178" ht="14.25" customHeight="1" x14ac:dyDescent="0.25">
      <c r="A488" s="86" t="s">
        <v>273</v>
      </c>
      <c r="B488">
        <v>9</v>
      </c>
      <c r="C488">
        <v>25</v>
      </c>
      <c r="D488" s="25" t="s">
        <v>8</v>
      </c>
      <c r="E488" s="25" t="s">
        <v>8</v>
      </c>
      <c r="F488" s="25" t="s">
        <v>9</v>
      </c>
      <c r="G488" s="8" t="s">
        <v>201</v>
      </c>
      <c r="H488" s="25" t="s">
        <v>196</v>
      </c>
      <c r="BH488">
        <v>1</v>
      </c>
      <c r="BS488">
        <v>1</v>
      </c>
      <c r="BT488">
        <v>1</v>
      </c>
      <c r="BW488">
        <v>1</v>
      </c>
      <c r="BX488">
        <v>1</v>
      </c>
      <c r="CF488">
        <v>1</v>
      </c>
      <c r="CG488">
        <v>1</v>
      </c>
      <c r="CJ488">
        <v>1</v>
      </c>
      <c r="CK488">
        <v>1</v>
      </c>
      <c r="CS488">
        <v>1</v>
      </c>
      <c r="CT488">
        <v>1</v>
      </c>
      <c r="DV488">
        <v>1</v>
      </c>
      <c r="DZ488">
        <v>1</v>
      </c>
      <c r="ED488">
        <v>1</v>
      </c>
      <c r="EL488">
        <v>1</v>
      </c>
      <c r="EM488">
        <v>1</v>
      </c>
      <c r="EN488">
        <v>1</v>
      </c>
      <c r="ER488">
        <v>1</v>
      </c>
      <c r="EW488">
        <v>1</v>
      </c>
      <c r="EX488">
        <v>1</v>
      </c>
      <c r="EY488">
        <v>1</v>
      </c>
      <c r="EZ488">
        <v>1</v>
      </c>
      <c r="FA488">
        <v>1</v>
      </c>
      <c r="FB488">
        <v>1</v>
      </c>
      <c r="FC488">
        <v>1</v>
      </c>
      <c r="FJ488">
        <v>1</v>
      </c>
      <c r="FK488">
        <v>1</v>
      </c>
      <c r="FL488">
        <v>1</v>
      </c>
      <c r="FM488">
        <v>1</v>
      </c>
      <c r="FN488">
        <v>1</v>
      </c>
      <c r="FO488">
        <v>1</v>
      </c>
      <c r="FP488">
        <v>1</v>
      </c>
      <c r="FV488" s="18">
        <f t="shared" si="602"/>
        <v>0.24736048265460031</v>
      </c>
    </row>
    <row r="489" spans="1:178" ht="14.25" customHeight="1" x14ac:dyDescent="0.25">
      <c r="A489" s="86" t="s">
        <v>273</v>
      </c>
      <c r="B489">
        <v>9</v>
      </c>
      <c r="C489">
        <v>25</v>
      </c>
      <c r="D489" s="25" t="s">
        <v>8</v>
      </c>
      <c r="E489" s="25" t="s">
        <v>9</v>
      </c>
      <c r="F489" s="8" t="s">
        <v>197</v>
      </c>
      <c r="G489" s="8" t="s">
        <v>201</v>
      </c>
      <c r="H489" s="25" t="s">
        <v>195</v>
      </c>
      <c r="I489">
        <v>1</v>
      </c>
      <c r="L489">
        <v>1</v>
      </c>
      <c r="M489">
        <v>1</v>
      </c>
      <c r="N489">
        <v>1</v>
      </c>
      <c r="O489">
        <v>1</v>
      </c>
      <c r="P489">
        <v>1</v>
      </c>
      <c r="Q489">
        <v>1</v>
      </c>
      <c r="R489">
        <v>1</v>
      </c>
      <c r="S489">
        <v>1</v>
      </c>
      <c r="T489">
        <v>1</v>
      </c>
      <c r="U489">
        <v>1</v>
      </c>
      <c r="W489">
        <v>1</v>
      </c>
      <c r="X489">
        <v>1</v>
      </c>
      <c r="Y489">
        <v>1</v>
      </c>
      <c r="Z489">
        <v>1</v>
      </c>
      <c r="AA489">
        <v>1</v>
      </c>
      <c r="AB489">
        <v>1</v>
      </c>
      <c r="AC489">
        <v>1</v>
      </c>
      <c r="AD489">
        <v>1</v>
      </c>
      <c r="AE489">
        <v>1</v>
      </c>
      <c r="AF489">
        <v>1</v>
      </c>
      <c r="AG489">
        <v>1</v>
      </c>
      <c r="AH489">
        <v>1</v>
      </c>
      <c r="AJ489">
        <v>1</v>
      </c>
      <c r="AK489">
        <v>1</v>
      </c>
      <c r="AL489">
        <v>1</v>
      </c>
      <c r="AM489">
        <v>1</v>
      </c>
      <c r="AN489">
        <v>1</v>
      </c>
      <c r="AO489">
        <v>1</v>
      </c>
      <c r="AP489">
        <v>1</v>
      </c>
      <c r="AQ489">
        <v>1</v>
      </c>
      <c r="AR489">
        <v>1</v>
      </c>
      <c r="AS489">
        <v>1</v>
      </c>
      <c r="AT489">
        <v>1</v>
      </c>
      <c r="AU489">
        <v>1</v>
      </c>
      <c r="AW489">
        <v>1</v>
      </c>
      <c r="AX489">
        <v>1</v>
      </c>
      <c r="AY489">
        <v>1</v>
      </c>
      <c r="AZ489">
        <v>1</v>
      </c>
      <c r="BA489">
        <v>1</v>
      </c>
      <c r="BB489">
        <v>1</v>
      </c>
      <c r="BC489">
        <v>1</v>
      </c>
      <c r="BD489">
        <v>1</v>
      </c>
      <c r="BE489">
        <v>1</v>
      </c>
      <c r="BF489">
        <v>1</v>
      </c>
      <c r="BG489">
        <v>1</v>
      </c>
      <c r="BH489">
        <v>1</v>
      </c>
      <c r="BJ489">
        <v>1</v>
      </c>
      <c r="BK489">
        <v>1</v>
      </c>
      <c r="BL489">
        <v>1</v>
      </c>
      <c r="BM489">
        <v>1</v>
      </c>
      <c r="BN489">
        <v>1</v>
      </c>
      <c r="BO489">
        <v>1</v>
      </c>
      <c r="BP489">
        <v>1</v>
      </c>
      <c r="BQ489">
        <v>1</v>
      </c>
      <c r="BR489">
        <v>1</v>
      </c>
      <c r="BS489">
        <v>1</v>
      </c>
      <c r="BT489">
        <v>1</v>
      </c>
      <c r="BU489">
        <v>1</v>
      </c>
      <c r="BV489">
        <v>1</v>
      </c>
      <c r="BW489">
        <v>1</v>
      </c>
      <c r="BX489">
        <v>1</v>
      </c>
      <c r="BY489">
        <v>1</v>
      </c>
      <c r="BZ489">
        <v>1</v>
      </c>
      <c r="CA489">
        <v>1</v>
      </c>
      <c r="CB489">
        <v>1</v>
      </c>
      <c r="CC489">
        <v>1</v>
      </c>
      <c r="CD489">
        <v>1</v>
      </c>
      <c r="CE489">
        <v>1</v>
      </c>
      <c r="CF489">
        <v>1</v>
      </c>
      <c r="CG489">
        <v>1</v>
      </c>
      <c r="CH489">
        <v>1</v>
      </c>
      <c r="CI489">
        <v>1</v>
      </c>
      <c r="CJ489">
        <v>1</v>
      </c>
      <c r="CK489">
        <v>1</v>
      </c>
      <c r="CL489">
        <v>1</v>
      </c>
      <c r="CM489">
        <v>1</v>
      </c>
      <c r="CN489">
        <v>1</v>
      </c>
      <c r="CO489">
        <v>1</v>
      </c>
      <c r="CP489">
        <v>1</v>
      </c>
      <c r="CQ489">
        <v>1</v>
      </c>
      <c r="CR489">
        <v>1</v>
      </c>
      <c r="CS489">
        <v>1</v>
      </c>
      <c r="CT489">
        <v>1</v>
      </c>
      <c r="CV489">
        <v>1</v>
      </c>
      <c r="CW489">
        <v>1</v>
      </c>
      <c r="CX489">
        <v>1</v>
      </c>
      <c r="CY489">
        <v>1</v>
      </c>
      <c r="CZ489">
        <v>1</v>
      </c>
      <c r="DB489">
        <v>1</v>
      </c>
      <c r="DD489">
        <v>1</v>
      </c>
      <c r="DE489">
        <v>1</v>
      </c>
      <c r="DF489">
        <v>1</v>
      </c>
      <c r="DG489">
        <v>1</v>
      </c>
      <c r="DI489">
        <v>1</v>
      </c>
      <c r="DJ489">
        <v>1</v>
      </c>
      <c r="DK489">
        <v>1</v>
      </c>
      <c r="DP489">
        <v>1</v>
      </c>
      <c r="DR489">
        <v>1</v>
      </c>
      <c r="DS489">
        <v>1</v>
      </c>
      <c r="DT489">
        <v>1</v>
      </c>
      <c r="DU489">
        <v>1</v>
      </c>
      <c r="DV489">
        <v>1</v>
      </c>
      <c r="DW489">
        <v>1</v>
      </c>
      <c r="EF489">
        <v>1</v>
      </c>
      <c r="EG489">
        <v>1</v>
      </c>
      <c r="EH489">
        <v>1</v>
      </c>
      <c r="EJ489">
        <v>1</v>
      </c>
      <c r="ER489">
        <v>1</v>
      </c>
      <c r="ET489">
        <v>1</v>
      </c>
      <c r="EU489">
        <v>1</v>
      </c>
      <c r="FH489">
        <v>1</v>
      </c>
      <c r="FV489" s="18">
        <f t="shared" si="602"/>
        <v>0.53544494720965308</v>
      </c>
    </row>
    <row r="490" spans="1:178" ht="14.25" customHeight="1" x14ac:dyDescent="0.25">
      <c r="A490" s="86" t="s">
        <v>273</v>
      </c>
      <c r="B490">
        <v>9</v>
      </c>
      <c r="C490">
        <v>15</v>
      </c>
      <c r="D490" s="8" t="s">
        <v>10</v>
      </c>
      <c r="E490" s="8" t="s">
        <v>197</v>
      </c>
      <c r="F490" s="8" t="s">
        <v>197</v>
      </c>
      <c r="G490" s="8" t="s">
        <v>201</v>
      </c>
      <c r="H490" s="8" t="s">
        <v>194</v>
      </c>
      <c r="I490">
        <v>1</v>
      </c>
      <c r="J490">
        <v>1</v>
      </c>
      <c r="K490">
        <v>1</v>
      </c>
      <c r="L490">
        <v>1</v>
      </c>
      <c r="M490">
        <v>1</v>
      </c>
      <c r="N490">
        <v>1</v>
      </c>
      <c r="O490">
        <v>1</v>
      </c>
      <c r="V490">
        <v>1</v>
      </c>
      <c r="W490">
        <v>1</v>
      </c>
      <c r="X490">
        <v>1</v>
      </c>
      <c r="Y490">
        <v>1</v>
      </c>
      <c r="Z490">
        <v>1</v>
      </c>
      <c r="AB490">
        <v>1</v>
      </c>
      <c r="AC490">
        <v>1</v>
      </c>
      <c r="AD490">
        <v>1</v>
      </c>
      <c r="AE490">
        <v>1</v>
      </c>
      <c r="AF490">
        <v>1</v>
      </c>
      <c r="AG490">
        <v>1</v>
      </c>
      <c r="AI490">
        <v>1</v>
      </c>
      <c r="AK490">
        <v>1</v>
      </c>
      <c r="AL490">
        <v>1</v>
      </c>
      <c r="AM490">
        <v>1</v>
      </c>
      <c r="AO490">
        <v>1</v>
      </c>
      <c r="AP490">
        <v>1</v>
      </c>
      <c r="AQ490">
        <v>1</v>
      </c>
      <c r="AR490">
        <v>1</v>
      </c>
      <c r="AY490">
        <v>1</v>
      </c>
      <c r="BB490">
        <v>1</v>
      </c>
      <c r="BC490">
        <v>1</v>
      </c>
      <c r="BD490">
        <v>1</v>
      </c>
      <c r="BE490">
        <v>1</v>
      </c>
      <c r="BM490">
        <v>1</v>
      </c>
      <c r="BP490">
        <v>1</v>
      </c>
      <c r="BW490">
        <v>1</v>
      </c>
      <c r="BX490">
        <v>1</v>
      </c>
      <c r="BY490">
        <v>1</v>
      </c>
      <c r="BZ490">
        <v>1</v>
      </c>
      <c r="CA490">
        <v>1</v>
      </c>
      <c r="CC490">
        <v>1</v>
      </c>
      <c r="CJ490">
        <v>1</v>
      </c>
      <c r="CO490">
        <v>1</v>
      </c>
      <c r="CP490">
        <v>1</v>
      </c>
      <c r="DC490">
        <v>1</v>
      </c>
      <c r="FV490" s="18">
        <f t="shared" si="602"/>
        <v>0.18401206636500755</v>
      </c>
    </row>
    <row r="491" spans="1:178" ht="14.25" customHeight="1" x14ac:dyDescent="0.25">
      <c r="A491" s="86" t="s">
        <v>273</v>
      </c>
      <c r="B491">
        <v>9</v>
      </c>
      <c r="C491">
        <v>15</v>
      </c>
      <c r="D491" s="8" t="s">
        <v>10</v>
      </c>
      <c r="E491" s="8" t="s">
        <v>197</v>
      </c>
      <c r="F491" s="8" t="s">
        <v>197</v>
      </c>
      <c r="G491" s="8" t="s">
        <v>201</v>
      </c>
      <c r="H491" s="26" t="s">
        <v>220</v>
      </c>
      <c r="P491">
        <v>1</v>
      </c>
      <c r="Q491">
        <v>1</v>
      </c>
      <c r="R491">
        <v>1</v>
      </c>
      <c r="S491">
        <v>1</v>
      </c>
      <c r="T491">
        <v>1</v>
      </c>
      <c r="U491">
        <v>1</v>
      </c>
      <c r="AA491">
        <v>1</v>
      </c>
      <c r="AJ491">
        <v>1</v>
      </c>
      <c r="AN491">
        <v>1</v>
      </c>
      <c r="AV491">
        <v>1</v>
      </c>
      <c r="AW491">
        <v>1</v>
      </c>
      <c r="AX491">
        <v>1</v>
      </c>
      <c r="AZ491">
        <v>1</v>
      </c>
      <c r="BA491">
        <v>1</v>
      </c>
      <c r="BI491">
        <v>1</v>
      </c>
      <c r="BJ491">
        <v>1</v>
      </c>
      <c r="BK491">
        <v>1</v>
      </c>
      <c r="BL491">
        <v>1</v>
      </c>
      <c r="BN491">
        <v>1</v>
      </c>
      <c r="BO491">
        <v>1</v>
      </c>
      <c r="BV491">
        <v>1</v>
      </c>
      <c r="CB491">
        <v>1</v>
      </c>
      <c r="CI491">
        <v>1</v>
      </c>
      <c r="CV491">
        <v>1</v>
      </c>
      <c r="DI491">
        <v>1</v>
      </c>
      <c r="DQ491">
        <v>1</v>
      </c>
      <c r="DV491">
        <v>1</v>
      </c>
      <c r="EE491">
        <v>1</v>
      </c>
      <c r="EI491">
        <v>1</v>
      </c>
      <c r="ES491">
        <v>1</v>
      </c>
      <c r="EV491">
        <v>1</v>
      </c>
      <c r="FG491">
        <v>1</v>
      </c>
      <c r="FI491">
        <v>1</v>
      </c>
      <c r="FU491">
        <v>1</v>
      </c>
      <c r="FV491" s="18">
        <f t="shared" si="602"/>
        <v>0.2066365007541478</v>
      </c>
    </row>
    <row r="492" spans="1:178" ht="14.25" customHeight="1" x14ac:dyDescent="0.25">
      <c r="A492" s="86" t="s">
        <v>273</v>
      </c>
      <c r="B492">
        <v>9</v>
      </c>
      <c r="C492">
        <v>15</v>
      </c>
      <c r="D492" s="8" t="s">
        <v>15</v>
      </c>
      <c r="E492" s="8" t="s">
        <v>197</v>
      </c>
      <c r="F492" s="8" t="s">
        <v>197</v>
      </c>
      <c r="G492" s="8" t="s">
        <v>201</v>
      </c>
      <c r="H492" s="8" t="s">
        <v>194</v>
      </c>
      <c r="I492">
        <v>1</v>
      </c>
      <c r="J492">
        <v>1</v>
      </c>
      <c r="K492">
        <v>1</v>
      </c>
      <c r="L492">
        <v>1</v>
      </c>
      <c r="M492">
        <v>1</v>
      </c>
      <c r="N492">
        <v>1</v>
      </c>
      <c r="O492">
        <v>1</v>
      </c>
      <c r="P492">
        <v>1</v>
      </c>
      <c r="Q492">
        <v>1</v>
      </c>
      <c r="R492">
        <v>1</v>
      </c>
      <c r="S492">
        <v>1</v>
      </c>
      <c r="V492">
        <v>1</v>
      </c>
      <c r="W492">
        <v>1</v>
      </c>
      <c r="X492">
        <v>1</v>
      </c>
      <c r="Y492">
        <v>1</v>
      </c>
      <c r="Z492">
        <v>1</v>
      </c>
      <c r="AA492">
        <v>1</v>
      </c>
      <c r="AB492">
        <v>1</v>
      </c>
      <c r="AC492">
        <v>1</v>
      </c>
      <c r="AI492">
        <v>1</v>
      </c>
      <c r="AJ492">
        <v>1</v>
      </c>
      <c r="AK492">
        <v>1</v>
      </c>
      <c r="AL492">
        <v>1</v>
      </c>
      <c r="AM492">
        <v>1</v>
      </c>
      <c r="AN492">
        <v>1</v>
      </c>
      <c r="AV492">
        <v>1</v>
      </c>
      <c r="AW492">
        <v>1</v>
      </c>
      <c r="AY492">
        <v>1</v>
      </c>
      <c r="AZ492">
        <v>1</v>
      </c>
      <c r="BA492">
        <v>1</v>
      </c>
      <c r="BI492">
        <v>1</v>
      </c>
      <c r="BM492">
        <v>1</v>
      </c>
      <c r="BN492">
        <v>1</v>
      </c>
      <c r="BO492">
        <v>1</v>
      </c>
      <c r="CA492">
        <v>1</v>
      </c>
      <c r="CB492">
        <v>1</v>
      </c>
      <c r="CO492">
        <v>1</v>
      </c>
      <c r="DC492">
        <v>1</v>
      </c>
      <c r="DQ492">
        <v>1</v>
      </c>
      <c r="FV492" s="18">
        <f t="shared" si="602"/>
        <v>0.167420814479638</v>
      </c>
    </row>
    <row r="493" spans="1:178" ht="14.25" customHeight="1" x14ac:dyDescent="0.25">
      <c r="A493" s="86" t="s">
        <v>273</v>
      </c>
      <c r="B493">
        <v>9</v>
      </c>
      <c r="C493">
        <v>15</v>
      </c>
      <c r="D493" s="8" t="s">
        <v>242</v>
      </c>
      <c r="E493" s="8" t="s">
        <v>197</v>
      </c>
      <c r="F493" s="8" t="s">
        <v>197</v>
      </c>
      <c r="G493" s="8" t="s">
        <v>201</v>
      </c>
      <c r="H493" s="8" t="s">
        <v>194</v>
      </c>
      <c r="I493">
        <v>1</v>
      </c>
      <c r="J493">
        <v>1</v>
      </c>
      <c r="K493">
        <v>1</v>
      </c>
      <c r="L493">
        <v>1</v>
      </c>
      <c r="M493">
        <v>1</v>
      </c>
      <c r="N493">
        <v>1</v>
      </c>
      <c r="O493">
        <v>1</v>
      </c>
      <c r="P493">
        <v>1</v>
      </c>
      <c r="Q493">
        <v>1</v>
      </c>
      <c r="R493">
        <v>1</v>
      </c>
      <c r="S493">
        <v>1</v>
      </c>
      <c r="T493">
        <v>1</v>
      </c>
      <c r="V493">
        <v>1</v>
      </c>
      <c r="W493">
        <v>1</v>
      </c>
      <c r="X493">
        <v>1</v>
      </c>
      <c r="Y493">
        <v>1</v>
      </c>
      <c r="Z493">
        <v>1</v>
      </c>
      <c r="AA493">
        <v>1</v>
      </c>
      <c r="AB493">
        <v>1</v>
      </c>
      <c r="AC493">
        <v>1</v>
      </c>
      <c r="AI493">
        <v>1</v>
      </c>
      <c r="AJ493">
        <v>1</v>
      </c>
      <c r="AK493">
        <v>1</v>
      </c>
      <c r="AL493">
        <v>1</v>
      </c>
      <c r="AM493">
        <v>1</v>
      </c>
      <c r="AN493">
        <v>1</v>
      </c>
      <c r="AO493">
        <v>1</v>
      </c>
      <c r="AV493">
        <v>1</v>
      </c>
      <c r="AW493">
        <v>1</v>
      </c>
      <c r="AX493">
        <v>1</v>
      </c>
      <c r="AY493">
        <v>1</v>
      </c>
      <c r="AZ493">
        <v>1</v>
      </c>
      <c r="BA493">
        <v>1</v>
      </c>
      <c r="BI493">
        <v>1</v>
      </c>
      <c r="BM493">
        <v>1</v>
      </c>
      <c r="BN493">
        <v>1</v>
      </c>
      <c r="BO493">
        <v>1</v>
      </c>
      <c r="CA493">
        <v>1</v>
      </c>
      <c r="CB493">
        <v>1</v>
      </c>
      <c r="CO493">
        <v>1</v>
      </c>
      <c r="DC493">
        <v>1</v>
      </c>
      <c r="DQ493">
        <v>1</v>
      </c>
      <c r="EE493">
        <v>1</v>
      </c>
      <c r="FV493" s="18">
        <f t="shared" si="602"/>
        <v>0.18702865761689291</v>
      </c>
    </row>
    <row r="494" spans="1:178" ht="14.25" customHeight="1" x14ac:dyDescent="0.25">
      <c r="A494" s="86" t="s">
        <v>273</v>
      </c>
      <c r="B494">
        <v>9</v>
      </c>
      <c r="C494">
        <v>15</v>
      </c>
      <c r="D494" s="8" t="s">
        <v>14</v>
      </c>
      <c r="E494" s="8" t="s">
        <v>197</v>
      </c>
      <c r="F494" s="8" t="s">
        <v>197</v>
      </c>
      <c r="G494" s="8" t="s">
        <v>201</v>
      </c>
      <c r="H494" s="8" t="s">
        <v>194</v>
      </c>
      <c r="I494">
        <v>1</v>
      </c>
      <c r="J494">
        <v>1</v>
      </c>
      <c r="K494">
        <v>1</v>
      </c>
      <c r="L494">
        <v>1</v>
      </c>
      <c r="M494">
        <v>1</v>
      </c>
      <c r="N494">
        <v>1</v>
      </c>
      <c r="O494">
        <v>1</v>
      </c>
      <c r="P494">
        <v>1</v>
      </c>
      <c r="Q494">
        <v>1</v>
      </c>
      <c r="R494">
        <v>1</v>
      </c>
      <c r="V494">
        <v>1</v>
      </c>
      <c r="W494">
        <v>1</v>
      </c>
      <c r="X494">
        <v>1</v>
      </c>
      <c r="AA494">
        <v>1</v>
      </c>
      <c r="AB494">
        <v>1</v>
      </c>
      <c r="AI494">
        <v>1</v>
      </c>
      <c r="AJ494">
        <v>1</v>
      </c>
      <c r="AK494">
        <v>1</v>
      </c>
      <c r="AM494">
        <v>1</v>
      </c>
      <c r="AN494">
        <v>1</v>
      </c>
      <c r="AW494">
        <v>1</v>
      </c>
      <c r="AX494">
        <v>1</v>
      </c>
      <c r="AY494">
        <v>1</v>
      </c>
      <c r="AZ494">
        <v>1</v>
      </c>
      <c r="BA494">
        <v>1</v>
      </c>
      <c r="BI494">
        <v>1</v>
      </c>
      <c r="BM494">
        <v>1</v>
      </c>
      <c r="BN494">
        <v>1</v>
      </c>
      <c r="BV494">
        <v>1</v>
      </c>
      <c r="CA494">
        <v>1</v>
      </c>
      <c r="CO494">
        <v>1</v>
      </c>
      <c r="DC494">
        <v>1</v>
      </c>
      <c r="FV494" s="18">
        <f t="shared" si="602"/>
        <v>0.15082956259426847</v>
      </c>
    </row>
    <row r="495" spans="1:178" ht="14.25" customHeight="1" x14ac:dyDescent="0.25">
      <c r="A495" s="86" t="s">
        <v>273</v>
      </c>
      <c r="B495">
        <v>9</v>
      </c>
      <c r="C495">
        <v>15</v>
      </c>
      <c r="D495" s="8" t="s">
        <v>14</v>
      </c>
      <c r="E495" s="8" t="s">
        <v>197</v>
      </c>
      <c r="F495" s="8" t="s">
        <v>197</v>
      </c>
      <c r="G495" s="8" t="s">
        <v>201</v>
      </c>
      <c r="H495" s="26" t="s">
        <v>220</v>
      </c>
      <c r="Y495">
        <v>1</v>
      </c>
      <c r="Z495">
        <v>1</v>
      </c>
      <c r="AL495">
        <v>1</v>
      </c>
      <c r="AV495">
        <v>1</v>
      </c>
      <c r="DQ495">
        <v>1</v>
      </c>
      <c r="FV495" s="18">
        <f t="shared" si="602"/>
        <v>2.2624434389140271E-2</v>
      </c>
    </row>
    <row r="496" spans="1:178" ht="14.25" customHeight="1" x14ac:dyDescent="0.25">
      <c r="A496" s="86" t="s">
        <v>273</v>
      </c>
      <c r="B496">
        <v>9</v>
      </c>
      <c r="C496">
        <v>15</v>
      </c>
      <c r="D496" s="8" t="s">
        <v>13</v>
      </c>
      <c r="E496" s="8" t="s">
        <v>197</v>
      </c>
      <c r="F496" s="8" t="s">
        <v>197</v>
      </c>
      <c r="G496" s="8" t="s">
        <v>201</v>
      </c>
      <c r="H496" s="8" t="s">
        <v>194</v>
      </c>
      <c r="I496">
        <v>1</v>
      </c>
      <c r="J496">
        <v>1</v>
      </c>
      <c r="K496">
        <v>1</v>
      </c>
      <c r="L496">
        <v>1</v>
      </c>
      <c r="M496">
        <v>1</v>
      </c>
      <c r="O496">
        <v>1</v>
      </c>
      <c r="P496">
        <v>1</v>
      </c>
      <c r="Q496">
        <v>1</v>
      </c>
      <c r="R496">
        <v>1</v>
      </c>
      <c r="S496">
        <v>1</v>
      </c>
      <c r="T496">
        <v>1</v>
      </c>
      <c r="V496">
        <v>1</v>
      </c>
      <c r="W496">
        <v>1</v>
      </c>
      <c r="X496">
        <v>1</v>
      </c>
      <c r="AA496">
        <v>1</v>
      </c>
      <c r="AB496">
        <v>1</v>
      </c>
      <c r="AK496">
        <v>1</v>
      </c>
      <c r="AM496">
        <v>1</v>
      </c>
      <c r="AN496">
        <v>1</v>
      </c>
      <c r="AW496">
        <v>1</v>
      </c>
      <c r="AX496">
        <v>1</v>
      </c>
      <c r="AY496">
        <v>1</v>
      </c>
      <c r="BA496">
        <v>1</v>
      </c>
      <c r="BI496">
        <v>1</v>
      </c>
      <c r="BJ496">
        <v>1</v>
      </c>
      <c r="BK496">
        <v>1</v>
      </c>
      <c r="BM496">
        <v>1</v>
      </c>
      <c r="BN496">
        <v>1</v>
      </c>
      <c r="BV496">
        <v>1</v>
      </c>
      <c r="CA496">
        <v>1</v>
      </c>
      <c r="CO496">
        <v>1</v>
      </c>
      <c r="DC496">
        <v>1</v>
      </c>
      <c r="FV496" s="18">
        <f t="shared" si="602"/>
        <v>0.15082956259426847</v>
      </c>
    </row>
    <row r="497" spans="1:178" ht="14.25" customHeight="1" x14ac:dyDescent="0.25">
      <c r="A497" s="86" t="s">
        <v>273</v>
      </c>
      <c r="B497">
        <v>9</v>
      </c>
      <c r="C497">
        <v>15</v>
      </c>
      <c r="D497" s="8" t="s">
        <v>13</v>
      </c>
      <c r="E497" s="8" t="s">
        <v>197</v>
      </c>
      <c r="F497" s="8" t="s">
        <v>197</v>
      </c>
      <c r="G497" s="8" t="s">
        <v>201</v>
      </c>
      <c r="H497" s="26" t="s">
        <v>220</v>
      </c>
      <c r="N497">
        <v>1</v>
      </c>
      <c r="Y497">
        <v>1</v>
      </c>
      <c r="Z497">
        <v>1</v>
      </c>
      <c r="AI497">
        <v>1</v>
      </c>
      <c r="AJ497">
        <v>1</v>
      </c>
      <c r="AL497">
        <v>1</v>
      </c>
      <c r="AV497">
        <v>1</v>
      </c>
      <c r="AZ497">
        <v>1</v>
      </c>
      <c r="DQ497">
        <v>1</v>
      </c>
      <c r="EE497">
        <v>1</v>
      </c>
      <c r="FV497" s="18">
        <f t="shared" si="602"/>
        <v>5.128205128205128E-2</v>
      </c>
    </row>
    <row r="498" spans="1:178" ht="14.25" customHeight="1" x14ac:dyDescent="0.25">
      <c r="A498" s="86" t="s">
        <v>273</v>
      </c>
      <c r="B498">
        <v>9</v>
      </c>
      <c r="C498">
        <v>15</v>
      </c>
      <c r="D498" s="8" t="s">
        <v>12</v>
      </c>
      <c r="E498" s="8" t="s">
        <v>197</v>
      </c>
      <c r="F498" s="8" t="s">
        <v>197</v>
      </c>
      <c r="G498" s="8" t="s">
        <v>201</v>
      </c>
      <c r="H498" s="8" t="s">
        <v>194</v>
      </c>
      <c r="I498">
        <v>1</v>
      </c>
      <c r="J498">
        <v>1</v>
      </c>
      <c r="K498">
        <v>1</v>
      </c>
      <c r="L498">
        <v>1</v>
      </c>
      <c r="M498">
        <v>1</v>
      </c>
      <c r="N498">
        <v>1</v>
      </c>
      <c r="O498">
        <v>1</v>
      </c>
      <c r="P498">
        <v>1</v>
      </c>
      <c r="Q498">
        <v>1</v>
      </c>
      <c r="T498">
        <v>1</v>
      </c>
      <c r="U498">
        <v>1</v>
      </c>
      <c r="V498">
        <v>1</v>
      </c>
      <c r="W498">
        <v>1</v>
      </c>
      <c r="X498">
        <v>1</v>
      </c>
      <c r="AA498">
        <v>1</v>
      </c>
      <c r="AB498">
        <v>1</v>
      </c>
      <c r="AJ498">
        <v>1</v>
      </c>
      <c r="AK498">
        <v>1</v>
      </c>
      <c r="AN498">
        <v>1</v>
      </c>
      <c r="AO498">
        <v>1</v>
      </c>
      <c r="AW498">
        <v>1</v>
      </c>
      <c r="AX498">
        <v>1</v>
      </c>
      <c r="AY498">
        <v>1</v>
      </c>
      <c r="BA498">
        <v>1</v>
      </c>
      <c r="BJ498">
        <v>1</v>
      </c>
      <c r="BK498">
        <v>1</v>
      </c>
      <c r="BL498">
        <v>1</v>
      </c>
      <c r="BM498">
        <v>1</v>
      </c>
      <c r="BN498">
        <v>1</v>
      </c>
      <c r="CA498">
        <v>1</v>
      </c>
      <c r="CI498">
        <v>1</v>
      </c>
      <c r="CO498">
        <v>1</v>
      </c>
      <c r="DC498">
        <v>1</v>
      </c>
      <c r="FV498" s="18">
        <f t="shared" si="602"/>
        <v>0.15987933634992457</v>
      </c>
    </row>
    <row r="499" spans="1:178" ht="14.25" customHeight="1" x14ac:dyDescent="0.25">
      <c r="A499" s="86" t="s">
        <v>273</v>
      </c>
      <c r="B499">
        <v>9</v>
      </c>
      <c r="C499">
        <v>15</v>
      </c>
      <c r="D499" s="8" t="s">
        <v>12</v>
      </c>
      <c r="E499" s="8" t="s">
        <v>197</v>
      </c>
      <c r="F499" s="8" t="s">
        <v>197</v>
      </c>
      <c r="G499" s="8" t="s">
        <v>201</v>
      </c>
      <c r="H499" s="26" t="s">
        <v>220</v>
      </c>
      <c r="R499">
        <v>1</v>
      </c>
      <c r="S499">
        <v>1</v>
      </c>
      <c r="Y499">
        <v>1</v>
      </c>
      <c r="Z499">
        <v>1</v>
      </c>
      <c r="AI499">
        <v>1</v>
      </c>
      <c r="AL499">
        <v>1</v>
      </c>
      <c r="AM499">
        <v>1</v>
      </c>
      <c r="AV499">
        <v>1</v>
      </c>
      <c r="AZ499">
        <v>1</v>
      </c>
      <c r="BI499">
        <v>1</v>
      </c>
      <c r="BV499">
        <v>1</v>
      </c>
      <c r="DQ499">
        <v>1</v>
      </c>
      <c r="EE499">
        <v>1</v>
      </c>
      <c r="ES499">
        <v>1</v>
      </c>
      <c r="FV499" s="18">
        <f t="shared" si="602"/>
        <v>7.0889894419306182E-2</v>
      </c>
    </row>
    <row r="500" spans="1:178" ht="14.25" customHeight="1" x14ac:dyDescent="0.25">
      <c r="A500" s="86" t="s">
        <v>273</v>
      </c>
      <c r="B500">
        <v>9</v>
      </c>
      <c r="C500">
        <v>15</v>
      </c>
      <c r="D500" s="8" t="s">
        <v>11</v>
      </c>
      <c r="E500" s="8" t="s">
        <v>197</v>
      </c>
      <c r="F500" s="8" t="s">
        <v>197</v>
      </c>
      <c r="G500" s="8" t="s">
        <v>201</v>
      </c>
      <c r="H500" s="8" t="s">
        <v>194</v>
      </c>
      <c r="I500">
        <v>1</v>
      </c>
      <c r="J500">
        <v>1</v>
      </c>
      <c r="K500">
        <v>1</v>
      </c>
      <c r="L500">
        <v>1</v>
      </c>
      <c r="M500">
        <v>1</v>
      </c>
      <c r="N500">
        <v>1</v>
      </c>
      <c r="O500">
        <v>1</v>
      </c>
      <c r="P500">
        <v>1</v>
      </c>
      <c r="V500">
        <v>1</v>
      </c>
      <c r="W500">
        <v>1</v>
      </c>
      <c r="X500">
        <v>1</v>
      </c>
      <c r="Y500">
        <v>1</v>
      </c>
      <c r="AB500">
        <v>1</v>
      </c>
      <c r="AC500">
        <v>1</v>
      </c>
      <c r="AK500">
        <v>1</v>
      </c>
      <c r="AN500">
        <v>1</v>
      </c>
      <c r="AO500">
        <v>1</v>
      </c>
      <c r="AP500">
        <v>1</v>
      </c>
      <c r="AX500">
        <v>1</v>
      </c>
      <c r="AY500">
        <v>1</v>
      </c>
      <c r="BB500">
        <v>1</v>
      </c>
      <c r="BJ500">
        <v>1</v>
      </c>
      <c r="BK500">
        <v>1</v>
      </c>
      <c r="BL500">
        <v>1</v>
      </c>
      <c r="BM500">
        <v>1</v>
      </c>
      <c r="BO500">
        <v>1</v>
      </c>
      <c r="BW500">
        <v>1</v>
      </c>
      <c r="CA500">
        <v>1</v>
      </c>
      <c r="CB500">
        <v>1</v>
      </c>
      <c r="CO500">
        <v>1</v>
      </c>
      <c r="DI500">
        <v>1</v>
      </c>
      <c r="DV500">
        <v>1</v>
      </c>
      <c r="EI500">
        <v>1</v>
      </c>
      <c r="FV500" s="18">
        <f t="shared" si="602"/>
        <v>0.16440422322775264</v>
      </c>
    </row>
    <row r="501" spans="1:178" ht="14.25" customHeight="1" x14ac:dyDescent="0.25">
      <c r="A501" s="86" t="s">
        <v>273</v>
      </c>
      <c r="B501">
        <v>9</v>
      </c>
      <c r="C501">
        <v>15</v>
      </c>
      <c r="D501" s="8" t="s">
        <v>11</v>
      </c>
      <c r="E501" s="8" t="s">
        <v>197</v>
      </c>
      <c r="F501" s="8" t="s">
        <v>197</v>
      </c>
      <c r="G501" s="8" t="s">
        <v>201</v>
      </c>
      <c r="H501" s="26" t="s">
        <v>220</v>
      </c>
      <c r="Q501">
        <v>1</v>
      </c>
      <c r="R501">
        <v>1</v>
      </c>
      <c r="S501">
        <v>1</v>
      </c>
      <c r="T501">
        <v>1</v>
      </c>
      <c r="U501">
        <v>1</v>
      </c>
      <c r="Z501">
        <v>1</v>
      </c>
      <c r="AA501">
        <v>1</v>
      </c>
      <c r="AI501">
        <v>1</v>
      </c>
      <c r="AJ501">
        <v>1</v>
      </c>
      <c r="AL501">
        <v>1</v>
      </c>
      <c r="AM501">
        <v>1</v>
      </c>
      <c r="AV501">
        <v>1</v>
      </c>
      <c r="AW501">
        <v>1</v>
      </c>
      <c r="AZ501">
        <v>1</v>
      </c>
      <c r="BA501">
        <v>1</v>
      </c>
      <c r="BI501">
        <v>1</v>
      </c>
      <c r="BN501">
        <v>1</v>
      </c>
      <c r="BV501">
        <v>1</v>
      </c>
      <c r="CI501">
        <v>1</v>
      </c>
      <c r="CV501">
        <v>1</v>
      </c>
      <c r="DC501">
        <v>1</v>
      </c>
      <c r="DQ501">
        <v>1</v>
      </c>
      <c r="EE501">
        <v>1</v>
      </c>
      <c r="ES501">
        <v>1</v>
      </c>
      <c r="FG501">
        <v>1</v>
      </c>
      <c r="FU501">
        <v>1</v>
      </c>
      <c r="FV501" s="18">
        <f t="shared" si="602"/>
        <v>0.13574660633484162</v>
      </c>
    </row>
    <row r="502" spans="1:178" ht="14.25" customHeight="1" x14ac:dyDescent="0.25">
      <c r="A502" s="86" t="s">
        <v>273</v>
      </c>
      <c r="B502">
        <v>9</v>
      </c>
      <c r="C502">
        <v>15</v>
      </c>
      <c r="D502" s="8" t="s">
        <v>9</v>
      </c>
      <c r="E502" s="8" t="s">
        <v>197</v>
      </c>
      <c r="F502" s="8" t="s">
        <v>197</v>
      </c>
      <c r="G502" s="8" t="s">
        <v>201</v>
      </c>
      <c r="H502" s="26" t="s">
        <v>220</v>
      </c>
      <c r="N502">
        <v>1</v>
      </c>
      <c r="O502">
        <v>1</v>
      </c>
      <c r="V502">
        <v>1</v>
      </c>
      <c r="AI502">
        <v>1</v>
      </c>
      <c r="AQ502">
        <v>1</v>
      </c>
      <c r="AR502">
        <v>1</v>
      </c>
      <c r="AV502">
        <v>1</v>
      </c>
      <c r="AW502">
        <v>1</v>
      </c>
      <c r="BB502">
        <v>1</v>
      </c>
      <c r="BE502">
        <v>1</v>
      </c>
      <c r="BI502">
        <v>1</v>
      </c>
      <c r="BO502">
        <v>1</v>
      </c>
      <c r="BP502">
        <v>1</v>
      </c>
      <c r="BV502">
        <v>1</v>
      </c>
      <c r="BW502">
        <v>1</v>
      </c>
      <c r="CB502">
        <v>1</v>
      </c>
      <c r="CC502">
        <v>1</v>
      </c>
      <c r="CD502">
        <v>1</v>
      </c>
      <c r="CI502">
        <v>1</v>
      </c>
      <c r="CP502">
        <v>1</v>
      </c>
      <c r="CQ502">
        <v>1</v>
      </c>
      <c r="CV502">
        <v>1</v>
      </c>
      <c r="CW502">
        <v>1</v>
      </c>
      <c r="DB502">
        <v>1</v>
      </c>
      <c r="DD502">
        <v>1</v>
      </c>
      <c r="DE502">
        <v>1</v>
      </c>
      <c r="DI502">
        <v>1</v>
      </c>
      <c r="DJ502">
        <v>1</v>
      </c>
      <c r="DK502">
        <v>1</v>
      </c>
      <c r="DQ502">
        <v>1</v>
      </c>
      <c r="DR502">
        <v>1</v>
      </c>
      <c r="DV502">
        <v>1</v>
      </c>
      <c r="EE502">
        <v>1</v>
      </c>
      <c r="EI502">
        <v>1</v>
      </c>
      <c r="ES502">
        <v>1</v>
      </c>
      <c r="EV502">
        <v>1</v>
      </c>
      <c r="FG502">
        <v>1</v>
      </c>
      <c r="FI502">
        <v>1</v>
      </c>
      <c r="FU502">
        <v>1</v>
      </c>
      <c r="FV502" s="18">
        <f t="shared" ref="FV502:FV503" si="604">SUMPRODUCT(I502:FU502,$I$1:$FU$1)/(SUM($I$1:$FU$1))</f>
        <v>0.23378582202111614</v>
      </c>
    </row>
    <row r="503" spans="1:178" ht="14.25" customHeight="1" x14ac:dyDescent="0.25">
      <c r="A503" s="86" t="s">
        <v>273</v>
      </c>
      <c r="B503">
        <v>9</v>
      </c>
      <c r="C503">
        <v>15</v>
      </c>
      <c r="D503" s="8" t="s">
        <v>9</v>
      </c>
      <c r="E503" s="8" t="s">
        <v>197</v>
      </c>
      <c r="F503" s="8" t="s">
        <v>197</v>
      </c>
      <c r="G503" s="8" t="s">
        <v>201</v>
      </c>
      <c r="H503" s="8" t="s">
        <v>195</v>
      </c>
      <c r="I503">
        <v>1</v>
      </c>
      <c r="J503">
        <v>1</v>
      </c>
      <c r="K503">
        <v>1</v>
      </c>
      <c r="L503">
        <v>1</v>
      </c>
      <c r="M503">
        <v>1</v>
      </c>
      <c r="P503">
        <v>1</v>
      </c>
      <c r="Q503">
        <v>1</v>
      </c>
      <c r="R503">
        <v>1</v>
      </c>
      <c r="S503">
        <v>1</v>
      </c>
      <c r="T503">
        <v>1</v>
      </c>
      <c r="U503">
        <v>1</v>
      </c>
      <c r="W503">
        <v>1</v>
      </c>
      <c r="X503">
        <v>1</v>
      </c>
      <c r="Y503">
        <v>1</v>
      </c>
      <c r="Z503">
        <v>1</v>
      </c>
      <c r="AA503">
        <v>1</v>
      </c>
      <c r="AB503">
        <v>1</v>
      </c>
      <c r="AC503">
        <v>1</v>
      </c>
      <c r="AD503">
        <v>1</v>
      </c>
      <c r="AE503">
        <v>1</v>
      </c>
      <c r="AF503">
        <v>1</v>
      </c>
      <c r="AG503">
        <v>1</v>
      </c>
      <c r="AH503">
        <v>1</v>
      </c>
      <c r="AJ503">
        <v>1</v>
      </c>
      <c r="AK503">
        <v>1</v>
      </c>
      <c r="AL503">
        <v>1</v>
      </c>
      <c r="AM503">
        <v>1</v>
      </c>
      <c r="AN503">
        <v>1</v>
      </c>
      <c r="AO503">
        <v>1</v>
      </c>
      <c r="AP503">
        <v>1</v>
      </c>
      <c r="AS503">
        <v>1</v>
      </c>
      <c r="AT503">
        <v>1</v>
      </c>
      <c r="AU503">
        <v>1</v>
      </c>
      <c r="AX503">
        <v>1</v>
      </c>
      <c r="AY503">
        <v>1</v>
      </c>
      <c r="AZ503">
        <v>1</v>
      </c>
      <c r="BA503">
        <v>1</v>
      </c>
      <c r="BC503">
        <v>1</v>
      </c>
      <c r="BD503">
        <v>1</v>
      </c>
      <c r="BF503">
        <v>1</v>
      </c>
      <c r="BG503">
        <v>1</v>
      </c>
      <c r="BH503">
        <v>1</v>
      </c>
      <c r="BJ503">
        <v>1</v>
      </c>
      <c r="BK503">
        <v>1</v>
      </c>
      <c r="BL503">
        <v>1</v>
      </c>
      <c r="BM503">
        <v>1</v>
      </c>
      <c r="BN503">
        <v>1</v>
      </c>
      <c r="BQ503">
        <v>1</v>
      </c>
      <c r="BR503">
        <v>1</v>
      </c>
      <c r="BS503">
        <v>1</v>
      </c>
      <c r="BT503">
        <v>1</v>
      </c>
      <c r="BU503">
        <v>1</v>
      </c>
      <c r="BX503">
        <v>1</v>
      </c>
      <c r="BY503">
        <v>1</v>
      </c>
      <c r="BZ503">
        <v>1</v>
      </c>
      <c r="CA503">
        <v>1</v>
      </c>
      <c r="CE503">
        <v>1</v>
      </c>
      <c r="CF503">
        <v>1</v>
      </c>
      <c r="CG503">
        <v>1</v>
      </c>
      <c r="CH503">
        <v>1</v>
      </c>
      <c r="CJ503">
        <v>1</v>
      </c>
      <c r="CK503">
        <v>1</v>
      </c>
      <c r="CL503">
        <v>1</v>
      </c>
      <c r="CM503">
        <v>1</v>
      </c>
      <c r="CN503">
        <v>1</v>
      </c>
      <c r="CO503">
        <v>1</v>
      </c>
      <c r="CR503">
        <v>1</v>
      </c>
      <c r="CS503">
        <v>1</v>
      </c>
      <c r="CT503">
        <v>1</v>
      </c>
      <c r="CU503">
        <v>1</v>
      </c>
      <c r="CX503">
        <v>1</v>
      </c>
      <c r="CY503">
        <v>1</v>
      </c>
      <c r="CZ503">
        <v>1</v>
      </c>
      <c r="DA503">
        <v>1</v>
      </c>
      <c r="DC503">
        <v>1</v>
      </c>
      <c r="DF503">
        <v>1</v>
      </c>
      <c r="DG503">
        <v>1</v>
      </c>
      <c r="DH503">
        <v>1</v>
      </c>
      <c r="DL503">
        <v>1</v>
      </c>
      <c r="DM503">
        <v>1</v>
      </c>
      <c r="DN503">
        <v>1</v>
      </c>
      <c r="DO503">
        <v>1</v>
      </c>
      <c r="DP503">
        <v>1</v>
      </c>
      <c r="DS503">
        <v>1</v>
      </c>
      <c r="DT503">
        <v>1</v>
      </c>
      <c r="DU503">
        <v>1</v>
      </c>
      <c r="DW503">
        <v>1</v>
      </c>
      <c r="DX503">
        <v>1</v>
      </c>
      <c r="DY503">
        <v>1</v>
      </c>
      <c r="DZ503">
        <v>1</v>
      </c>
      <c r="EA503">
        <v>1</v>
      </c>
      <c r="EB503">
        <v>1</v>
      </c>
      <c r="EC503">
        <v>1</v>
      </c>
      <c r="ED503">
        <v>1</v>
      </c>
      <c r="EF503">
        <v>1</v>
      </c>
      <c r="EG503">
        <v>1</v>
      </c>
      <c r="EH503">
        <v>1</v>
      </c>
      <c r="EJ503">
        <v>1</v>
      </c>
      <c r="EK503">
        <v>1</v>
      </c>
      <c r="EL503">
        <v>1</v>
      </c>
      <c r="EM503">
        <v>1</v>
      </c>
      <c r="ER503">
        <v>1</v>
      </c>
      <c r="ET503">
        <v>1</v>
      </c>
      <c r="EU503">
        <v>1</v>
      </c>
      <c r="EW503">
        <v>1</v>
      </c>
      <c r="EX503">
        <v>1</v>
      </c>
      <c r="EY503">
        <v>1</v>
      </c>
      <c r="EZ503">
        <v>1</v>
      </c>
      <c r="FH503">
        <v>1</v>
      </c>
      <c r="FJ503">
        <v>1</v>
      </c>
      <c r="FK503">
        <v>1</v>
      </c>
      <c r="FL503">
        <v>1</v>
      </c>
      <c r="FV503" s="18">
        <f t="shared" si="604"/>
        <v>0.60331825037707387</v>
      </c>
    </row>
    <row r="504" spans="1:178" ht="14.25" customHeight="1" x14ac:dyDescent="0.25">
      <c r="A504" s="86" t="s">
        <v>273</v>
      </c>
      <c r="B504">
        <v>9</v>
      </c>
      <c r="C504">
        <v>15</v>
      </c>
      <c r="D504" s="26" t="s">
        <v>242</v>
      </c>
      <c r="E504" s="21" t="s">
        <v>15</v>
      </c>
      <c r="F504" s="8" t="s">
        <v>197</v>
      </c>
      <c r="G504" s="8" t="s">
        <v>201</v>
      </c>
      <c r="H504" s="25" t="s">
        <v>220</v>
      </c>
      <c r="I504">
        <v>1</v>
      </c>
      <c r="J504">
        <v>1</v>
      </c>
      <c r="K504">
        <v>1</v>
      </c>
      <c r="L504">
        <v>1</v>
      </c>
      <c r="M504">
        <v>1</v>
      </c>
      <c r="V504">
        <v>1</v>
      </c>
      <c r="W504">
        <v>1</v>
      </c>
      <c r="X504">
        <v>1</v>
      </c>
      <c r="Y504">
        <v>1</v>
      </c>
      <c r="AI504">
        <v>1</v>
      </c>
      <c r="AK504">
        <v>1</v>
      </c>
      <c r="AL504">
        <v>1</v>
      </c>
      <c r="AY504">
        <v>1</v>
      </c>
      <c r="BM504">
        <v>1</v>
      </c>
      <c r="CA504">
        <v>1</v>
      </c>
      <c r="CO504">
        <v>1</v>
      </c>
      <c r="FV504" s="18">
        <f t="shared" ref="FV504:FV555" si="605">SUMPRODUCT(I504:FU504,$I$1:$FU$1)/(SUM($I$1:$FU$1))</f>
        <v>7.0889894419306182E-2</v>
      </c>
    </row>
    <row r="505" spans="1:178" ht="14.25" customHeight="1" x14ac:dyDescent="0.25">
      <c r="A505" s="86" t="s">
        <v>273</v>
      </c>
      <c r="B505">
        <v>9</v>
      </c>
      <c r="C505">
        <v>15</v>
      </c>
      <c r="D505" s="26" t="s">
        <v>14</v>
      </c>
      <c r="E505" s="21" t="s">
        <v>15</v>
      </c>
      <c r="F505" s="8" t="s">
        <v>197</v>
      </c>
      <c r="G505" s="8" t="s">
        <v>201</v>
      </c>
      <c r="H505" s="25" t="s">
        <v>220</v>
      </c>
      <c r="I505">
        <v>1</v>
      </c>
      <c r="J505">
        <v>1</v>
      </c>
      <c r="K505">
        <v>1</v>
      </c>
      <c r="L505">
        <v>1</v>
      </c>
      <c r="M505">
        <v>1</v>
      </c>
      <c r="V505">
        <v>1</v>
      </c>
      <c r="W505">
        <v>1</v>
      </c>
      <c r="X505">
        <v>1</v>
      </c>
      <c r="Y505">
        <v>1</v>
      </c>
      <c r="AI505">
        <v>1</v>
      </c>
      <c r="AK505">
        <v>1</v>
      </c>
      <c r="AL505">
        <v>1</v>
      </c>
      <c r="AY505">
        <v>1</v>
      </c>
      <c r="BM505">
        <v>1</v>
      </c>
      <c r="CA505">
        <v>1</v>
      </c>
      <c r="CO505">
        <v>1</v>
      </c>
      <c r="FV505" s="18">
        <f t="shared" si="605"/>
        <v>7.0889894419306182E-2</v>
      </c>
    </row>
    <row r="506" spans="1:178" ht="14.25" customHeight="1" x14ac:dyDescent="0.25">
      <c r="A506" s="86" t="s">
        <v>273</v>
      </c>
      <c r="B506">
        <v>9</v>
      </c>
      <c r="C506">
        <v>15</v>
      </c>
      <c r="D506" s="26" t="s">
        <v>13</v>
      </c>
      <c r="E506" s="21" t="s">
        <v>15</v>
      </c>
      <c r="F506" s="8" t="s">
        <v>197</v>
      </c>
      <c r="G506" s="8" t="s">
        <v>201</v>
      </c>
      <c r="H506" s="25" t="s">
        <v>220</v>
      </c>
      <c r="I506">
        <v>1</v>
      </c>
      <c r="J506">
        <v>1</v>
      </c>
      <c r="K506">
        <v>1</v>
      </c>
      <c r="L506">
        <v>1</v>
      </c>
      <c r="M506">
        <v>1</v>
      </c>
      <c r="V506">
        <v>1</v>
      </c>
      <c r="W506">
        <v>1</v>
      </c>
      <c r="X506">
        <v>1</v>
      </c>
      <c r="Y506">
        <v>1</v>
      </c>
      <c r="Z506">
        <v>1</v>
      </c>
      <c r="AI506">
        <v>1</v>
      </c>
      <c r="AK506">
        <v>1</v>
      </c>
      <c r="AL506">
        <v>1</v>
      </c>
      <c r="AY506">
        <v>1</v>
      </c>
      <c r="BM506">
        <v>1</v>
      </c>
      <c r="CA506">
        <v>1</v>
      </c>
      <c r="CO506">
        <v>1</v>
      </c>
      <c r="DC506">
        <v>1</v>
      </c>
      <c r="FV506" s="18">
        <f t="shared" si="605"/>
        <v>7.8431372549019607E-2</v>
      </c>
    </row>
    <row r="507" spans="1:178" ht="14.25" customHeight="1" x14ac:dyDescent="0.25">
      <c r="A507" s="86" t="s">
        <v>273</v>
      </c>
      <c r="B507">
        <v>9</v>
      </c>
      <c r="C507">
        <v>15</v>
      </c>
      <c r="D507" s="26" t="s">
        <v>12</v>
      </c>
      <c r="E507" s="21" t="s">
        <v>15</v>
      </c>
      <c r="F507" s="8" t="s">
        <v>197</v>
      </c>
      <c r="G507" s="8" t="s">
        <v>201</v>
      </c>
      <c r="H507" s="25" t="s">
        <v>220</v>
      </c>
      <c r="I507">
        <v>1</v>
      </c>
      <c r="J507">
        <v>1</v>
      </c>
      <c r="K507">
        <v>1</v>
      </c>
      <c r="L507">
        <v>1</v>
      </c>
      <c r="M507">
        <v>1</v>
      </c>
      <c r="V507">
        <v>1</v>
      </c>
      <c r="W507">
        <v>1</v>
      </c>
      <c r="X507">
        <v>1</v>
      </c>
      <c r="Y507">
        <v>1</v>
      </c>
      <c r="Z507">
        <v>1</v>
      </c>
      <c r="AI507">
        <v>1</v>
      </c>
      <c r="AK507">
        <v>1</v>
      </c>
      <c r="AL507">
        <v>1</v>
      </c>
      <c r="AY507">
        <v>1</v>
      </c>
      <c r="BM507">
        <v>1</v>
      </c>
      <c r="CA507">
        <v>1</v>
      </c>
      <c r="CO507">
        <v>1</v>
      </c>
      <c r="DC507">
        <v>1</v>
      </c>
      <c r="FV507" s="18">
        <f t="shared" si="605"/>
        <v>7.8431372549019607E-2</v>
      </c>
    </row>
    <row r="508" spans="1:178" ht="14.25" customHeight="1" x14ac:dyDescent="0.25">
      <c r="A508" s="86" t="s">
        <v>273</v>
      </c>
      <c r="B508">
        <v>9</v>
      </c>
      <c r="C508">
        <v>15</v>
      </c>
      <c r="D508" s="26" t="s">
        <v>11</v>
      </c>
      <c r="E508" s="21" t="s">
        <v>15</v>
      </c>
      <c r="F508" s="8" t="s">
        <v>197</v>
      </c>
      <c r="G508" s="8" t="s">
        <v>201</v>
      </c>
      <c r="H508" s="25" t="s">
        <v>220</v>
      </c>
      <c r="I508">
        <v>1</v>
      </c>
      <c r="J508">
        <v>1</v>
      </c>
      <c r="K508">
        <v>1</v>
      </c>
      <c r="L508">
        <v>1</v>
      </c>
      <c r="M508">
        <v>1</v>
      </c>
      <c r="N508">
        <v>1</v>
      </c>
      <c r="V508">
        <v>1</v>
      </c>
      <c r="W508">
        <v>1</v>
      </c>
      <c r="X508">
        <v>1</v>
      </c>
      <c r="Y508">
        <v>1</v>
      </c>
      <c r="Z508">
        <v>1</v>
      </c>
      <c r="AI508">
        <v>1</v>
      </c>
      <c r="AJ508">
        <v>1</v>
      </c>
      <c r="AK508">
        <v>1</v>
      </c>
      <c r="AL508">
        <v>1</v>
      </c>
      <c r="AV508">
        <v>1</v>
      </c>
      <c r="AY508">
        <v>1</v>
      </c>
      <c r="BM508">
        <v>1</v>
      </c>
      <c r="CA508">
        <v>1</v>
      </c>
      <c r="CO508">
        <v>1</v>
      </c>
      <c r="DC508">
        <v>1</v>
      </c>
      <c r="DQ508">
        <v>1</v>
      </c>
      <c r="FV508" s="18">
        <f t="shared" si="605"/>
        <v>0.10407239819004525</v>
      </c>
    </row>
    <row r="509" spans="1:178" ht="14.25" customHeight="1" x14ac:dyDescent="0.25">
      <c r="A509" s="86" t="s">
        <v>273</v>
      </c>
      <c r="B509">
        <v>9</v>
      </c>
      <c r="C509">
        <v>15</v>
      </c>
      <c r="D509" s="26" t="s">
        <v>10</v>
      </c>
      <c r="E509" s="21" t="s">
        <v>15</v>
      </c>
      <c r="F509" s="8" t="s">
        <v>197</v>
      </c>
      <c r="G509" s="8" t="s">
        <v>201</v>
      </c>
      <c r="H509" s="25" t="s">
        <v>220</v>
      </c>
      <c r="J509">
        <v>1</v>
      </c>
      <c r="K509">
        <v>1</v>
      </c>
      <c r="L509">
        <v>1</v>
      </c>
      <c r="M509">
        <v>1</v>
      </c>
      <c r="V509">
        <v>1</v>
      </c>
      <c r="W509">
        <v>1</v>
      </c>
      <c r="X509">
        <v>1</v>
      </c>
      <c r="Y509">
        <v>1</v>
      </c>
      <c r="Z509">
        <v>1</v>
      </c>
      <c r="AI509">
        <v>1</v>
      </c>
      <c r="AK509">
        <v>1</v>
      </c>
      <c r="AL509">
        <v>1</v>
      </c>
      <c r="AM509">
        <v>1</v>
      </c>
      <c r="AV509">
        <v>1</v>
      </c>
      <c r="AY509">
        <v>1</v>
      </c>
      <c r="BM509">
        <v>1</v>
      </c>
      <c r="CA509">
        <v>1</v>
      </c>
      <c r="CO509">
        <v>1</v>
      </c>
      <c r="DC509">
        <v>1</v>
      </c>
      <c r="DQ509">
        <v>1</v>
      </c>
      <c r="FV509" s="18">
        <f t="shared" si="605"/>
        <v>9.0497737556561084E-2</v>
      </c>
    </row>
    <row r="510" spans="1:178" ht="14.25" customHeight="1" x14ac:dyDescent="0.25">
      <c r="A510" s="86" t="s">
        <v>273</v>
      </c>
      <c r="B510">
        <v>9</v>
      </c>
      <c r="C510">
        <v>15</v>
      </c>
      <c r="D510" s="26" t="s">
        <v>10</v>
      </c>
      <c r="E510" s="21" t="s">
        <v>15</v>
      </c>
      <c r="F510" s="8" t="s">
        <v>197</v>
      </c>
      <c r="G510" s="8" t="s">
        <v>201</v>
      </c>
      <c r="H510" s="26" t="s">
        <v>195</v>
      </c>
      <c r="I510">
        <v>1</v>
      </c>
      <c r="N510">
        <v>1</v>
      </c>
      <c r="O510">
        <v>1</v>
      </c>
      <c r="R510">
        <v>1</v>
      </c>
      <c r="AJ510">
        <v>1</v>
      </c>
      <c r="AZ510">
        <v>1</v>
      </c>
      <c r="BN510">
        <v>1</v>
      </c>
      <c r="CB510">
        <v>1</v>
      </c>
      <c r="EE510">
        <v>1</v>
      </c>
      <c r="ES510">
        <v>1</v>
      </c>
      <c r="FV510" s="18">
        <f t="shared" si="605"/>
        <v>4.072398190045249E-2</v>
      </c>
    </row>
    <row r="511" spans="1:178" ht="14.25" customHeight="1" x14ac:dyDescent="0.25">
      <c r="A511" s="86" t="s">
        <v>273</v>
      </c>
      <c r="B511">
        <v>9</v>
      </c>
      <c r="C511">
        <v>15</v>
      </c>
      <c r="D511" s="26" t="s">
        <v>9</v>
      </c>
      <c r="E511" s="21" t="s">
        <v>15</v>
      </c>
      <c r="F511" s="8" t="s">
        <v>197</v>
      </c>
      <c r="G511" s="8" t="s">
        <v>201</v>
      </c>
      <c r="H511" s="26" t="s">
        <v>220</v>
      </c>
      <c r="I511">
        <v>1</v>
      </c>
      <c r="J511">
        <v>1</v>
      </c>
      <c r="K511">
        <v>1</v>
      </c>
      <c r="L511">
        <v>1</v>
      </c>
      <c r="V511">
        <v>1</v>
      </c>
      <c r="W511">
        <v>1</v>
      </c>
      <c r="X511">
        <v>1</v>
      </c>
      <c r="Y511">
        <v>1</v>
      </c>
      <c r="Z511">
        <v>1</v>
      </c>
      <c r="AI511">
        <v>1</v>
      </c>
      <c r="AK511">
        <v>1</v>
      </c>
      <c r="AV511">
        <v>1</v>
      </c>
      <c r="AY511">
        <v>1</v>
      </c>
      <c r="BM511">
        <v>1</v>
      </c>
      <c r="CA511">
        <v>1</v>
      </c>
      <c r="CO511">
        <v>1</v>
      </c>
      <c r="DC511">
        <v>1</v>
      </c>
      <c r="EE511">
        <v>1</v>
      </c>
      <c r="ES511">
        <v>1</v>
      </c>
      <c r="FG511">
        <v>1</v>
      </c>
      <c r="FV511" s="18">
        <f t="shared" si="605"/>
        <v>9.5022624434389136E-2</v>
      </c>
    </row>
    <row r="512" spans="1:178" ht="14.25" customHeight="1" x14ac:dyDescent="0.25">
      <c r="A512" s="86" t="s">
        <v>273</v>
      </c>
      <c r="B512">
        <v>9</v>
      </c>
      <c r="C512">
        <v>15</v>
      </c>
      <c r="D512" s="26" t="s">
        <v>9</v>
      </c>
      <c r="E512" s="21" t="s">
        <v>15</v>
      </c>
      <c r="F512" s="8" t="s">
        <v>197</v>
      </c>
      <c r="G512" s="8" t="s">
        <v>201</v>
      </c>
      <c r="H512" s="26" t="s">
        <v>195</v>
      </c>
      <c r="M512">
        <v>1</v>
      </c>
      <c r="N512">
        <v>1</v>
      </c>
      <c r="O512">
        <v>1</v>
      </c>
      <c r="P512">
        <v>1</v>
      </c>
      <c r="Q512">
        <v>1</v>
      </c>
      <c r="R512">
        <v>1</v>
      </c>
      <c r="S512">
        <v>1</v>
      </c>
      <c r="T512">
        <v>1</v>
      </c>
      <c r="U512">
        <v>1</v>
      </c>
      <c r="AA512">
        <v>1</v>
      </c>
      <c r="AB512">
        <v>1</v>
      </c>
      <c r="AJ512">
        <v>1</v>
      </c>
      <c r="AL512">
        <v>1</v>
      </c>
      <c r="AM512">
        <v>1</v>
      </c>
      <c r="AN512">
        <v>1</v>
      </c>
      <c r="AW512">
        <v>1</v>
      </c>
      <c r="AZ512">
        <v>1</v>
      </c>
      <c r="BA512">
        <v>1</v>
      </c>
      <c r="BB512">
        <v>1</v>
      </c>
      <c r="BI512">
        <v>1</v>
      </c>
      <c r="BN512">
        <v>1</v>
      </c>
      <c r="BO512">
        <v>1</v>
      </c>
      <c r="CB512">
        <v>1</v>
      </c>
      <c r="CC512">
        <v>1</v>
      </c>
      <c r="CP512">
        <v>1</v>
      </c>
      <c r="DD512">
        <v>1</v>
      </c>
      <c r="DQ512">
        <v>1</v>
      </c>
      <c r="DR512">
        <v>1</v>
      </c>
      <c r="EF512">
        <v>1</v>
      </c>
      <c r="FU512">
        <v>1</v>
      </c>
      <c r="FV512" s="18">
        <f t="shared" si="605"/>
        <v>0.11161387631975868</v>
      </c>
    </row>
    <row r="513" spans="1:178" ht="14.25" customHeight="1" x14ac:dyDescent="0.25">
      <c r="A513" s="86" t="s">
        <v>273</v>
      </c>
      <c r="B513">
        <v>9</v>
      </c>
      <c r="C513">
        <v>15</v>
      </c>
      <c r="D513" s="26" t="s">
        <v>8</v>
      </c>
      <c r="E513" s="21" t="s">
        <v>15</v>
      </c>
      <c r="F513" s="8" t="s">
        <v>197</v>
      </c>
      <c r="G513" s="8" t="s">
        <v>201</v>
      </c>
      <c r="H513" s="26" t="s">
        <v>220</v>
      </c>
      <c r="J513">
        <v>1</v>
      </c>
      <c r="K513">
        <v>1</v>
      </c>
      <c r="O513">
        <v>1</v>
      </c>
      <c r="R513">
        <v>1</v>
      </c>
      <c r="V513">
        <v>1</v>
      </c>
      <c r="W513">
        <v>1</v>
      </c>
      <c r="Y513">
        <v>1</v>
      </c>
      <c r="AI513">
        <v>1</v>
      </c>
      <c r="AK513">
        <v>1</v>
      </c>
      <c r="AY513">
        <v>1</v>
      </c>
      <c r="BM513">
        <v>1</v>
      </c>
      <c r="CA513">
        <v>1</v>
      </c>
      <c r="CO513">
        <v>1</v>
      </c>
      <c r="DC513">
        <v>1</v>
      </c>
      <c r="EE513">
        <v>1</v>
      </c>
      <c r="ES513">
        <v>1</v>
      </c>
      <c r="FV513" s="18">
        <f t="shared" si="605"/>
        <v>7.3906485671191555E-2</v>
      </c>
    </row>
    <row r="514" spans="1:178" ht="14.25" customHeight="1" x14ac:dyDescent="0.25">
      <c r="A514" s="86" t="s">
        <v>273</v>
      </c>
      <c r="B514">
        <v>9</v>
      </c>
      <c r="C514">
        <v>15</v>
      </c>
      <c r="D514" s="26" t="s">
        <v>8</v>
      </c>
      <c r="E514" s="21" t="s">
        <v>15</v>
      </c>
      <c r="F514" s="8" t="s">
        <v>197</v>
      </c>
      <c r="G514" s="8" t="s">
        <v>201</v>
      </c>
      <c r="H514" s="25" t="s">
        <v>195</v>
      </c>
      <c r="I514">
        <v>1</v>
      </c>
      <c r="L514">
        <v>1</v>
      </c>
      <c r="M514">
        <v>1</v>
      </c>
      <c r="N514">
        <v>1</v>
      </c>
      <c r="P514">
        <v>1</v>
      </c>
      <c r="Q514">
        <v>1</v>
      </c>
      <c r="S514">
        <v>1</v>
      </c>
      <c r="T514">
        <v>1</v>
      </c>
      <c r="U514">
        <v>1</v>
      </c>
      <c r="X514">
        <v>1</v>
      </c>
      <c r="Z514">
        <v>1</v>
      </c>
      <c r="AA514">
        <v>1</v>
      </c>
      <c r="AB514">
        <v>1</v>
      </c>
      <c r="AC514">
        <v>1</v>
      </c>
      <c r="AD514">
        <v>1</v>
      </c>
      <c r="AE514">
        <v>1</v>
      </c>
      <c r="AF514">
        <v>1</v>
      </c>
      <c r="AG514">
        <v>1</v>
      </c>
      <c r="AH514">
        <v>1</v>
      </c>
      <c r="AJ514">
        <v>1</v>
      </c>
      <c r="AL514">
        <v>1</v>
      </c>
      <c r="AM514">
        <v>1</v>
      </c>
      <c r="AN514">
        <v>1</v>
      </c>
      <c r="AO514">
        <v>1</v>
      </c>
      <c r="AP514">
        <v>1</v>
      </c>
      <c r="AQ514">
        <v>1</v>
      </c>
      <c r="AR514">
        <v>1</v>
      </c>
      <c r="AS514">
        <v>1</v>
      </c>
      <c r="AT514">
        <v>1</v>
      </c>
      <c r="AU514">
        <v>1</v>
      </c>
      <c r="AV514">
        <v>1</v>
      </c>
      <c r="AW514">
        <v>1</v>
      </c>
      <c r="AX514">
        <v>1</v>
      </c>
      <c r="AZ514">
        <v>1</v>
      </c>
      <c r="BA514">
        <v>1</v>
      </c>
      <c r="BB514">
        <v>1</v>
      </c>
      <c r="BC514">
        <v>1</v>
      </c>
      <c r="BD514">
        <v>1</v>
      </c>
      <c r="BE514">
        <v>1</v>
      </c>
      <c r="BF514">
        <v>1</v>
      </c>
      <c r="BG514">
        <v>1</v>
      </c>
      <c r="BH514">
        <v>1</v>
      </c>
      <c r="BI514">
        <v>1</v>
      </c>
      <c r="BJ514">
        <v>1</v>
      </c>
      <c r="BK514">
        <v>1</v>
      </c>
      <c r="BL514">
        <v>1</v>
      </c>
      <c r="BN514">
        <v>1</v>
      </c>
      <c r="BO514">
        <v>1</v>
      </c>
      <c r="BP514">
        <v>1</v>
      </c>
      <c r="BQ514">
        <v>1</v>
      </c>
      <c r="BR514">
        <v>1</v>
      </c>
      <c r="BS514">
        <v>1</v>
      </c>
      <c r="BT514">
        <v>1</v>
      </c>
      <c r="BU514">
        <v>1</v>
      </c>
      <c r="BV514">
        <v>1</v>
      </c>
      <c r="BW514">
        <v>1</v>
      </c>
      <c r="BX514">
        <v>1</v>
      </c>
      <c r="BY514">
        <v>1</v>
      </c>
      <c r="BZ514">
        <v>1</v>
      </c>
      <c r="CB514">
        <v>1</v>
      </c>
      <c r="CC514">
        <v>1</v>
      </c>
      <c r="CD514">
        <v>1</v>
      </c>
      <c r="CE514">
        <v>1</v>
      </c>
      <c r="CF514">
        <v>1</v>
      </c>
      <c r="CG514">
        <v>1</v>
      </c>
      <c r="CH514">
        <v>1</v>
      </c>
      <c r="CI514">
        <v>1</v>
      </c>
      <c r="CJ514">
        <v>1</v>
      </c>
      <c r="CK514">
        <v>1</v>
      </c>
      <c r="CL514">
        <v>1</v>
      </c>
      <c r="CM514">
        <v>1</v>
      </c>
      <c r="CN514">
        <v>1</v>
      </c>
      <c r="CP514">
        <v>1</v>
      </c>
      <c r="CQ514">
        <v>1</v>
      </c>
      <c r="CR514">
        <v>1</v>
      </c>
      <c r="CS514">
        <v>1</v>
      </c>
      <c r="CT514">
        <v>1</v>
      </c>
      <c r="CU514">
        <v>1</v>
      </c>
      <c r="CV514">
        <v>1</v>
      </c>
      <c r="CW514">
        <v>1</v>
      </c>
      <c r="CX514">
        <v>1</v>
      </c>
      <c r="CY514">
        <v>1</v>
      </c>
      <c r="CZ514">
        <v>1</v>
      </c>
      <c r="DA514">
        <v>1</v>
      </c>
      <c r="DB514">
        <v>1</v>
      </c>
      <c r="DD514">
        <v>1</v>
      </c>
      <c r="DE514">
        <v>1</v>
      </c>
      <c r="DF514">
        <v>1</v>
      </c>
      <c r="DG514">
        <v>1</v>
      </c>
      <c r="DH514">
        <v>1</v>
      </c>
      <c r="DI514">
        <v>1</v>
      </c>
      <c r="DJ514">
        <v>1</v>
      </c>
      <c r="DK514">
        <v>1</v>
      </c>
      <c r="DN514">
        <v>1</v>
      </c>
      <c r="DO514">
        <v>1</v>
      </c>
      <c r="DP514">
        <v>1</v>
      </c>
      <c r="DQ514">
        <v>1</v>
      </c>
      <c r="DR514">
        <v>1</v>
      </c>
      <c r="DS514">
        <v>1</v>
      </c>
      <c r="DT514">
        <v>1</v>
      </c>
      <c r="DU514">
        <v>1</v>
      </c>
      <c r="DV514">
        <v>1</v>
      </c>
      <c r="DW514">
        <v>1</v>
      </c>
      <c r="DX514">
        <v>1</v>
      </c>
      <c r="EB514">
        <v>1</v>
      </c>
      <c r="EC514">
        <v>1</v>
      </c>
      <c r="ED514">
        <v>1</v>
      </c>
      <c r="EF514">
        <v>1</v>
      </c>
      <c r="EG514">
        <v>1</v>
      </c>
      <c r="EH514">
        <v>1</v>
      </c>
      <c r="EI514">
        <v>1</v>
      </c>
      <c r="EJ514">
        <v>1</v>
      </c>
      <c r="EK514">
        <v>1</v>
      </c>
      <c r="EP514">
        <v>1</v>
      </c>
      <c r="EQ514">
        <v>1</v>
      </c>
      <c r="ER514">
        <v>1</v>
      </c>
      <c r="ET514">
        <v>1</v>
      </c>
      <c r="EU514">
        <v>1</v>
      </c>
      <c r="EV514">
        <v>1</v>
      </c>
      <c r="EW514">
        <v>1</v>
      </c>
      <c r="EX514">
        <v>1</v>
      </c>
      <c r="FD514">
        <v>1</v>
      </c>
      <c r="FE514">
        <v>1</v>
      </c>
      <c r="FF514">
        <v>1</v>
      </c>
      <c r="FG514">
        <v>1</v>
      </c>
      <c r="FH514">
        <v>1</v>
      </c>
      <c r="FI514">
        <v>1</v>
      </c>
      <c r="FJ514">
        <v>1</v>
      </c>
      <c r="FU514">
        <v>1</v>
      </c>
      <c r="FV514" s="18">
        <f t="shared" si="605"/>
        <v>0.70889894419306188</v>
      </c>
    </row>
    <row r="515" spans="1:178" ht="14.25" customHeight="1" x14ac:dyDescent="0.25">
      <c r="A515" s="86" t="s">
        <v>273</v>
      </c>
      <c r="B515">
        <v>9</v>
      </c>
      <c r="C515">
        <v>15</v>
      </c>
      <c r="D515" s="26" t="s">
        <v>12</v>
      </c>
      <c r="E515" s="27" t="s">
        <v>13</v>
      </c>
      <c r="F515" s="8" t="s">
        <v>197</v>
      </c>
      <c r="G515" s="8" t="s">
        <v>201</v>
      </c>
      <c r="H515" s="25" t="s">
        <v>220</v>
      </c>
      <c r="I515">
        <v>1</v>
      </c>
      <c r="J515">
        <v>1</v>
      </c>
      <c r="K515">
        <v>1</v>
      </c>
      <c r="L515">
        <v>1</v>
      </c>
      <c r="M515">
        <v>1</v>
      </c>
      <c r="N515">
        <v>1</v>
      </c>
      <c r="V515">
        <v>1</v>
      </c>
      <c r="W515">
        <v>1</v>
      </c>
      <c r="X515">
        <v>1</v>
      </c>
      <c r="Y515">
        <v>1</v>
      </c>
      <c r="Z515">
        <v>1</v>
      </c>
      <c r="AI515">
        <v>1</v>
      </c>
      <c r="AJ515">
        <v>1</v>
      </c>
      <c r="AK515">
        <v>1</v>
      </c>
      <c r="AL515">
        <v>1</v>
      </c>
      <c r="AV515">
        <v>1</v>
      </c>
      <c r="AY515">
        <v>1</v>
      </c>
      <c r="BM515">
        <v>1</v>
      </c>
      <c r="CA515">
        <v>1</v>
      </c>
      <c r="CO515">
        <v>1</v>
      </c>
      <c r="DC515">
        <v>1</v>
      </c>
      <c r="DQ515">
        <v>1</v>
      </c>
      <c r="FV515" s="18">
        <f t="shared" si="605"/>
        <v>0.10407239819004525</v>
      </c>
    </row>
    <row r="516" spans="1:178" ht="14.25" customHeight="1" x14ac:dyDescent="0.25">
      <c r="A516" s="86" t="s">
        <v>273</v>
      </c>
      <c r="B516">
        <v>9</v>
      </c>
      <c r="C516">
        <v>15</v>
      </c>
      <c r="D516" s="26" t="s">
        <v>11</v>
      </c>
      <c r="E516" s="26" t="s">
        <v>12</v>
      </c>
      <c r="F516" s="8" t="s">
        <v>197</v>
      </c>
      <c r="G516" s="8" t="s">
        <v>201</v>
      </c>
      <c r="H516" s="26" t="s">
        <v>220</v>
      </c>
      <c r="I516">
        <v>1</v>
      </c>
      <c r="J516">
        <v>1</v>
      </c>
      <c r="K516">
        <v>1</v>
      </c>
      <c r="L516">
        <v>1</v>
      </c>
      <c r="M516">
        <v>1</v>
      </c>
      <c r="N516">
        <v>1</v>
      </c>
      <c r="V516">
        <v>1</v>
      </c>
      <c r="W516">
        <v>1</v>
      </c>
      <c r="X516">
        <v>1</v>
      </c>
      <c r="Y516">
        <v>1</v>
      </c>
      <c r="Z516">
        <v>1</v>
      </c>
      <c r="AI516">
        <v>1</v>
      </c>
      <c r="AJ516">
        <v>1</v>
      </c>
      <c r="AK516">
        <v>1</v>
      </c>
      <c r="AL516">
        <v>1</v>
      </c>
      <c r="AM516">
        <v>1</v>
      </c>
      <c r="AV516">
        <v>1</v>
      </c>
      <c r="AY516">
        <v>1</v>
      </c>
      <c r="BI516">
        <v>1</v>
      </c>
      <c r="BM516">
        <v>1</v>
      </c>
      <c r="CA516">
        <v>1</v>
      </c>
      <c r="CO516">
        <v>1</v>
      </c>
      <c r="DC516">
        <v>1</v>
      </c>
      <c r="DQ516">
        <v>1</v>
      </c>
      <c r="FV516" s="18">
        <f t="shared" si="605"/>
        <v>0.11613876319758673</v>
      </c>
    </row>
    <row r="517" spans="1:178" ht="14.25" customHeight="1" x14ac:dyDescent="0.25">
      <c r="A517" s="86" t="s">
        <v>273</v>
      </c>
      <c r="B517">
        <v>9</v>
      </c>
      <c r="C517">
        <v>15</v>
      </c>
      <c r="D517" s="26" t="s">
        <v>11</v>
      </c>
      <c r="E517" s="26" t="s">
        <v>13</v>
      </c>
      <c r="F517" s="8" t="s">
        <v>197</v>
      </c>
      <c r="G517" s="8" t="s">
        <v>201</v>
      </c>
      <c r="H517" s="26" t="s">
        <v>220</v>
      </c>
      <c r="I517">
        <v>1</v>
      </c>
      <c r="J517">
        <v>1</v>
      </c>
      <c r="K517">
        <v>1</v>
      </c>
      <c r="L517">
        <v>1</v>
      </c>
      <c r="M517">
        <v>1</v>
      </c>
      <c r="N517">
        <v>1</v>
      </c>
      <c r="V517">
        <v>1</v>
      </c>
      <c r="W517">
        <v>1</v>
      </c>
      <c r="X517">
        <v>1</v>
      </c>
      <c r="Y517">
        <v>1</v>
      </c>
      <c r="Z517">
        <v>1</v>
      </c>
      <c r="AI517">
        <v>1</v>
      </c>
      <c r="AJ517">
        <v>1</v>
      </c>
      <c r="AK517">
        <v>1</v>
      </c>
      <c r="AL517">
        <v>1</v>
      </c>
      <c r="AM517">
        <v>1</v>
      </c>
      <c r="AV517">
        <v>1</v>
      </c>
      <c r="AY517">
        <v>1</v>
      </c>
      <c r="BI517">
        <v>1</v>
      </c>
      <c r="BM517">
        <v>1</v>
      </c>
      <c r="CA517">
        <v>1</v>
      </c>
      <c r="CO517">
        <v>1</v>
      </c>
      <c r="DC517">
        <v>1</v>
      </c>
      <c r="DQ517">
        <v>1</v>
      </c>
      <c r="FV517" s="18">
        <f t="shared" ref="FV517" si="606">SUMPRODUCT(I517:FU517,$I$1:$FU$1)/(SUM($I$1:$FU$1))</f>
        <v>0.11613876319758673</v>
      </c>
    </row>
    <row r="518" spans="1:178" ht="14.25" customHeight="1" x14ac:dyDescent="0.25">
      <c r="A518" s="86" t="s">
        <v>273</v>
      </c>
      <c r="B518">
        <v>9</v>
      </c>
      <c r="C518">
        <v>15</v>
      </c>
      <c r="D518" s="26" t="s">
        <v>10</v>
      </c>
      <c r="E518" s="26" t="s">
        <v>12</v>
      </c>
      <c r="F518" s="8" t="s">
        <v>197</v>
      </c>
      <c r="G518" s="8" t="s">
        <v>201</v>
      </c>
      <c r="H518" s="25" t="s">
        <v>220</v>
      </c>
      <c r="J518">
        <v>1</v>
      </c>
      <c r="K518">
        <v>1</v>
      </c>
      <c r="L518">
        <v>1</v>
      </c>
      <c r="M518">
        <v>1</v>
      </c>
      <c r="N518">
        <v>1</v>
      </c>
      <c r="O518">
        <v>1</v>
      </c>
      <c r="R518">
        <v>1</v>
      </c>
      <c r="S518">
        <v>1</v>
      </c>
      <c r="V518">
        <v>1</v>
      </c>
      <c r="W518">
        <v>1</v>
      </c>
      <c r="X518">
        <v>1</v>
      </c>
      <c r="AI518">
        <v>1</v>
      </c>
      <c r="AJ518">
        <v>1</v>
      </c>
      <c r="AK518">
        <v>1</v>
      </c>
      <c r="AL518">
        <v>1</v>
      </c>
      <c r="AV518">
        <v>1</v>
      </c>
      <c r="AY518">
        <v>1</v>
      </c>
      <c r="BI518">
        <v>1</v>
      </c>
      <c r="BM518">
        <v>1</v>
      </c>
      <c r="CA518">
        <v>1</v>
      </c>
      <c r="CO518">
        <v>1</v>
      </c>
      <c r="DC518">
        <v>1</v>
      </c>
      <c r="FV518" s="18">
        <f t="shared" si="605"/>
        <v>0.10708898944193061</v>
      </c>
    </row>
    <row r="519" spans="1:178" ht="14.25" customHeight="1" x14ac:dyDescent="0.25">
      <c r="A519" s="86" t="s">
        <v>273</v>
      </c>
      <c r="B519">
        <v>9</v>
      </c>
      <c r="C519">
        <v>15</v>
      </c>
      <c r="D519" s="26" t="s">
        <v>10</v>
      </c>
      <c r="E519" s="26" t="s">
        <v>12</v>
      </c>
      <c r="F519" s="8" t="s">
        <v>197</v>
      </c>
      <c r="G519" s="8" t="s">
        <v>201</v>
      </c>
      <c r="H519" s="26" t="s">
        <v>195</v>
      </c>
      <c r="I519">
        <v>1</v>
      </c>
      <c r="P519">
        <v>1</v>
      </c>
      <c r="Q519">
        <v>1</v>
      </c>
      <c r="T519">
        <v>1</v>
      </c>
      <c r="Y519">
        <v>1</v>
      </c>
      <c r="Z519">
        <v>1</v>
      </c>
      <c r="AM519">
        <v>1</v>
      </c>
      <c r="AZ519">
        <v>1</v>
      </c>
      <c r="BN519">
        <v>1</v>
      </c>
      <c r="DQ519">
        <v>1</v>
      </c>
      <c r="EE519">
        <v>1</v>
      </c>
      <c r="FV519" s="18">
        <f t="shared" si="605"/>
        <v>3.7707390648567117E-2</v>
      </c>
    </row>
    <row r="520" spans="1:178" ht="14.25" customHeight="1" x14ac:dyDescent="0.25">
      <c r="A520" s="86" t="s">
        <v>273</v>
      </c>
      <c r="B520">
        <v>9</v>
      </c>
      <c r="C520">
        <v>15</v>
      </c>
      <c r="D520" s="26" t="s">
        <v>10</v>
      </c>
      <c r="E520" s="26" t="s">
        <v>13</v>
      </c>
      <c r="F520" s="8" t="s">
        <v>197</v>
      </c>
      <c r="G520" s="8" t="s">
        <v>201</v>
      </c>
      <c r="H520" s="26" t="s">
        <v>220</v>
      </c>
      <c r="J520">
        <v>1</v>
      </c>
      <c r="K520">
        <v>1</v>
      </c>
      <c r="L520">
        <v>1</v>
      </c>
      <c r="M520">
        <v>1</v>
      </c>
      <c r="N520">
        <v>1</v>
      </c>
      <c r="O520">
        <v>1</v>
      </c>
      <c r="R520">
        <v>1</v>
      </c>
      <c r="S520">
        <v>1</v>
      </c>
      <c r="V520">
        <v>1</v>
      </c>
      <c r="W520">
        <v>1</v>
      </c>
      <c r="X520">
        <v>1</v>
      </c>
      <c r="AI520">
        <v>1</v>
      </c>
      <c r="AJ520">
        <v>1</v>
      </c>
      <c r="AK520">
        <v>1</v>
      </c>
      <c r="AL520">
        <v>1</v>
      </c>
      <c r="AV520">
        <v>1</v>
      </c>
      <c r="AY520">
        <v>1</v>
      </c>
      <c r="BI520">
        <v>1</v>
      </c>
      <c r="BM520">
        <v>1</v>
      </c>
      <c r="CA520">
        <v>1</v>
      </c>
      <c r="CO520">
        <v>1</v>
      </c>
      <c r="DC520">
        <v>1</v>
      </c>
      <c r="FV520" s="18">
        <f t="shared" ref="FV520:FV521" si="607">SUMPRODUCT(I520:FU520,$I$1:$FU$1)/(SUM($I$1:$FU$1))</f>
        <v>0.10708898944193061</v>
      </c>
    </row>
    <row r="521" spans="1:178" ht="14.25" customHeight="1" x14ac:dyDescent="0.25">
      <c r="A521" s="86" t="s">
        <v>273</v>
      </c>
      <c r="B521">
        <v>9</v>
      </c>
      <c r="C521">
        <v>15</v>
      </c>
      <c r="D521" s="26" t="s">
        <v>10</v>
      </c>
      <c r="E521" s="26" t="s">
        <v>13</v>
      </c>
      <c r="F521" s="8" t="s">
        <v>197</v>
      </c>
      <c r="G521" s="8" t="s">
        <v>201</v>
      </c>
      <c r="H521" s="26" t="s">
        <v>195</v>
      </c>
      <c r="I521">
        <v>1</v>
      </c>
      <c r="P521">
        <v>1</v>
      </c>
      <c r="Q521">
        <v>1</v>
      </c>
      <c r="T521">
        <v>1</v>
      </c>
      <c r="Y521">
        <v>1</v>
      </c>
      <c r="Z521">
        <v>1</v>
      </c>
      <c r="AM521">
        <v>1</v>
      </c>
      <c r="AZ521">
        <v>1</v>
      </c>
      <c r="BN521">
        <v>1</v>
      </c>
      <c r="DQ521">
        <v>1</v>
      </c>
      <c r="EE521">
        <v>1</v>
      </c>
      <c r="FV521" s="18">
        <f t="shared" si="607"/>
        <v>3.7707390648567117E-2</v>
      </c>
    </row>
    <row r="522" spans="1:178" ht="14.25" customHeight="1" x14ac:dyDescent="0.25">
      <c r="A522" s="86" t="s">
        <v>273</v>
      </c>
      <c r="B522">
        <v>9</v>
      </c>
      <c r="C522">
        <v>15</v>
      </c>
      <c r="D522" s="26" t="s">
        <v>9</v>
      </c>
      <c r="E522" s="26" t="s">
        <v>12</v>
      </c>
      <c r="F522" s="8" t="s">
        <v>197</v>
      </c>
      <c r="G522" s="8" t="s">
        <v>201</v>
      </c>
      <c r="H522" s="25" t="s">
        <v>220</v>
      </c>
      <c r="I522">
        <v>1</v>
      </c>
      <c r="J522">
        <v>1</v>
      </c>
      <c r="K522">
        <v>1</v>
      </c>
      <c r="L522">
        <v>1</v>
      </c>
      <c r="M522">
        <v>1</v>
      </c>
      <c r="N522">
        <v>1</v>
      </c>
      <c r="O522">
        <v>1</v>
      </c>
      <c r="R522">
        <v>1</v>
      </c>
      <c r="S522">
        <v>1</v>
      </c>
      <c r="V522">
        <v>1</v>
      </c>
      <c r="W522">
        <v>1</v>
      </c>
      <c r="X522">
        <v>1</v>
      </c>
      <c r="Y522">
        <v>1</v>
      </c>
      <c r="AI522">
        <v>1</v>
      </c>
      <c r="AJ522">
        <v>1</v>
      </c>
      <c r="AK522">
        <v>1</v>
      </c>
      <c r="AL522">
        <v>1</v>
      </c>
      <c r="AV522">
        <v>1</v>
      </c>
      <c r="AY522">
        <v>1</v>
      </c>
      <c r="AZ522">
        <v>1</v>
      </c>
      <c r="BI522">
        <v>1</v>
      </c>
      <c r="BM522">
        <v>1</v>
      </c>
      <c r="BV522">
        <v>1</v>
      </c>
      <c r="CA522">
        <v>1</v>
      </c>
      <c r="CO522">
        <v>1</v>
      </c>
      <c r="DC522">
        <v>1</v>
      </c>
      <c r="DQ522">
        <v>1</v>
      </c>
      <c r="EE522">
        <v>1</v>
      </c>
      <c r="ES522">
        <v>1</v>
      </c>
      <c r="FG522">
        <v>1</v>
      </c>
      <c r="FU522">
        <v>1</v>
      </c>
      <c r="FV522" s="18">
        <f t="shared" si="605"/>
        <v>0.14932126696832579</v>
      </c>
    </row>
    <row r="523" spans="1:178" ht="14.25" customHeight="1" x14ac:dyDescent="0.25">
      <c r="A523" s="86" t="s">
        <v>273</v>
      </c>
      <c r="B523">
        <v>9</v>
      </c>
      <c r="C523">
        <v>15</v>
      </c>
      <c r="D523" s="26" t="s">
        <v>9</v>
      </c>
      <c r="E523" s="26" t="s">
        <v>12</v>
      </c>
      <c r="F523" s="8" t="s">
        <v>197</v>
      </c>
      <c r="G523" s="8" t="s">
        <v>201</v>
      </c>
      <c r="H523" s="26" t="s">
        <v>195</v>
      </c>
      <c r="P523">
        <v>1</v>
      </c>
      <c r="Q523">
        <v>1</v>
      </c>
      <c r="T523">
        <v>1</v>
      </c>
      <c r="U523">
        <v>1</v>
      </c>
      <c r="Z523">
        <v>1</v>
      </c>
      <c r="AA523">
        <v>1</v>
      </c>
      <c r="AM523">
        <v>1</v>
      </c>
      <c r="AN523">
        <v>1</v>
      </c>
      <c r="AW523">
        <v>1</v>
      </c>
      <c r="AX523">
        <v>1</v>
      </c>
      <c r="BA523">
        <v>1</v>
      </c>
      <c r="BN523">
        <v>1</v>
      </c>
      <c r="BO523">
        <v>1</v>
      </c>
      <c r="CB523">
        <v>1</v>
      </c>
      <c r="CP523">
        <v>1</v>
      </c>
      <c r="FV523" s="18">
        <f t="shared" si="605"/>
        <v>5.7315233785822019E-2</v>
      </c>
    </row>
    <row r="524" spans="1:178" ht="14.25" customHeight="1" x14ac:dyDescent="0.25">
      <c r="A524" s="86" t="s">
        <v>273</v>
      </c>
      <c r="B524">
        <v>9</v>
      </c>
      <c r="C524">
        <v>15</v>
      </c>
      <c r="D524" s="26" t="s">
        <v>9</v>
      </c>
      <c r="E524" s="26" t="s">
        <v>13</v>
      </c>
      <c r="F524" s="8" t="s">
        <v>197</v>
      </c>
      <c r="G524" s="8" t="s">
        <v>201</v>
      </c>
      <c r="H524" s="26" t="s">
        <v>220</v>
      </c>
      <c r="I524">
        <v>1</v>
      </c>
      <c r="J524">
        <v>1</v>
      </c>
      <c r="K524">
        <v>1</v>
      </c>
      <c r="L524">
        <v>1</v>
      </c>
      <c r="M524">
        <v>1</v>
      </c>
      <c r="N524">
        <v>1</v>
      </c>
      <c r="O524">
        <v>1</v>
      </c>
      <c r="R524">
        <v>1</v>
      </c>
      <c r="S524">
        <v>1</v>
      </c>
      <c r="V524">
        <v>1</v>
      </c>
      <c r="W524">
        <v>1</v>
      </c>
      <c r="X524">
        <v>1</v>
      </c>
      <c r="Y524">
        <v>1</v>
      </c>
      <c r="AI524">
        <v>1</v>
      </c>
      <c r="AJ524">
        <v>1</v>
      </c>
      <c r="AK524">
        <v>1</v>
      </c>
      <c r="AL524">
        <v>1</v>
      </c>
      <c r="AV524">
        <v>1</v>
      </c>
      <c r="AY524">
        <v>1</v>
      </c>
      <c r="AZ524">
        <v>1</v>
      </c>
      <c r="BI524">
        <v>1</v>
      </c>
      <c r="BM524">
        <v>1</v>
      </c>
      <c r="BV524">
        <v>1</v>
      </c>
      <c r="CA524">
        <v>1</v>
      </c>
      <c r="CO524">
        <v>1</v>
      </c>
      <c r="DC524">
        <v>1</v>
      </c>
      <c r="DQ524">
        <v>1</v>
      </c>
      <c r="EE524">
        <v>1</v>
      </c>
      <c r="ES524">
        <v>1</v>
      </c>
      <c r="FG524">
        <v>1</v>
      </c>
      <c r="FU524">
        <v>1</v>
      </c>
      <c r="FV524" s="18">
        <f t="shared" ref="FV524:FV525" si="608">SUMPRODUCT(I524:FU524,$I$1:$FU$1)/(SUM($I$1:$FU$1))</f>
        <v>0.14932126696832579</v>
      </c>
    </row>
    <row r="525" spans="1:178" ht="14.25" customHeight="1" x14ac:dyDescent="0.25">
      <c r="A525" s="86" t="s">
        <v>273</v>
      </c>
      <c r="B525">
        <v>9</v>
      </c>
      <c r="C525">
        <v>15</v>
      </c>
      <c r="D525" s="26" t="s">
        <v>9</v>
      </c>
      <c r="E525" s="26" t="s">
        <v>13</v>
      </c>
      <c r="F525" s="8" t="s">
        <v>197</v>
      </c>
      <c r="G525" s="8" t="s">
        <v>201</v>
      </c>
      <c r="H525" s="26" t="s">
        <v>195</v>
      </c>
      <c r="P525">
        <v>1</v>
      </c>
      <c r="Q525">
        <v>1</v>
      </c>
      <c r="T525">
        <v>1</v>
      </c>
      <c r="U525">
        <v>1</v>
      </c>
      <c r="Z525">
        <v>1</v>
      </c>
      <c r="AA525">
        <v>1</v>
      </c>
      <c r="AM525">
        <v>1</v>
      </c>
      <c r="AN525">
        <v>1</v>
      </c>
      <c r="AW525">
        <v>1</v>
      </c>
      <c r="AX525">
        <v>1</v>
      </c>
      <c r="BA525">
        <v>1</v>
      </c>
      <c r="BN525">
        <v>1</v>
      </c>
      <c r="BO525">
        <v>1</v>
      </c>
      <c r="CB525">
        <v>1</v>
      </c>
      <c r="CP525">
        <v>1</v>
      </c>
      <c r="FV525" s="18">
        <f t="shared" si="608"/>
        <v>5.7315233785822019E-2</v>
      </c>
    </row>
    <row r="526" spans="1:178" ht="14.25" customHeight="1" x14ac:dyDescent="0.25">
      <c r="A526" s="86" t="s">
        <v>273</v>
      </c>
      <c r="B526">
        <v>9</v>
      </c>
      <c r="C526">
        <v>15</v>
      </c>
      <c r="D526" s="26" t="s">
        <v>8</v>
      </c>
      <c r="E526" s="26" t="s">
        <v>12</v>
      </c>
      <c r="F526" s="8" t="s">
        <v>197</v>
      </c>
      <c r="G526" s="8" t="s">
        <v>201</v>
      </c>
      <c r="H526" s="25" t="s">
        <v>220</v>
      </c>
      <c r="J526">
        <v>1</v>
      </c>
      <c r="K526">
        <v>1</v>
      </c>
      <c r="L526">
        <v>1</v>
      </c>
      <c r="P526">
        <v>1</v>
      </c>
      <c r="R526">
        <v>1</v>
      </c>
      <c r="S526">
        <v>1</v>
      </c>
      <c r="T526">
        <v>1</v>
      </c>
      <c r="V526">
        <v>1</v>
      </c>
      <c r="W526">
        <v>1</v>
      </c>
      <c r="AI526">
        <v>1</v>
      </c>
      <c r="AK526">
        <v>1</v>
      </c>
      <c r="AM526">
        <v>1</v>
      </c>
      <c r="AV526">
        <v>1</v>
      </c>
      <c r="AY526">
        <v>1</v>
      </c>
      <c r="AZ526">
        <v>1</v>
      </c>
      <c r="BM526">
        <v>1</v>
      </c>
      <c r="CA526">
        <v>1</v>
      </c>
      <c r="CO526">
        <v>1</v>
      </c>
      <c r="DC526">
        <v>1</v>
      </c>
      <c r="DQ526">
        <v>1</v>
      </c>
      <c r="EE526">
        <v>1</v>
      </c>
      <c r="ES526">
        <v>1</v>
      </c>
      <c r="FG526">
        <v>1</v>
      </c>
      <c r="FU526">
        <v>1</v>
      </c>
      <c r="FV526" s="18">
        <f t="shared" si="605"/>
        <v>0.10859728506787331</v>
      </c>
    </row>
    <row r="527" spans="1:178" ht="14.25" customHeight="1" x14ac:dyDescent="0.25">
      <c r="A527" s="86" t="s">
        <v>273</v>
      </c>
      <c r="B527">
        <v>9</v>
      </c>
      <c r="C527">
        <v>15</v>
      </c>
      <c r="D527" s="26" t="s">
        <v>8</v>
      </c>
      <c r="E527" s="26" t="s">
        <v>12</v>
      </c>
      <c r="F527" s="8" t="s">
        <v>197</v>
      </c>
      <c r="G527" s="8" t="s">
        <v>201</v>
      </c>
      <c r="H527" s="26" t="s">
        <v>195</v>
      </c>
      <c r="I527">
        <v>1</v>
      </c>
      <c r="M527">
        <v>1</v>
      </c>
      <c r="N527">
        <v>1</v>
      </c>
      <c r="O527">
        <v>1</v>
      </c>
      <c r="Q527">
        <v>1</v>
      </c>
      <c r="U527">
        <v>1</v>
      </c>
      <c r="X527">
        <v>1</v>
      </c>
      <c r="Y527">
        <v>1</v>
      </c>
      <c r="Z527">
        <v>1</v>
      </c>
      <c r="AA527">
        <v>1</v>
      </c>
      <c r="AB527">
        <v>1</v>
      </c>
      <c r="AC527">
        <v>1</v>
      </c>
      <c r="AD527">
        <v>1</v>
      </c>
      <c r="AE527">
        <v>1</v>
      </c>
      <c r="AF527">
        <v>1</v>
      </c>
      <c r="AG527">
        <v>1</v>
      </c>
      <c r="AH527">
        <v>1</v>
      </c>
      <c r="AJ527">
        <v>1</v>
      </c>
      <c r="AL527">
        <v>1</v>
      </c>
      <c r="AN527">
        <v>1</v>
      </c>
      <c r="AO527">
        <v>1</v>
      </c>
      <c r="AP527">
        <v>1</v>
      </c>
      <c r="AQ527">
        <v>1</v>
      </c>
      <c r="AR527">
        <v>1</v>
      </c>
      <c r="AS527">
        <v>1</v>
      </c>
      <c r="AT527">
        <v>1</v>
      </c>
      <c r="AU527">
        <v>1</v>
      </c>
      <c r="AW527">
        <v>1</v>
      </c>
      <c r="AX527">
        <v>1</v>
      </c>
      <c r="BA527">
        <v>1</v>
      </c>
      <c r="BB527">
        <v>1</v>
      </c>
      <c r="BC527">
        <v>1</v>
      </c>
      <c r="BD527">
        <v>1</v>
      </c>
      <c r="BE527">
        <v>1</v>
      </c>
      <c r="BF527">
        <v>1</v>
      </c>
      <c r="BG527">
        <v>1</v>
      </c>
      <c r="BH527">
        <v>1</v>
      </c>
      <c r="BI527">
        <v>1</v>
      </c>
      <c r="BJ527">
        <v>1</v>
      </c>
      <c r="BK527">
        <v>1</v>
      </c>
      <c r="BL527">
        <v>1</v>
      </c>
      <c r="BN527">
        <v>1</v>
      </c>
      <c r="BO527">
        <v>1</v>
      </c>
      <c r="BP527">
        <v>1</v>
      </c>
      <c r="BQ527">
        <v>1</v>
      </c>
      <c r="BR527">
        <v>1</v>
      </c>
      <c r="BS527">
        <v>1</v>
      </c>
      <c r="BT527">
        <v>1</v>
      </c>
      <c r="BU527">
        <v>1</v>
      </c>
      <c r="BV527">
        <v>1</v>
      </c>
      <c r="BW527">
        <v>1</v>
      </c>
      <c r="BX527">
        <v>1</v>
      </c>
      <c r="BY527">
        <v>1</v>
      </c>
      <c r="BZ527">
        <v>1</v>
      </c>
      <c r="CB527">
        <v>1</v>
      </c>
      <c r="CC527">
        <v>1</v>
      </c>
      <c r="CD527">
        <v>1</v>
      </c>
      <c r="CE527">
        <v>1</v>
      </c>
      <c r="CF527">
        <v>1</v>
      </c>
      <c r="CG527">
        <v>1</v>
      </c>
      <c r="CH527">
        <v>1</v>
      </c>
      <c r="CI527">
        <v>1</v>
      </c>
      <c r="CJ527">
        <v>1</v>
      </c>
      <c r="CK527">
        <v>1</v>
      </c>
      <c r="CL527">
        <v>1</v>
      </c>
      <c r="CM527">
        <v>1</v>
      </c>
      <c r="CN527">
        <v>1</v>
      </c>
      <c r="CP527">
        <v>1</v>
      </c>
      <c r="CQ527">
        <v>1</v>
      </c>
      <c r="CR527">
        <v>1</v>
      </c>
      <c r="CS527">
        <v>1</v>
      </c>
      <c r="CT527">
        <v>1</v>
      </c>
      <c r="CU527">
        <v>1</v>
      </c>
      <c r="CV527">
        <v>1</v>
      </c>
      <c r="CW527">
        <v>1</v>
      </c>
      <c r="CX527">
        <v>1</v>
      </c>
      <c r="CY527">
        <v>1</v>
      </c>
      <c r="CZ527">
        <v>1</v>
      </c>
      <c r="DA527">
        <v>1</v>
      </c>
      <c r="DB527">
        <v>1</v>
      </c>
      <c r="DD527">
        <v>1</v>
      </c>
      <c r="DE527">
        <v>1</v>
      </c>
      <c r="DF527">
        <v>1</v>
      </c>
      <c r="DG527">
        <v>1</v>
      </c>
      <c r="DH527">
        <v>1</v>
      </c>
      <c r="DI527">
        <v>1</v>
      </c>
      <c r="DJ527">
        <v>1</v>
      </c>
      <c r="DK527">
        <v>1</v>
      </c>
      <c r="DL527">
        <v>1</v>
      </c>
      <c r="DN527">
        <v>1</v>
      </c>
      <c r="DO527">
        <v>1</v>
      </c>
      <c r="DP527">
        <v>1</v>
      </c>
      <c r="DR527">
        <v>1</v>
      </c>
      <c r="DS527">
        <v>1</v>
      </c>
      <c r="DT527">
        <v>1</v>
      </c>
      <c r="DU527">
        <v>1</v>
      </c>
      <c r="DV527">
        <v>1</v>
      </c>
      <c r="DW527">
        <v>1</v>
      </c>
      <c r="DX527">
        <v>1</v>
      </c>
      <c r="EC527">
        <v>1</v>
      </c>
      <c r="ED527">
        <v>1</v>
      </c>
      <c r="EF527">
        <v>1</v>
      </c>
      <c r="EG527">
        <v>1</v>
      </c>
      <c r="EH527">
        <v>1</v>
      </c>
      <c r="EI527">
        <v>1</v>
      </c>
      <c r="EJ527">
        <v>1</v>
      </c>
      <c r="EK527">
        <v>1</v>
      </c>
      <c r="EQ527">
        <v>1</v>
      </c>
      <c r="ER527">
        <v>1</v>
      </c>
      <c r="ET527">
        <v>1</v>
      </c>
      <c r="EU527">
        <v>1</v>
      </c>
      <c r="EV527">
        <v>1</v>
      </c>
      <c r="EW527">
        <v>1</v>
      </c>
      <c r="EX527">
        <v>1</v>
      </c>
      <c r="FE527">
        <v>1</v>
      </c>
      <c r="FF527">
        <v>1</v>
      </c>
      <c r="FH527">
        <v>1</v>
      </c>
      <c r="FI527">
        <v>1</v>
      </c>
      <c r="FJ527">
        <v>1</v>
      </c>
      <c r="FK527">
        <v>1</v>
      </c>
      <c r="FV527" s="18">
        <f t="shared" si="605"/>
        <v>0.66515837104072395</v>
      </c>
    </row>
    <row r="528" spans="1:178" ht="14.25" customHeight="1" x14ac:dyDescent="0.25">
      <c r="A528" s="86" t="s">
        <v>273</v>
      </c>
      <c r="B528">
        <v>9</v>
      </c>
      <c r="C528">
        <v>15</v>
      </c>
      <c r="D528" s="26" t="s">
        <v>8</v>
      </c>
      <c r="E528" s="26" t="s">
        <v>13</v>
      </c>
      <c r="F528" s="8" t="s">
        <v>197</v>
      </c>
      <c r="G528" s="8" t="s">
        <v>201</v>
      </c>
      <c r="H528" s="26" t="s">
        <v>220</v>
      </c>
      <c r="J528">
        <v>1</v>
      </c>
      <c r="K528">
        <v>1</v>
      </c>
      <c r="L528">
        <v>1</v>
      </c>
      <c r="P528">
        <v>1</v>
      </c>
      <c r="R528">
        <v>1</v>
      </c>
      <c r="S528">
        <v>1</v>
      </c>
      <c r="T528">
        <v>1</v>
      </c>
      <c r="V528">
        <v>1</v>
      </c>
      <c r="W528">
        <v>1</v>
      </c>
      <c r="AI528">
        <v>1</v>
      </c>
      <c r="AK528">
        <v>1</v>
      </c>
      <c r="AM528">
        <v>1</v>
      </c>
      <c r="AV528">
        <v>1</v>
      </c>
      <c r="AY528">
        <v>1</v>
      </c>
      <c r="AZ528">
        <v>1</v>
      </c>
      <c r="BM528">
        <v>1</v>
      </c>
      <c r="CA528">
        <v>1</v>
      </c>
      <c r="CO528">
        <v>1</v>
      </c>
      <c r="DC528">
        <v>1</v>
      </c>
      <c r="DQ528">
        <v>1</v>
      </c>
      <c r="EE528">
        <v>1</v>
      </c>
      <c r="ES528">
        <v>1</v>
      </c>
      <c r="FG528">
        <v>1</v>
      </c>
      <c r="FU528">
        <v>1</v>
      </c>
      <c r="FV528" s="18">
        <f t="shared" ref="FV528:FV529" si="609">SUMPRODUCT(I528:FU528,$I$1:$FU$1)/(SUM($I$1:$FU$1))</f>
        <v>0.10859728506787331</v>
      </c>
    </row>
    <row r="529" spans="1:178" ht="14.25" customHeight="1" x14ac:dyDescent="0.25">
      <c r="A529" s="86" t="s">
        <v>273</v>
      </c>
      <c r="B529">
        <v>9</v>
      </c>
      <c r="C529">
        <v>15</v>
      </c>
      <c r="D529" s="26" t="s">
        <v>8</v>
      </c>
      <c r="E529" s="26" t="s">
        <v>13</v>
      </c>
      <c r="F529" s="8" t="s">
        <v>197</v>
      </c>
      <c r="G529" s="8" t="s">
        <v>201</v>
      </c>
      <c r="H529" s="26" t="s">
        <v>195</v>
      </c>
      <c r="I529">
        <v>1</v>
      </c>
      <c r="M529">
        <v>1</v>
      </c>
      <c r="N529">
        <v>1</v>
      </c>
      <c r="O529">
        <v>1</v>
      </c>
      <c r="Q529">
        <v>1</v>
      </c>
      <c r="U529">
        <v>1</v>
      </c>
      <c r="X529">
        <v>1</v>
      </c>
      <c r="Y529">
        <v>1</v>
      </c>
      <c r="Z529">
        <v>1</v>
      </c>
      <c r="AA529">
        <v>1</v>
      </c>
      <c r="AB529">
        <v>1</v>
      </c>
      <c r="AC529">
        <v>1</v>
      </c>
      <c r="AD529">
        <v>1</v>
      </c>
      <c r="AE529">
        <v>1</v>
      </c>
      <c r="AF529">
        <v>1</v>
      </c>
      <c r="AG529">
        <v>1</v>
      </c>
      <c r="AH529">
        <v>1</v>
      </c>
      <c r="AJ529">
        <v>1</v>
      </c>
      <c r="AL529">
        <v>1</v>
      </c>
      <c r="AN529">
        <v>1</v>
      </c>
      <c r="AO529">
        <v>1</v>
      </c>
      <c r="AP529">
        <v>1</v>
      </c>
      <c r="AQ529">
        <v>1</v>
      </c>
      <c r="AR529">
        <v>1</v>
      </c>
      <c r="AS529">
        <v>1</v>
      </c>
      <c r="AT529">
        <v>1</v>
      </c>
      <c r="AU529">
        <v>1</v>
      </c>
      <c r="AW529">
        <v>1</v>
      </c>
      <c r="AX529">
        <v>1</v>
      </c>
      <c r="BA529">
        <v>1</v>
      </c>
      <c r="BB529">
        <v>1</v>
      </c>
      <c r="BC529">
        <v>1</v>
      </c>
      <c r="BD529">
        <v>1</v>
      </c>
      <c r="BE529">
        <v>1</v>
      </c>
      <c r="BF529">
        <v>1</v>
      </c>
      <c r="BG529">
        <v>1</v>
      </c>
      <c r="BH529">
        <v>1</v>
      </c>
      <c r="BI529">
        <v>1</v>
      </c>
      <c r="BJ529">
        <v>1</v>
      </c>
      <c r="BK529">
        <v>1</v>
      </c>
      <c r="BL529">
        <v>1</v>
      </c>
      <c r="BN529">
        <v>1</v>
      </c>
      <c r="BO529">
        <v>1</v>
      </c>
      <c r="BP529">
        <v>1</v>
      </c>
      <c r="BQ529">
        <v>1</v>
      </c>
      <c r="BR529">
        <v>1</v>
      </c>
      <c r="BS529">
        <v>1</v>
      </c>
      <c r="BT529">
        <v>1</v>
      </c>
      <c r="BU529">
        <v>1</v>
      </c>
      <c r="BV529">
        <v>1</v>
      </c>
      <c r="BW529">
        <v>1</v>
      </c>
      <c r="BX529">
        <v>1</v>
      </c>
      <c r="BY529">
        <v>1</v>
      </c>
      <c r="BZ529">
        <v>1</v>
      </c>
      <c r="CB529">
        <v>1</v>
      </c>
      <c r="CC529">
        <v>1</v>
      </c>
      <c r="CD529">
        <v>1</v>
      </c>
      <c r="CE529">
        <v>1</v>
      </c>
      <c r="CF529">
        <v>1</v>
      </c>
      <c r="CG529">
        <v>1</v>
      </c>
      <c r="CH529">
        <v>1</v>
      </c>
      <c r="CI529">
        <v>1</v>
      </c>
      <c r="CJ529">
        <v>1</v>
      </c>
      <c r="CK529">
        <v>1</v>
      </c>
      <c r="CL529">
        <v>1</v>
      </c>
      <c r="CM529">
        <v>1</v>
      </c>
      <c r="CN529">
        <v>1</v>
      </c>
      <c r="CP529">
        <v>1</v>
      </c>
      <c r="CQ529">
        <v>1</v>
      </c>
      <c r="CR529">
        <v>1</v>
      </c>
      <c r="CS529">
        <v>1</v>
      </c>
      <c r="CT529">
        <v>1</v>
      </c>
      <c r="CU529">
        <v>1</v>
      </c>
      <c r="CV529">
        <v>1</v>
      </c>
      <c r="CW529">
        <v>1</v>
      </c>
      <c r="CX529">
        <v>1</v>
      </c>
      <c r="CY529">
        <v>1</v>
      </c>
      <c r="CZ529">
        <v>1</v>
      </c>
      <c r="DA529">
        <v>1</v>
      </c>
      <c r="DB529">
        <v>1</v>
      </c>
      <c r="DD529">
        <v>1</v>
      </c>
      <c r="DE529">
        <v>1</v>
      </c>
      <c r="DF529">
        <v>1</v>
      </c>
      <c r="DG529">
        <v>1</v>
      </c>
      <c r="DH529">
        <v>1</v>
      </c>
      <c r="DI529">
        <v>1</v>
      </c>
      <c r="DJ529">
        <v>1</v>
      </c>
      <c r="DK529">
        <v>1</v>
      </c>
      <c r="DL529">
        <v>1</v>
      </c>
      <c r="DN529">
        <v>1</v>
      </c>
      <c r="DO529">
        <v>1</v>
      </c>
      <c r="DP529">
        <v>1</v>
      </c>
      <c r="DR529">
        <v>1</v>
      </c>
      <c r="DS529">
        <v>1</v>
      </c>
      <c r="DT529">
        <v>1</v>
      </c>
      <c r="DU529">
        <v>1</v>
      </c>
      <c r="DV529">
        <v>1</v>
      </c>
      <c r="DW529">
        <v>1</v>
      </c>
      <c r="DX529">
        <v>1</v>
      </c>
      <c r="EC529">
        <v>1</v>
      </c>
      <c r="ED529">
        <v>1</v>
      </c>
      <c r="EF529">
        <v>1</v>
      </c>
      <c r="EG529">
        <v>1</v>
      </c>
      <c r="EH529">
        <v>1</v>
      </c>
      <c r="EI529">
        <v>1</v>
      </c>
      <c r="EJ529">
        <v>1</v>
      </c>
      <c r="EK529">
        <v>1</v>
      </c>
      <c r="EQ529">
        <v>1</v>
      </c>
      <c r="ER529">
        <v>1</v>
      </c>
      <c r="ET529">
        <v>1</v>
      </c>
      <c r="EU529">
        <v>1</v>
      </c>
      <c r="EV529">
        <v>1</v>
      </c>
      <c r="EW529">
        <v>1</v>
      </c>
      <c r="EX529">
        <v>1</v>
      </c>
      <c r="FE529">
        <v>1</v>
      </c>
      <c r="FF529">
        <v>1</v>
      </c>
      <c r="FH529">
        <v>1</v>
      </c>
      <c r="FI529">
        <v>1</v>
      </c>
      <c r="FJ529">
        <v>1</v>
      </c>
      <c r="FK529">
        <v>1</v>
      </c>
      <c r="FV529" s="18">
        <f t="shared" si="609"/>
        <v>0.66515837104072395</v>
      </c>
    </row>
    <row r="530" spans="1:178" ht="14.25" customHeight="1" x14ac:dyDescent="0.25">
      <c r="A530" s="86" t="s">
        <v>273</v>
      </c>
      <c r="B530">
        <v>9</v>
      </c>
      <c r="C530">
        <v>15</v>
      </c>
      <c r="D530" s="26" t="s">
        <v>10</v>
      </c>
      <c r="E530" s="26" t="s">
        <v>11</v>
      </c>
      <c r="F530" s="8" t="s">
        <v>197</v>
      </c>
      <c r="G530" s="8" t="s">
        <v>201</v>
      </c>
      <c r="H530" s="25" t="s">
        <v>220</v>
      </c>
      <c r="J530">
        <v>1</v>
      </c>
      <c r="K530">
        <v>1</v>
      </c>
      <c r="L530">
        <v>1</v>
      </c>
      <c r="M530">
        <v>1</v>
      </c>
      <c r="N530">
        <v>1</v>
      </c>
      <c r="O530">
        <v>1</v>
      </c>
      <c r="R530">
        <v>1</v>
      </c>
      <c r="S530">
        <v>1</v>
      </c>
      <c r="T530">
        <v>1</v>
      </c>
      <c r="U530">
        <v>1</v>
      </c>
      <c r="V530">
        <v>1</v>
      </c>
      <c r="W530">
        <v>1</v>
      </c>
      <c r="X530">
        <v>1</v>
      </c>
      <c r="Y530">
        <v>1</v>
      </c>
      <c r="AI530">
        <v>1</v>
      </c>
      <c r="AJ530">
        <v>1</v>
      </c>
      <c r="AK530">
        <v>1</v>
      </c>
      <c r="AL530">
        <v>1</v>
      </c>
      <c r="AM530">
        <v>1</v>
      </c>
      <c r="AV530">
        <v>1</v>
      </c>
      <c r="AY530">
        <v>1</v>
      </c>
      <c r="AZ530">
        <v>1</v>
      </c>
      <c r="BI530">
        <v>1</v>
      </c>
      <c r="BM530">
        <v>1</v>
      </c>
      <c r="BV530">
        <v>1</v>
      </c>
      <c r="CA530">
        <v>1</v>
      </c>
      <c r="CO530">
        <v>1</v>
      </c>
      <c r="DC530">
        <v>1</v>
      </c>
      <c r="DQ530">
        <v>1</v>
      </c>
      <c r="FG530">
        <v>1</v>
      </c>
      <c r="FV530" s="18">
        <f t="shared" si="605"/>
        <v>0.14027149321266968</v>
      </c>
    </row>
    <row r="531" spans="1:178" ht="14.25" customHeight="1" x14ac:dyDescent="0.25">
      <c r="A531" s="86" t="s">
        <v>273</v>
      </c>
      <c r="B531">
        <v>9</v>
      </c>
      <c r="C531">
        <v>15</v>
      </c>
      <c r="D531" s="26" t="s">
        <v>10</v>
      </c>
      <c r="E531" s="26" t="s">
        <v>11</v>
      </c>
      <c r="F531" s="8" t="s">
        <v>197</v>
      </c>
      <c r="G531" s="8" t="s">
        <v>201</v>
      </c>
      <c r="H531" s="26" t="s">
        <v>195</v>
      </c>
      <c r="I531">
        <v>1</v>
      </c>
      <c r="P531">
        <v>1</v>
      </c>
      <c r="Q531">
        <v>1</v>
      </c>
      <c r="Z531">
        <v>1</v>
      </c>
      <c r="AA531">
        <v>1</v>
      </c>
      <c r="AN531">
        <v>1</v>
      </c>
      <c r="AW531">
        <v>1</v>
      </c>
      <c r="BN531">
        <v>1</v>
      </c>
      <c r="EE531">
        <v>1</v>
      </c>
      <c r="ES531">
        <v>1</v>
      </c>
      <c r="FV531" s="18">
        <f t="shared" si="605"/>
        <v>4.072398190045249E-2</v>
      </c>
    </row>
    <row r="532" spans="1:178" ht="14.25" customHeight="1" x14ac:dyDescent="0.25">
      <c r="A532" s="86" t="s">
        <v>273</v>
      </c>
      <c r="B532">
        <v>9</v>
      </c>
      <c r="C532">
        <v>15</v>
      </c>
      <c r="D532" s="26" t="s">
        <v>9</v>
      </c>
      <c r="E532" s="26" t="s">
        <v>11</v>
      </c>
      <c r="F532" s="8" t="s">
        <v>197</v>
      </c>
      <c r="G532" s="8" t="s">
        <v>201</v>
      </c>
      <c r="H532" s="25" t="s">
        <v>220</v>
      </c>
      <c r="I532">
        <v>1</v>
      </c>
      <c r="J532">
        <v>1</v>
      </c>
      <c r="K532">
        <v>1</v>
      </c>
      <c r="L532">
        <v>1</v>
      </c>
      <c r="M532">
        <v>1</v>
      </c>
      <c r="N532">
        <v>1</v>
      </c>
      <c r="O532">
        <v>1</v>
      </c>
      <c r="P532">
        <v>1</v>
      </c>
      <c r="Q532">
        <v>1</v>
      </c>
      <c r="R532">
        <v>1</v>
      </c>
      <c r="S532">
        <v>1</v>
      </c>
      <c r="T532">
        <v>1</v>
      </c>
      <c r="U532">
        <v>1</v>
      </c>
      <c r="V532">
        <v>1</v>
      </c>
      <c r="W532">
        <v>1</v>
      </c>
      <c r="X532">
        <v>1</v>
      </c>
      <c r="Y532">
        <v>1</v>
      </c>
      <c r="Z532">
        <v>1</v>
      </c>
      <c r="AA532">
        <v>1</v>
      </c>
      <c r="AI532">
        <v>1</v>
      </c>
      <c r="AJ532">
        <v>1</v>
      </c>
      <c r="AK532">
        <v>1</v>
      </c>
      <c r="AL532">
        <v>1</v>
      </c>
      <c r="AM532">
        <v>1</v>
      </c>
      <c r="AN532">
        <v>1</v>
      </c>
      <c r="AV532">
        <v>1</v>
      </c>
      <c r="AW532">
        <v>1</v>
      </c>
      <c r="AX532">
        <v>1</v>
      </c>
      <c r="AY532">
        <v>1</v>
      </c>
      <c r="AZ532">
        <v>1</v>
      </c>
      <c r="BA532">
        <v>1</v>
      </c>
      <c r="BI532">
        <v>1</v>
      </c>
      <c r="BM532">
        <v>1</v>
      </c>
      <c r="BN532">
        <v>1</v>
      </c>
      <c r="BV532">
        <v>1</v>
      </c>
      <c r="CA532">
        <v>1</v>
      </c>
      <c r="CI532">
        <v>1</v>
      </c>
      <c r="CO532">
        <v>1</v>
      </c>
      <c r="CV532">
        <v>1</v>
      </c>
      <c r="DC532">
        <v>1</v>
      </c>
      <c r="DQ532">
        <v>1</v>
      </c>
      <c r="DV532">
        <v>1</v>
      </c>
      <c r="EE532">
        <v>1</v>
      </c>
      <c r="ES532">
        <v>1</v>
      </c>
      <c r="FG532">
        <v>1</v>
      </c>
      <c r="FU532">
        <v>1</v>
      </c>
      <c r="FV532" s="18">
        <f t="shared" si="605"/>
        <v>0.22473604826546004</v>
      </c>
    </row>
    <row r="533" spans="1:178" ht="14.25" customHeight="1" x14ac:dyDescent="0.25">
      <c r="A533" s="86" t="s">
        <v>273</v>
      </c>
      <c r="B533">
        <v>9</v>
      </c>
      <c r="C533">
        <v>15</v>
      </c>
      <c r="D533" s="26" t="s">
        <v>8</v>
      </c>
      <c r="E533" s="26" t="s">
        <v>11</v>
      </c>
      <c r="F533" s="8" t="s">
        <v>197</v>
      </c>
      <c r="G533" s="8" t="s">
        <v>201</v>
      </c>
      <c r="H533" s="25" t="s">
        <v>220</v>
      </c>
      <c r="J533">
        <v>1</v>
      </c>
      <c r="K533">
        <v>1</v>
      </c>
      <c r="L533">
        <v>1</v>
      </c>
      <c r="N533">
        <v>1</v>
      </c>
      <c r="T533">
        <v>1</v>
      </c>
      <c r="U533">
        <v>1</v>
      </c>
      <c r="V533">
        <v>1</v>
      </c>
      <c r="W533">
        <v>1</v>
      </c>
      <c r="AI533">
        <v>1</v>
      </c>
      <c r="AJ533">
        <v>1</v>
      </c>
      <c r="AK533">
        <v>1</v>
      </c>
      <c r="AN533">
        <v>1</v>
      </c>
      <c r="AV533">
        <v>1</v>
      </c>
      <c r="AY533">
        <v>1</v>
      </c>
      <c r="AZ533">
        <v>1</v>
      </c>
      <c r="BI533">
        <v>1</v>
      </c>
      <c r="BM533">
        <v>1</v>
      </c>
      <c r="BV533">
        <v>1</v>
      </c>
      <c r="CA533">
        <v>1</v>
      </c>
      <c r="CO533">
        <v>1</v>
      </c>
      <c r="DC533">
        <v>1</v>
      </c>
      <c r="DQ533">
        <v>1</v>
      </c>
      <c r="EE533">
        <v>1</v>
      </c>
      <c r="EI533">
        <v>1</v>
      </c>
      <c r="ES533">
        <v>1</v>
      </c>
      <c r="EV533">
        <v>1</v>
      </c>
      <c r="FG533">
        <v>1</v>
      </c>
      <c r="FI533">
        <v>1</v>
      </c>
      <c r="FU533">
        <v>1</v>
      </c>
      <c r="FV533" s="18">
        <f t="shared" si="605"/>
        <v>0.15987933634992457</v>
      </c>
    </row>
    <row r="534" spans="1:178" ht="14.25" customHeight="1" x14ac:dyDescent="0.25">
      <c r="A534" s="86" t="s">
        <v>273</v>
      </c>
      <c r="B534">
        <v>9</v>
      </c>
      <c r="C534">
        <v>15</v>
      </c>
      <c r="D534" s="26" t="s">
        <v>8</v>
      </c>
      <c r="E534" s="26" t="s">
        <v>11</v>
      </c>
      <c r="F534" s="8" t="s">
        <v>197</v>
      </c>
      <c r="G534" s="8" t="s">
        <v>201</v>
      </c>
      <c r="H534" s="26" t="s">
        <v>195</v>
      </c>
      <c r="I534">
        <v>1</v>
      </c>
      <c r="M534">
        <v>1</v>
      </c>
      <c r="O534">
        <v>1</v>
      </c>
      <c r="P534">
        <v>1</v>
      </c>
      <c r="Q534">
        <v>1</v>
      </c>
      <c r="R534">
        <v>1</v>
      </c>
      <c r="S534">
        <v>1</v>
      </c>
      <c r="X534">
        <v>1</v>
      </c>
      <c r="Y534">
        <v>1</v>
      </c>
      <c r="Z534">
        <v>1</v>
      </c>
      <c r="AA534">
        <v>1</v>
      </c>
      <c r="AB534">
        <v>1</v>
      </c>
      <c r="AC534">
        <v>1</v>
      </c>
      <c r="AD534">
        <v>1</v>
      </c>
      <c r="AE534">
        <v>1</v>
      </c>
      <c r="AF534">
        <v>1</v>
      </c>
      <c r="AG534">
        <v>1</v>
      </c>
      <c r="AH534">
        <v>1</v>
      </c>
      <c r="AL534">
        <v>1</v>
      </c>
      <c r="AM534">
        <v>1</v>
      </c>
      <c r="AO534">
        <v>1</v>
      </c>
      <c r="AP534">
        <v>1</v>
      </c>
      <c r="AQ534">
        <v>1</v>
      </c>
      <c r="AR534">
        <v>1</v>
      </c>
      <c r="AS534">
        <v>1</v>
      </c>
      <c r="AT534">
        <v>1</v>
      </c>
      <c r="AU534">
        <v>1</v>
      </c>
      <c r="AW534">
        <v>1</v>
      </c>
      <c r="AX534">
        <v>1</v>
      </c>
      <c r="BA534">
        <v>1</v>
      </c>
      <c r="BB534">
        <v>1</v>
      </c>
      <c r="BC534">
        <v>1</v>
      </c>
      <c r="BD534">
        <v>1</v>
      </c>
      <c r="BE534">
        <v>1</v>
      </c>
      <c r="BF534">
        <v>1</v>
      </c>
      <c r="BG534">
        <v>1</v>
      </c>
      <c r="BH534">
        <v>1</v>
      </c>
      <c r="BJ534">
        <v>1</v>
      </c>
      <c r="BK534">
        <v>1</v>
      </c>
      <c r="BL534">
        <v>1</v>
      </c>
      <c r="BN534">
        <v>1</v>
      </c>
      <c r="BO534">
        <v>1</v>
      </c>
      <c r="BP534">
        <v>1</v>
      </c>
      <c r="BQ534">
        <v>1</v>
      </c>
      <c r="BR534">
        <v>1</v>
      </c>
      <c r="BS534">
        <v>1</v>
      </c>
      <c r="BT534">
        <v>1</v>
      </c>
      <c r="BU534">
        <v>1</v>
      </c>
      <c r="BW534">
        <v>1</v>
      </c>
      <c r="BX534">
        <v>1</v>
      </c>
      <c r="BY534">
        <v>1</v>
      </c>
      <c r="BZ534">
        <v>1</v>
      </c>
      <c r="CB534">
        <v>1</v>
      </c>
      <c r="CC534">
        <v>1</v>
      </c>
      <c r="CD534">
        <v>1</v>
      </c>
      <c r="CE534">
        <v>1</v>
      </c>
      <c r="CF534">
        <v>1</v>
      </c>
      <c r="CG534">
        <v>1</v>
      </c>
      <c r="CH534">
        <v>1</v>
      </c>
      <c r="CI534">
        <v>1</v>
      </c>
      <c r="CJ534">
        <v>1</v>
      </c>
      <c r="CK534">
        <v>1</v>
      </c>
      <c r="CL534">
        <v>1</v>
      </c>
      <c r="CM534">
        <v>1</v>
      </c>
      <c r="CN534">
        <v>1</v>
      </c>
      <c r="CP534">
        <v>1</v>
      </c>
      <c r="CQ534">
        <v>1</v>
      </c>
      <c r="CR534">
        <v>1</v>
      </c>
      <c r="CS534">
        <v>1</v>
      </c>
      <c r="CT534">
        <v>1</v>
      </c>
      <c r="CU534">
        <v>1</v>
      </c>
      <c r="CV534">
        <v>1</v>
      </c>
      <c r="CW534">
        <v>1</v>
      </c>
      <c r="CX534">
        <v>1</v>
      </c>
      <c r="CY534">
        <v>1</v>
      </c>
      <c r="CZ534">
        <v>1</v>
      </c>
      <c r="DA534">
        <v>1</v>
      </c>
      <c r="DB534">
        <v>1</v>
      </c>
      <c r="DD534">
        <v>1</v>
      </c>
      <c r="DE534">
        <v>1</v>
      </c>
      <c r="DF534">
        <v>1</v>
      </c>
      <c r="DG534">
        <v>1</v>
      </c>
      <c r="DH534">
        <v>1</v>
      </c>
      <c r="DI534">
        <v>1</v>
      </c>
      <c r="DJ534">
        <v>1</v>
      </c>
      <c r="DK534">
        <v>1</v>
      </c>
      <c r="DO534">
        <v>1</v>
      </c>
      <c r="DP534">
        <v>1</v>
      </c>
      <c r="DR534">
        <v>1</v>
      </c>
      <c r="DS534">
        <v>1</v>
      </c>
      <c r="DT534">
        <v>1</v>
      </c>
      <c r="DU534">
        <v>1</v>
      </c>
      <c r="DV534">
        <v>1</v>
      </c>
      <c r="DW534">
        <v>1</v>
      </c>
      <c r="DX534">
        <v>1</v>
      </c>
      <c r="DY534">
        <v>1</v>
      </c>
      <c r="EC534">
        <v>1</v>
      </c>
      <c r="ED534">
        <v>1</v>
      </c>
      <c r="EF534">
        <v>1</v>
      </c>
      <c r="EG534">
        <v>1</v>
      </c>
      <c r="EH534">
        <v>1</v>
      </c>
      <c r="EJ534">
        <v>1</v>
      </c>
      <c r="EK534">
        <v>1</v>
      </c>
      <c r="EQ534">
        <v>1</v>
      </c>
      <c r="ER534">
        <v>1</v>
      </c>
      <c r="ET534">
        <v>1</v>
      </c>
      <c r="EU534">
        <v>1</v>
      </c>
      <c r="EW534">
        <v>1</v>
      </c>
      <c r="EX534">
        <v>1</v>
      </c>
      <c r="FE534">
        <v>1</v>
      </c>
      <c r="FF534">
        <v>1</v>
      </c>
      <c r="FH534">
        <v>1</v>
      </c>
      <c r="FJ534">
        <v>1</v>
      </c>
      <c r="FK534">
        <v>1</v>
      </c>
      <c r="FV534" s="18">
        <f t="shared" si="605"/>
        <v>0.60482654600301655</v>
      </c>
    </row>
    <row r="535" spans="1:178" ht="14.25" customHeight="1" x14ac:dyDescent="0.25">
      <c r="A535" s="86" t="s">
        <v>273</v>
      </c>
      <c r="B535">
        <v>9</v>
      </c>
      <c r="C535">
        <v>15</v>
      </c>
      <c r="D535" s="27" t="s">
        <v>9</v>
      </c>
      <c r="E535" s="27" t="s">
        <v>10</v>
      </c>
      <c r="F535" s="8" t="s">
        <v>197</v>
      </c>
      <c r="G535" s="8" t="s">
        <v>201</v>
      </c>
      <c r="H535" s="25" t="s">
        <v>220</v>
      </c>
      <c r="I535">
        <v>1</v>
      </c>
      <c r="J535">
        <v>1</v>
      </c>
      <c r="K535">
        <v>1</v>
      </c>
      <c r="L535">
        <v>1</v>
      </c>
      <c r="M535">
        <v>1</v>
      </c>
      <c r="N535">
        <v>1</v>
      </c>
      <c r="O535">
        <v>1</v>
      </c>
      <c r="P535">
        <v>1</v>
      </c>
      <c r="Q535">
        <v>1</v>
      </c>
      <c r="R535">
        <v>1</v>
      </c>
      <c r="S535">
        <v>1</v>
      </c>
      <c r="T535">
        <v>1</v>
      </c>
      <c r="U535">
        <v>1</v>
      </c>
      <c r="V535">
        <v>1</v>
      </c>
      <c r="W535">
        <v>1</v>
      </c>
      <c r="X535">
        <v>1</v>
      </c>
      <c r="Y535">
        <v>1</v>
      </c>
      <c r="Z535">
        <v>1</v>
      </c>
      <c r="AA535">
        <v>1</v>
      </c>
      <c r="AB535">
        <v>1</v>
      </c>
      <c r="AI535">
        <v>1</v>
      </c>
      <c r="AJ535">
        <v>1</v>
      </c>
      <c r="AK535">
        <v>1</v>
      </c>
      <c r="AL535">
        <v>1</v>
      </c>
      <c r="AM535">
        <v>1</v>
      </c>
      <c r="AN535">
        <v>1</v>
      </c>
      <c r="AV535">
        <v>1</v>
      </c>
      <c r="AW535">
        <v>1</v>
      </c>
      <c r="AX535">
        <v>1</v>
      </c>
      <c r="AY535">
        <v>1</v>
      </c>
      <c r="AZ535">
        <v>1</v>
      </c>
      <c r="BA535">
        <v>1</v>
      </c>
      <c r="BI535">
        <v>1</v>
      </c>
      <c r="BJ535">
        <v>1</v>
      </c>
      <c r="BL535">
        <v>1</v>
      </c>
      <c r="BM535">
        <v>1</v>
      </c>
      <c r="BN535">
        <v>1</v>
      </c>
      <c r="BV535">
        <v>1</v>
      </c>
      <c r="CA535">
        <v>1</v>
      </c>
      <c r="CI535">
        <v>1</v>
      </c>
      <c r="CO535">
        <v>1</v>
      </c>
      <c r="CV535">
        <v>1</v>
      </c>
      <c r="DC535">
        <v>1</v>
      </c>
      <c r="DI535">
        <v>1</v>
      </c>
      <c r="DQ535">
        <v>1</v>
      </c>
      <c r="DV535">
        <v>1</v>
      </c>
      <c r="EE535">
        <v>1</v>
      </c>
      <c r="EI535">
        <v>1</v>
      </c>
      <c r="ES535">
        <v>1</v>
      </c>
      <c r="EV535">
        <v>1</v>
      </c>
      <c r="FG535">
        <v>1</v>
      </c>
      <c r="FI535">
        <v>1</v>
      </c>
      <c r="FU535">
        <v>1</v>
      </c>
      <c r="FV535" s="18">
        <f t="shared" si="605"/>
        <v>0.28205128205128205</v>
      </c>
    </row>
    <row r="536" spans="1:178" ht="14.25" customHeight="1" x14ac:dyDescent="0.25">
      <c r="A536" s="86" t="s">
        <v>273</v>
      </c>
      <c r="B536">
        <v>9</v>
      </c>
      <c r="C536">
        <v>15</v>
      </c>
      <c r="D536" s="27" t="s">
        <v>8</v>
      </c>
      <c r="E536" s="27" t="s">
        <v>10</v>
      </c>
      <c r="F536" s="8" t="s">
        <v>197</v>
      </c>
      <c r="G536" s="8" t="s">
        <v>201</v>
      </c>
      <c r="H536" s="27" t="s">
        <v>220</v>
      </c>
      <c r="J536">
        <v>1</v>
      </c>
      <c r="K536">
        <v>1</v>
      </c>
      <c r="L536">
        <v>1</v>
      </c>
      <c r="M536">
        <v>1</v>
      </c>
      <c r="O536">
        <v>1</v>
      </c>
      <c r="U536">
        <v>1</v>
      </c>
      <c r="V536">
        <v>1</v>
      </c>
      <c r="AE536">
        <v>1</v>
      </c>
      <c r="AF536">
        <v>1</v>
      </c>
      <c r="AG536">
        <v>1</v>
      </c>
      <c r="AI536">
        <v>1</v>
      </c>
      <c r="AJ536">
        <v>1</v>
      </c>
      <c r="AK536">
        <v>1</v>
      </c>
      <c r="AV536">
        <v>1</v>
      </c>
      <c r="AX536">
        <v>1</v>
      </c>
      <c r="AY536">
        <v>1</v>
      </c>
      <c r="BI536">
        <v>1</v>
      </c>
      <c r="BM536">
        <v>1</v>
      </c>
      <c r="BV536">
        <v>1</v>
      </c>
      <c r="CA536">
        <v>1</v>
      </c>
      <c r="CI536">
        <v>1</v>
      </c>
      <c r="CO536">
        <v>1</v>
      </c>
      <c r="DC536">
        <v>1</v>
      </c>
      <c r="DQ536">
        <v>1</v>
      </c>
      <c r="EE536">
        <v>1</v>
      </c>
      <c r="EI536">
        <v>1</v>
      </c>
      <c r="ES536">
        <v>1</v>
      </c>
      <c r="EV536">
        <v>1</v>
      </c>
      <c r="FG536">
        <v>1</v>
      </c>
      <c r="FI536">
        <v>1</v>
      </c>
      <c r="FU536">
        <v>1</v>
      </c>
      <c r="FV536" s="18">
        <f t="shared" si="605"/>
        <v>0.17647058823529413</v>
      </c>
    </row>
    <row r="537" spans="1:178" ht="14.25" customHeight="1" x14ac:dyDescent="0.25">
      <c r="A537" s="86" t="s">
        <v>273</v>
      </c>
      <c r="B537">
        <v>9</v>
      </c>
      <c r="C537">
        <v>15</v>
      </c>
      <c r="D537" s="27" t="s">
        <v>8</v>
      </c>
      <c r="E537" s="27" t="s">
        <v>10</v>
      </c>
      <c r="F537" s="8" t="s">
        <v>197</v>
      </c>
      <c r="G537" s="8" t="s">
        <v>201</v>
      </c>
      <c r="H537" s="25" t="s">
        <v>195</v>
      </c>
      <c r="I537">
        <v>1</v>
      </c>
      <c r="N537">
        <v>1</v>
      </c>
      <c r="P537">
        <v>1</v>
      </c>
      <c r="Q537">
        <v>1</v>
      </c>
      <c r="R537">
        <v>1</v>
      </c>
      <c r="S537">
        <v>1</v>
      </c>
      <c r="T537">
        <v>1</v>
      </c>
      <c r="W537">
        <v>1</v>
      </c>
      <c r="X537">
        <v>1</v>
      </c>
      <c r="Y537">
        <v>1</v>
      </c>
      <c r="Z537">
        <v>1</v>
      </c>
      <c r="AA537">
        <v>1</v>
      </c>
      <c r="AB537">
        <v>1</v>
      </c>
      <c r="AC537">
        <v>1</v>
      </c>
      <c r="AD537">
        <v>1</v>
      </c>
      <c r="AH537">
        <v>1</v>
      </c>
      <c r="AL537">
        <v>1</v>
      </c>
      <c r="AM537">
        <v>1</v>
      </c>
      <c r="AN537">
        <v>1</v>
      </c>
      <c r="AO537">
        <v>1</v>
      </c>
      <c r="AP537">
        <v>1</v>
      </c>
      <c r="AQ537">
        <v>1</v>
      </c>
      <c r="AR537">
        <v>1</v>
      </c>
      <c r="AS537">
        <v>1</v>
      </c>
      <c r="AT537">
        <v>1</v>
      </c>
      <c r="AU537">
        <v>1</v>
      </c>
      <c r="AW537">
        <v>1</v>
      </c>
      <c r="AZ537">
        <v>1</v>
      </c>
      <c r="BA537">
        <v>1</v>
      </c>
      <c r="BB537">
        <v>1</v>
      </c>
      <c r="BC537">
        <v>1</v>
      </c>
      <c r="BD537">
        <v>1</v>
      </c>
      <c r="BE537">
        <v>1</v>
      </c>
      <c r="BF537">
        <v>1</v>
      </c>
      <c r="BG537">
        <v>1</v>
      </c>
      <c r="BH537">
        <v>1</v>
      </c>
      <c r="BJ537">
        <v>1</v>
      </c>
      <c r="BK537">
        <v>1</v>
      </c>
      <c r="BL537">
        <v>1</v>
      </c>
      <c r="BN537">
        <v>1</v>
      </c>
      <c r="BO537">
        <v>1</v>
      </c>
      <c r="BP537">
        <v>1</v>
      </c>
      <c r="BQ537">
        <v>1</v>
      </c>
      <c r="BR537">
        <v>1</v>
      </c>
      <c r="BS537">
        <v>1</v>
      </c>
      <c r="BT537">
        <v>1</v>
      </c>
      <c r="BU537">
        <v>1</v>
      </c>
      <c r="BW537">
        <v>1</v>
      </c>
      <c r="BX537">
        <v>1</v>
      </c>
      <c r="BY537">
        <v>1</v>
      </c>
      <c r="BZ537">
        <v>1</v>
      </c>
      <c r="CB537">
        <v>1</v>
      </c>
      <c r="CC537">
        <v>1</v>
      </c>
      <c r="CD537">
        <v>1</v>
      </c>
      <c r="CE537">
        <v>1</v>
      </c>
      <c r="CF537">
        <v>1</v>
      </c>
      <c r="CG537">
        <v>1</v>
      </c>
      <c r="CH537">
        <v>1</v>
      </c>
      <c r="CJ537">
        <v>1</v>
      </c>
      <c r="CK537">
        <v>1</v>
      </c>
      <c r="CL537">
        <v>1</v>
      </c>
      <c r="CM537">
        <v>1</v>
      </c>
      <c r="CN537">
        <v>1</v>
      </c>
      <c r="CP537">
        <v>1</v>
      </c>
      <c r="CQ537">
        <v>1</v>
      </c>
      <c r="CR537">
        <v>1</v>
      </c>
      <c r="CS537">
        <v>1</v>
      </c>
      <c r="CT537">
        <v>1</v>
      </c>
      <c r="CU537">
        <v>1</v>
      </c>
      <c r="CV537">
        <v>1</v>
      </c>
      <c r="CW537">
        <v>1</v>
      </c>
      <c r="CX537">
        <v>1</v>
      </c>
      <c r="CY537">
        <v>1</v>
      </c>
      <c r="CZ537">
        <v>1</v>
      </c>
      <c r="DA537">
        <v>1</v>
      </c>
      <c r="DB537">
        <v>1</v>
      </c>
      <c r="DD537">
        <v>1</v>
      </c>
      <c r="DE537">
        <v>1</v>
      </c>
      <c r="DF537">
        <v>1</v>
      </c>
      <c r="DG537">
        <v>1</v>
      </c>
      <c r="DH537">
        <v>1</v>
      </c>
      <c r="DI537">
        <v>1</v>
      </c>
      <c r="DJ537">
        <v>1</v>
      </c>
      <c r="DK537">
        <v>1</v>
      </c>
      <c r="DL537">
        <v>1</v>
      </c>
      <c r="DO537">
        <v>1</v>
      </c>
      <c r="DP537">
        <v>1</v>
      </c>
      <c r="DR537">
        <v>1</v>
      </c>
      <c r="DS537">
        <v>1</v>
      </c>
      <c r="DT537">
        <v>1</v>
      </c>
      <c r="DU537">
        <v>1</v>
      </c>
      <c r="DV537">
        <v>1</v>
      </c>
      <c r="DW537">
        <v>1</v>
      </c>
      <c r="DX537">
        <v>1</v>
      </c>
      <c r="DY537">
        <v>1</v>
      </c>
      <c r="ED537">
        <v>1</v>
      </c>
      <c r="EF537">
        <v>1</v>
      </c>
      <c r="EG537">
        <v>1</v>
      </c>
      <c r="EH537">
        <v>1</v>
      </c>
      <c r="EJ537">
        <v>1</v>
      </c>
      <c r="EK537">
        <v>1</v>
      </c>
      <c r="ER537">
        <v>1</v>
      </c>
      <c r="ET537">
        <v>1</v>
      </c>
      <c r="EU537">
        <v>1</v>
      </c>
      <c r="EW537">
        <v>1</v>
      </c>
      <c r="EX537">
        <v>1</v>
      </c>
      <c r="FE537">
        <v>1</v>
      </c>
      <c r="FF537">
        <v>1</v>
      </c>
      <c r="FH537">
        <v>1</v>
      </c>
      <c r="FJ537">
        <v>1</v>
      </c>
      <c r="FK537">
        <v>1</v>
      </c>
      <c r="FV537" s="18">
        <f t="shared" si="605"/>
        <v>0.579185520361991</v>
      </c>
    </row>
    <row r="538" spans="1:178" ht="14.25" customHeight="1" x14ac:dyDescent="0.25">
      <c r="A538" s="86" t="s">
        <v>273</v>
      </c>
      <c r="B538">
        <v>9</v>
      </c>
      <c r="C538">
        <v>15</v>
      </c>
      <c r="D538" s="27" t="s">
        <v>15</v>
      </c>
      <c r="E538" s="21" t="s">
        <v>15</v>
      </c>
      <c r="F538" s="27" t="s">
        <v>242</v>
      </c>
      <c r="G538" s="27" t="s">
        <v>231</v>
      </c>
      <c r="H538" s="25" t="s">
        <v>220</v>
      </c>
      <c r="I538">
        <v>1</v>
      </c>
      <c r="J538">
        <v>1</v>
      </c>
      <c r="K538">
        <v>1</v>
      </c>
      <c r="L538">
        <v>1</v>
      </c>
      <c r="V538">
        <v>1</v>
      </c>
      <c r="W538">
        <v>1</v>
      </c>
      <c r="AI538">
        <v>1</v>
      </c>
      <c r="AK538">
        <v>1</v>
      </c>
      <c r="AY538">
        <v>1</v>
      </c>
      <c r="BM538">
        <v>1</v>
      </c>
      <c r="CA538">
        <v>1</v>
      </c>
      <c r="CO538">
        <v>1</v>
      </c>
      <c r="FV538" s="18">
        <f t="shared" si="605"/>
        <v>5.8823529411764705E-2</v>
      </c>
    </row>
    <row r="539" spans="1:178" ht="14.25" customHeight="1" x14ac:dyDescent="0.25">
      <c r="A539" s="86" t="s">
        <v>273</v>
      </c>
      <c r="B539">
        <v>9</v>
      </c>
      <c r="C539">
        <v>15</v>
      </c>
      <c r="D539" s="27" t="s">
        <v>15</v>
      </c>
      <c r="E539" s="21" t="s">
        <v>15</v>
      </c>
      <c r="F539" s="27" t="s">
        <v>242</v>
      </c>
      <c r="G539" s="27" t="s">
        <v>231</v>
      </c>
      <c r="H539" s="27" t="s">
        <v>196</v>
      </c>
      <c r="M539">
        <v>1</v>
      </c>
      <c r="N539">
        <v>1</v>
      </c>
      <c r="O539">
        <v>1</v>
      </c>
      <c r="P539">
        <v>1</v>
      </c>
      <c r="Q539">
        <v>1</v>
      </c>
      <c r="R539">
        <v>1</v>
      </c>
      <c r="S539">
        <v>1</v>
      </c>
      <c r="X539">
        <v>1</v>
      </c>
      <c r="Y539">
        <v>1</v>
      </c>
      <c r="Z539">
        <v>1</v>
      </c>
      <c r="AA539">
        <v>1</v>
      </c>
      <c r="AB539">
        <v>1</v>
      </c>
      <c r="AC539">
        <v>1</v>
      </c>
      <c r="AJ539">
        <v>1</v>
      </c>
      <c r="AL539">
        <v>1</v>
      </c>
      <c r="AM539">
        <v>1</v>
      </c>
      <c r="AN539">
        <v>1</v>
      </c>
      <c r="AV539">
        <v>1</v>
      </c>
      <c r="AW539">
        <v>1</v>
      </c>
      <c r="AZ539">
        <v>1</v>
      </c>
      <c r="BA539">
        <v>1</v>
      </c>
      <c r="BI539">
        <v>1</v>
      </c>
      <c r="BN539">
        <v>1</v>
      </c>
      <c r="BO539">
        <v>1</v>
      </c>
      <c r="CB539">
        <v>1</v>
      </c>
      <c r="DC539">
        <v>1</v>
      </c>
      <c r="DQ539">
        <v>1</v>
      </c>
      <c r="FV539" s="18">
        <f t="shared" si="605"/>
        <v>0.10859728506787331</v>
      </c>
    </row>
    <row r="540" spans="1:178" ht="14.25" customHeight="1" x14ac:dyDescent="0.25">
      <c r="A540" s="86" t="s">
        <v>273</v>
      </c>
      <c r="B540">
        <v>9</v>
      </c>
      <c r="C540">
        <v>15</v>
      </c>
      <c r="D540" s="27" t="s">
        <v>15</v>
      </c>
      <c r="E540" s="21" t="s">
        <v>15</v>
      </c>
      <c r="F540" s="27" t="s">
        <v>14</v>
      </c>
      <c r="G540" s="27" t="s">
        <v>231</v>
      </c>
      <c r="H540" s="25" t="s">
        <v>220</v>
      </c>
      <c r="I540">
        <v>1</v>
      </c>
      <c r="J540">
        <v>1</v>
      </c>
      <c r="K540">
        <v>1</v>
      </c>
      <c r="L540">
        <v>1</v>
      </c>
      <c r="V540">
        <v>1</v>
      </c>
      <c r="W540">
        <v>1</v>
      </c>
      <c r="AI540">
        <v>1</v>
      </c>
      <c r="AK540">
        <v>1</v>
      </c>
      <c r="AY540">
        <v>1</v>
      </c>
      <c r="BM540">
        <v>1</v>
      </c>
      <c r="CA540">
        <v>1</v>
      </c>
      <c r="CO540">
        <v>1</v>
      </c>
      <c r="FV540" s="18">
        <f t="shared" ref="FV540:FV547" si="610">SUMPRODUCT(I540:FU540,$I$1:$FU$1)/(SUM($I$1:$FU$1))</f>
        <v>5.8823529411764705E-2</v>
      </c>
    </row>
    <row r="541" spans="1:178" ht="14.25" customHeight="1" x14ac:dyDescent="0.25">
      <c r="A541" s="86" t="s">
        <v>273</v>
      </c>
      <c r="B541">
        <v>9</v>
      </c>
      <c r="C541">
        <v>15</v>
      </c>
      <c r="D541" s="27" t="s">
        <v>15</v>
      </c>
      <c r="E541" s="21" t="s">
        <v>15</v>
      </c>
      <c r="F541" s="27" t="s">
        <v>14</v>
      </c>
      <c r="G541" s="27" t="s">
        <v>231</v>
      </c>
      <c r="H541" s="27" t="s">
        <v>196</v>
      </c>
      <c r="M541">
        <v>1</v>
      </c>
      <c r="N541">
        <v>1</v>
      </c>
      <c r="O541">
        <v>1</v>
      </c>
      <c r="P541">
        <v>1</v>
      </c>
      <c r="Q541">
        <v>1</v>
      </c>
      <c r="R541">
        <v>1</v>
      </c>
      <c r="S541">
        <v>1</v>
      </c>
      <c r="X541">
        <v>1</v>
      </c>
      <c r="Y541">
        <v>1</v>
      </c>
      <c r="Z541">
        <v>1</v>
      </c>
      <c r="AA541">
        <v>1</v>
      </c>
      <c r="AB541">
        <v>1</v>
      </c>
      <c r="AC541">
        <v>1</v>
      </c>
      <c r="AJ541">
        <v>1</v>
      </c>
      <c r="AL541">
        <v>1</v>
      </c>
      <c r="AM541">
        <v>1</v>
      </c>
      <c r="AN541">
        <v>1</v>
      </c>
      <c r="AV541">
        <v>1</v>
      </c>
      <c r="AW541">
        <v>1</v>
      </c>
      <c r="AZ541">
        <v>1</v>
      </c>
      <c r="BA541">
        <v>1</v>
      </c>
      <c r="BI541">
        <v>1</v>
      </c>
      <c r="BN541">
        <v>1</v>
      </c>
      <c r="BO541">
        <v>1</v>
      </c>
      <c r="CB541">
        <v>1</v>
      </c>
      <c r="DC541">
        <v>1</v>
      </c>
      <c r="DQ541">
        <v>1</v>
      </c>
      <c r="FV541" s="18">
        <f t="shared" si="610"/>
        <v>0.10859728506787331</v>
      </c>
    </row>
    <row r="542" spans="1:178" ht="14.25" customHeight="1" x14ac:dyDescent="0.25">
      <c r="A542" s="86" t="s">
        <v>273</v>
      </c>
      <c r="B542">
        <v>9</v>
      </c>
      <c r="C542">
        <v>15</v>
      </c>
      <c r="D542" s="27" t="s">
        <v>15</v>
      </c>
      <c r="E542" s="21" t="s">
        <v>15</v>
      </c>
      <c r="F542" s="27" t="s">
        <v>13</v>
      </c>
      <c r="G542" s="27" t="s">
        <v>231</v>
      </c>
      <c r="H542" s="25" t="s">
        <v>220</v>
      </c>
      <c r="I542">
        <v>1</v>
      </c>
      <c r="J542">
        <v>1</v>
      </c>
      <c r="K542">
        <v>1</v>
      </c>
      <c r="L542">
        <v>1</v>
      </c>
      <c r="V542">
        <v>1</v>
      </c>
      <c r="W542">
        <v>1</v>
      </c>
      <c r="AI542">
        <v>1</v>
      </c>
      <c r="AK542">
        <v>1</v>
      </c>
      <c r="AY542">
        <v>1</v>
      </c>
      <c r="BM542">
        <v>1</v>
      </c>
      <c r="CA542">
        <v>1</v>
      </c>
      <c r="CO542">
        <v>1</v>
      </c>
      <c r="FV542" s="18">
        <f t="shared" si="610"/>
        <v>5.8823529411764705E-2</v>
      </c>
    </row>
    <row r="543" spans="1:178" ht="14.25" customHeight="1" x14ac:dyDescent="0.25">
      <c r="A543" s="86" t="s">
        <v>273</v>
      </c>
      <c r="B543">
        <v>9</v>
      </c>
      <c r="C543">
        <v>15</v>
      </c>
      <c r="D543" s="27" t="s">
        <v>15</v>
      </c>
      <c r="E543" s="21" t="s">
        <v>15</v>
      </c>
      <c r="F543" s="27" t="s">
        <v>13</v>
      </c>
      <c r="G543" s="27" t="s">
        <v>231</v>
      </c>
      <c r="H543" s="27" t="s">
        <v>196</v>
      </c>
      <c r="M543">
        <v>1</v>
      </c>
      <c r="N543">
        <v>1</v>
      </c>
      <c r="O543">
        <v>1</v>
      </c>
      <c r="P543">
        <v>1</v>
      </c>
      <c r="Q543">
        <v>1</v>
      </c>
      <c r="R543">
        <v>1</v>
      </c>
      <c r="S543">
        <v>1</v>
      </c>
      <c r="X543">
        <v>1</v>
      </c>
      <c r="Y543">
        <v>1</v>
      </c>
      <c r="Z543">
        <v>1</v>
      </c>
      <c r="AA543">
        <v>1</v>
      </c>
      <c r="AB543">
        <v>1</v>
      </c>
      <c r="AC543">
        <v>1</v>
      </c>
      <c r="AJ543">
        <v>1</v>
      </c>
      <c r="AL543">
        <v>1</v>
      </c>
      <c r="AM543">
        <v>1</v>
      </c>
      <c r="AN543">
        <v>1</v>
      </c>
      <c r="AV543">
        <v>1</v>
      </c>
      <c r="AW543">
        <v>1</v>
      </c>
      <c r="AZ543">
        <v>1</v>
      </c>
      <c r="BA543">
        <v>1</v>
      </c>
      <c r="BI543">
        <v>1</v>
      </c>
      <c r="BN543">
        <v>1</v>
      </c>
      <c r="BO543">
        <v>1</v>
      </c>
      <c r="CB543">
        <v>1</v>
      </c>
      <c r="DC543">
        <v>1</v>
      </c>
      <c r="DQ543">
        <v>1</v>
      </c>
      <c r="FV543" s="18">
        <f t="shared" si="610"/>
        <v>0.10859728506787331</v>
      </c>
    </row>
    <row r="544" spans="1:178" ht="14.25" customHeight="1" x14ac:dyDescent="0.25">
      <c r="A544" s="86" t="s">
        <v>273</v>
      </c>
      <c r="B544">
        <v>9</v>
      </c>
      <c r="C544">
        <v>15</v>
      </c>
      <c r="D544" s="27" t="s">
        <v>15</v>
      </c>
      <c r="E544" s="21" t="s">
        <v>15</v>
      </c>
      <c r="F544" s="27" t="s">
        <v>12</v>
      </c>
      <c r="G544" s="27" t="s">
        <v>231</v>
      </c>
      <c r="H544" s="25" t="s">
        <v>220</v>
      </c>
      <c r="I544">
        <v>1</v>
      </c>
      <c r="J544">
        <v>1</v>
      </c>
      <c r="K544">
        <v>1</v>
      </c>
      <c r="L544">
        <v>1</v>
      </c>
      <c r="V544">
        <v>1</v>
      </c>
      <c r="W544">
        <v>1</v>
      </c>
      <c r="AI544">
        <v>1</v>
      </c>
      <c r="AK544">
        <v>1</v>
      </c>
      <c r="AY544">
        <v>1</v>
      </c>
      <c r="BM544">
        <v>1</v>
      </c>
      <c r="CA544">
        <v>1</v>
      </c>
      <c r="CO544">
        <v>1</v>
      </c>
      <c r="FV544" s="18">
        <f t="shared" si="610"/>
        <v>5.8823529411764705E-2</v>
      </c>
    </row>
    <row r="545" spans="1:178" ht="14.25" customHeight="1" x14ac:dyDescent="0.25">
      <c r="A545" s="86" t="s">
        <v>273</v>
      </c>
      <c r="B545">
        <v>9</v>
      </c>
      <c r="C545">
        <v>15</v>
      </c>
      <c r="D545" s="27" t="s">
        <v>15</v>
      </c>
      <c r="E545" s="21" t="s">
        <v>15</v>
      </c>
      <c r="F545" s="27" t="s">
        <v>12</v>
      </c>
      <c r="G545" s="27" t="s">
        <v>231</v>
      </c>
      <c r="H545" s="27" t="s">
        <v>196</v>
      </c>
      <c r="M545">
        <v>1</v>
      </c>
      <c r="N545">
        <v>1</v>
      </c>
      <c r="O545">
        <v>1</v>
      </c>
      <c r="P545">
        <v>1</v>
      </c>
      <c r="Q545">
        <v>1</v>
      </c>
      <c r="R545">
        <v>1</v>
      </c>
      <c r="S545">
        <v>1</v>
      </c>
      <c r="X545">
        <v>1</v>
      </c>
      <c r="Y545">
        <v>1</v>
      </c>
      <c r="Z545">
        <v>1</v>
      </c>
      <c r="AA545">
        <v>1</v>
      </c>
      <c r="AB545">
        <v>1</v>
      </c>
      <c r="AC545">
        <v>1</v>
      </c>
      <c r="AJ545">
        <v>1</v>
      </c>
      <c r="AL545">
        <v>1</v>
      </c>
      <c r="AM545">
        <v>1</v>
      </c>
      <c r="AN545">
        <v>1</v>
      </c>
      <c r="AV545">
        <v>1</v>
      </c>
      <c r="AW545">
        <v>1</v>
      </c>
      <c r="AZ545">
        <v>1</v>
      </c>
      <c r="BA545">
        <v>1</v>
      </c>
      <c r="BI545">
        <v>1</v>
      </c>
      <c r="BN545">
        <v>1</v>
      </c>
      <c r="BO545">
        <v>1</v>
      </c>
      <c r="CB545">
        <v>1</v>
      </c>
      <c r="DC545">
        <v>1</v>
      </c>
      <c r="DQ545">
        <v>1</v>
      </c>
      <c r="FV545" s="18">
        <f t="shared" si="610"/>
        <v>0.10859728506787331</v>
      </c>
    </row>
    <row r="546" spans="1:178" ht="14.25" customHeight="1" x14ac:dyDescent="0.25">
      <c r="A546" s="86" t="s">
        <v>273</v>
      </c>
      <c r="B546">
        <v>9</v>
      </c>
      <c r="C546">
        <v>15</v>
      </c>
      <c r="D546" s="27" t="s">
        <v>15</v>
      </c>
      <c r="E546" s="21" t="s">
        <v>15</v>
      </c>
      <c r="F546" s="27" t="s">
        <v>11</v>
      </c>
      <c r="G546" s="27" t="s">
        <v>231</v>
      </c>
      <c r="H546" s="25" t="s">
        <v>220</v>
      </c>
      <c r="I546">
        <v>1</v>
      </c>
      <c r="J546">
        <v>1</v>
      </c>
      <c r="K546">
        <v>1</v>
      </c>
      <c r="L546">
        <v>1</v>
      </c>
      <c r="V546">
        <v>1</v>
      </c>
      <c r="W546">
        <v>1</v>
      </c>
      <c r="AI546">
        <v>1</v>
      </c>
      <c r="AK546">
        <v>1</v>
      </c>
      <c r="AY546">
        <v>1</v>
      </c>
      <c r="BM546">
        <v>1</v>
      </c>
      <c r="CA546">
        <v>1</v>
      </c>
      <c r="CO546">
        <v>1</v>
      </c>
      <c r="FV546" s="18">
        <f t="shared" si="610"/>
        <v>5.8823529411764705E-2</v>
      </c>
    </row>
    <row r="547" spans="1:178" ht="14.25" customHeight="1" x14ac:dyDescent="0.25">
      <c r="A547" s="86" t="s">
        <v>273</v>
      </c>
      <c r="B547">
        <v>9</v>
      </c>
      <c r="C547">
        <v>15</v>
      </c>
      <c r="D547" s="27" t="s">
        <v>15</v>
      </c>
      <c r="E547" s="21" t="s">
        <v>15</v>
      </c>
      <c r="F547" s="27" t="s">
        <v>11</v>
      </c>
      <c r="G547" s="27" t="s">
        <v>231</v>
      </c>
      <c r="H547" s="27" t="s">
        <v>196</v>
      </c>
      <c r="M547">
        <v>1</v>
      </c>
      <c r="N547">
        <v>1</v>
      </c>
      <c r="O547">
        <v>1</v>
      </c>
      <c r="P547">
        <v>1</v>
      </c>
      <c r="Q547">
        <v>1</v>
      </c>
      <c r="R547">
        <v>1</v>
      </c>
      <c r="S547">
        <v>1</v>
      </c>
      <c r="X547">
        <v>1</v>
      </c>
      <c r="Y547">
        <v>1</v>
      </c>
      <c r="Z547">
        <v>1</v>
      </c>
      <c r="AA547">
        <v>1</v>
      </c>
      <c r="AB547">
        <v>1</v>
      </c>
      <c r="AC547">
        <v>1</v>
      </c>
      <c r="AJ547">
        <v>1</v>
      </c>
      <c r="AL547">
        <v>1</v>
      </c>
      <c r="AM547">
        <v>1</v>
      </c>
      <c r="AN547">
        <v>1</v>
      </c>
      <c r="AV547">
        <v>1</v>
      </c>
      <c r="AW547">
        <v>1</v>
      </c>
      <c r="AZ547">
        <v>1</v>
      </c>
      <c r="BA547">
        <v>1</v>
      </c>
      <c r="BI547">
        <v>1</v>
      </c>
      <c r="BN547">
        <v>1</v>
      </c>
      <c r="BO547">
        <v>1</v>
      </c>
      <c r="CB547">
        <v>1</v>
      </c>
      <c r="DC547">
        <v>1</v>
      </c>
      <c r="DQ547">
        <v>1</v>
      </c>
      <c r="FV547" s="18">
        <f t="shared" si="610"/>
        <v>0.10859728506787331</v>
      </c>
    </row>
    <row r="548" spans="1:178" ht="14.25" customHeight="1" x14ac:dyDescent="0.25">
      <c r="A548" s="86" t="s">
        <v>273</v>
      </c>
      <c r="B548">
        <v>9</v>
      </c>
      <c r="C548">
        <v>15</v>
      </c>
      <c r="D548" s="27" t="s">
        <v>15</v>
      </c>
      <c r="E548" s="21" t="s">
        <v>15</v>
      </c>
      <c r="F548" s="27" t="s">
        <v>10</v>
      </c>
      <c r="G548" s="27" t="s">
        <v>231</v>
      </c>
      <c r="H548" s="25" t="s">
        <v>220</v>
      </c>
      <c r="I548">
        <v>1</v>
      </c>
      <c r="J548">
        <v>1</v>
      </c>
      <c r="K548">
        <v>1</v>
      </c>
      <c r="L548">
        <v>1</v>
      </c>
      <c r="M548">
        <v>1</v>
      </c>
      <c r="V548">
        <v>1</v>
      </c>
      <c r="W548">
        <v>1</v>
      </c>
      <c r="X548">
        <v>1</v>
      </c>
      <c r="Y548">
        <v>1</v>
      </c>
      <c r="AI548">
        <v>1</v>
      </c>
      <c r="AK548">
        <v>1</v>
      </c>
      <c r="AY548">
        <v>1</v>
      </c>
      <c r="BM548">
        <v>1</v>
      </c>
      <c r="CA548">
        <v>1</v>
      </c>
      <c r="CO548">
        <v>1</v>
      </c>
      <c r="DC548">
        <v>1</v>
      </c>
      <c r="DQ548">
        <v>1</v>
      </c>
      <c r="FV548" s="18">
        <f t="shared" si="605"/>
        <v>7.6923076923076927E-2</v>
      </c>
    </row>
    <row r="549" spans="1:178" ht="14.25" customHeight="1" x14ac:dyDescent="0.25">
      <c r="A549" s="86" t="s">
        <v>273</v>
      </c>
      <c r="B549">
        <v>9</v>
      </c>
      <c r="C549">
        <v>15</v>
      </c>
      <c r="D549" s="27" t="s">
        <v>15</v>
      </c>
      <c r="E549" s="21" t="s">
        <v>15</v>
      </c>
      <c r="F549" s="27" t="s">
        <v>10</v>
      </c>
      <c r="G549" s="27" t="s">
        <v>231</v>
      </c>
      <c r="H549" s="27" t="s">
        <v>196</v>
      </c>
      <c r="N549">
        <v>1</v>
      </c>
      <c r="O549">
        <v>1</v>
      </c>
      <c r="P549">
        <v>1</v>
      </c>
      <c r="Q549">
        <v>1</v>
      </c>
      <c r="R549">
        <v>1</v>
      </c>
      <c r="S549">
        <v>1</v>
      </c>
      <c r="Z549">
        <v>1</v>
      </c>
      <c r="AA549">
        <v>1</v>
      </c>
      <c r="AB549">
        <v>1</v>
      </c>
      <c r="AC549">
        <v>1</v>
      </c>
      <c r="AJ549">
        <v>1</v>
      </c>
      <c r="AL549">
        <v>1</v>
      </c>
      <c r="AM549">
        <v>1</v>
      </c>
      <c r="AN549">
        <v>1</v>
      </c>
      <c r="AV549">
        <v>1</v>
      </c>
      <c r="AW549">
        <v>1</v>
      </c>
      <c r="AZ549">
        <v>1</v>
      </c>
      <c r="BA549">
        <v>1</v>
      </c>
      <c r="BI549">
        <v>1</v>
      </c>
      <c r="BN549">
        <v>1</v>
      </c>
      <c r="BO549">
        <v>1</v>
      </c>
      <c r="CB549">
        <v>1</v>
      </c>
      <c r="FV549" s="18">
        <f t="shared" si="605"/>
        <v>9.0497737556561084E-2</v>
      </c>
    </row>
    <row r="550" spans="1:178" ht="14.25" customHeight="1" x14ac:dyDescent="0.25">
      <c r="A550" s="86" t="s">
        <v>273</v>
      </c>
      <c r="B550">
        <v>9</v>
      </c>
      <c r="C550">
        <v>15</v>
      </c>
      <c r="D550" s="27" t="s">
        <v>15</v>
      </c>
      <c r="E550" s="21" t="s">
        <v>15</v>
      </c>
      <c r="F550" s="27" t="s">
        <v>9</v>
      </c>
      <c r="G550" s="27" t="s">
        <v>231</v>
      </c>
      <c r="H550" s="25" t="s">
        <v>220</v>
      </c>
      <c r="I550">
        <v>1</v>
      </c>
      <c r="J550">
        <v>1</v>
      </c>
      <c r="K550">
        <v>1</v>
      </c>
      <c r="L550">
        <v>1</v>
      </c>
      <c r="M550">
        <v>1</v>
      </c>
      <c r="V550">
        <v>1</v>
      </c>
      <c r="W550">
        <v>1</v>
      </c>
      <c r="X550">
        <v>1</v>
      </c>
      <c r="AI550">
        <v>1</v>
      </c>
      <c r="AK550">
        <v>1</v>
      </c>
      <c r="AV550">
        <v>1</v>
      </c>
      <c r="AY550">
        <v>1</v>
      </c>
      <c r="BM550">
        <v>1</v>
      </c>
      <c r="CA550">
        <v>1</v>
      </c>
      <c r="CO550">
        <v>1</v>
      </c>
      <c r="DC550">
        <v>1</v>
      </c>
      <c r="DQ550">
        <v>1</v>
      </c>
      <c r="FV550" s="18">
        <f t="shared" si="605"/>
        <v>8.2956259426847659E-2</v>
      </c>
    </row>
    <row r="551" spans="1:178" ht="14.25" customHeight="1" x14ac:dyDescent="0.25">
      <c r="A551" s="86" t="s">
        <v>273</v>
      </c>
      <c r="B551">
        <v>9</v>
      </c>
      <c r="C551">
        <v>15</v>
      </c>
      <c r="D551" s="27" t="s">
        <v>15</v>
      </c>
      <c r="E551" s="21" t="s">
        <v>15</v>
      </c>
      <c r="F551" s="27" t="s">
        <v>9</v>
      </c>
      <c r="G551" s="27" t="s">
        <v>231</v>
      </c>
      <c r="H551" s="27" t="s">
        <v>196</v>
      </c>
      <c r="N551">
        <v>1</v>
      </c>
      <c r="O551">
        <v>1</v>
      </c>
      <c r="P551">
        <v>1</v>
      </c>
      <c r="Q551">
        <v>1</v>
      </c>
      <c r="R551">
        <v>1</v>
      </c>
      <c r="S551">
        <v>1</v>
      </c>
      <c r="Y551">
        <v>1</v>
      </c>
      <c r="Z551">
        <v>1</v>
      </c>
      <c r="AA551">
        <v>1</v>
      </c>
      <c r="AB551">
        <v>1</v>
      </c>
      <c r="AC551">
        <v>1</v>
      </c>
      <c r="AJ551">
        <v>1</v>
      </c>
      <c r="AL551">
        <v>1</v>
      </c>
      <c r="AM551">
        <v>1</v>
      </c>
      <c r="AN551">
        <v>1</v>
      </c>
      <c r="AW551">
        <v>1</v>
      </c>
      <c r="AZ551">
        <v>1</v>
      </c>
      <c r="BA551">
        <v>1</v>
      </c>
      <c r="BI551">
        <v>1</v>
      </c>
      <c r="BN551">
        <v>1</v>
      </c>
      <c r="BO551">
        <v>1</v>
      </c>
      <c r="CB551">
        <v>1</v>
      </c>
      <c r="FV551" s="18">
        <f t="shared" si="605"/>
        <v>8.4464555052790352E-2</v>
      </c>
    </row>
    <row r="552" spans="1:178" ht="14.25" customHeight="1" x14ac:dyDescent="0.25">
      <c r="A552" s="86" t="s">
        <v>273</v>
      </c>
      <c r="B552">
        <v>9</v>
      </c>
      <c r="C552">
        <v>15</v>
      </c>
      <c r="D552" s="27" t="s">
        <v>15</v>
      </c>
      <c r="E552" s="21" t="s">
        <v>15</v>
      </c>
      <c r="F552" s="27" t="s">
        <v>8</v>
      </c>
      <c r="G552" s="27" t="s">
        <v>231</v>
      </c>
      <c r="H552" s="25" t="s">
        <v>220</v>
      </c>
      <c r="I552">
        <v>1</v>
      </c>
      <c r="J552">
        <v>1</v>
      </c>
      <c r="K552">
        <v>1</v>
      </c>
      <c r="L552">
        <v>1</v>
      </c>
      <c r="M552">
        <v>1</v>
      </c>
      <c r="V552">
        <v>1</v>
      </c>
      <c r="W552">
        <v>1</v>
      </c>
      <c r="X552">
        <v>1</v>
      </c>
      <c r="Y552">
        <v>1</v>
      </c>
      <c r="AI552">
        <v>1</v>
      </c>
      <c r="AK552">
        <v>1</v>
      </c>
      <c r="AY552">
        <v>1</v>
      </c>
      <c r="BM552">
        <v>1</v>
      </c>
      <c r="CA552">
        <v>1</v>
      </c>
      <c r="CO552">
        <v>1</v>
      </c>
      <c r="DC552">
        <v>1</v>
      </c>
      <c r="FV552" s="18">
        <f t="shared" si="605"/>
        <v>7.2398190045248875E-2</v>
      </c>
    </row>
    <row r="553" spans="1:178" ht="14.25" customHeight="1" x14ac:dyDescent="0.25">
      <c r="A553" s="86" t="s">
        <v>273</v>
      </c>
      <c r="B553">
        <v>9</v>
      </c>
      <c r="C553">
        <v>15</v>
      </c>
      <c r="D553" s="27" t="s">
        <v>15</v>
      </c>
      <c r="E553" s="21" t="s">
        <v>15</v>
      </c>
      <c r="F553" s="27" t="s">
        <v>8</v>
      </c>
      <c r="G553" s="27" t="s">
        <v>231</v>
      </c>
      <c r="H553" s="27" t="s">
        <v>196</v>
      </c>
      <c r="N553">
        <v>1</v>
      </c>
      <c r="O553">
        <v>1</v>
      </c>
      <c r="P553">
        <v>1</v>
      </c>
      <c r="Q553">
        <v>1</v>
      </c>
      <c r="R553">
        <v>1</v>
      </c>
      <c r="S553">
        <v>1</v>
      </c>
      <c r="Z553">
        <v>1</v>
      </c>
      <c r="AA553">
        <v>1</v>
      </c>
      <c r="AB553">
        <v>1</v>
      </c>
      <c r="AC553">
        <v>1</v>
      </c>
      <c r="AJ553">
        <v>1</v>
      </c>
      <c r="AL553">
        <v>1</v>
      </c>
      <c r="AM553">
        <v>1</v>
      </c>
      <c r="AN553">
        <v>1</v>
      </c>
      <c r="AV553">
        <v>1</v>
      </c>
      <c r="AW553">
        <v>1</v>
      </c>
      <c r="AZ553">
        <v>1</v>
      </c>
      <c r="BA553">
        <v>1</v>
      </c>
      <c r="BI553">
        <v>1</v>
      </c>
      <c r="BN553">
        <v>1</v>
      </c>
      <c r="BO553">
        <v>1</v>
      </c>
      <c r="CB553">
        <v>1</v>
      </c>
      <c r="DQ553">
        <v>1</v>
      </c>
      <c r="FV553" s="18">
        <f t="shared" si="605"/>
        <v>9.5022624434389136E-2</v>
      </c>
    </row>
    <row r="554" spans="1:178" ht="14.25" customHeight="1" x14ac:dyDescent="0.25">
      <c r="A554" s="86" t="s">
        <v>273</v>
      </c>
      <c r="B554">
        <v>9</v>
      </c>
      <c r="C554">
        <v>15</v>
      </c>
      <c r="D554" s="27" t="s">
        <v>242</v>
      </c>
      <c r="E554" s="27" t="s">
        <v>242</v>
      </c>
      <c r="F554" s="27" t="s">
        <v>14</v>
      </c>
      <c r="G554" s="27" t="s">
        <v>231</v>
      </c>
      <c r="H554" s="25" t="s">
        <v>220</v>
      </c>
      <c r="I554">
        <v>1</v>
      </c>
      <c r="J554">
        <v>1</v>
      </c>
      <c r="K554">
        <v>1</v>
      </c>
      <c r="L554">
        <v>1</v>
      </c>
      <c r="V554">
        <v>1</v>
      </c>
      <c r="W554">
        <v>1</v>
      </c>
      <c r="X554">
        <v>1</v>
      </c>
      <c r="AI554">
        <v>1</v>
      </c>
      <c r="AK554">
        <v>1</v>
      </c>
      <c r="AY554">
        <v>1</v>
      </c>
      <c r="BM554">
        <v>1</v>
      </c>
      <c r="CA554">
        <v>1</v>
      </c>
      <c r="CO554">
        <v>1</v>
      </c>
      <c r="DC554">
        <v>1</v>
      </c>
      <c r="FV554" s="18">
        <f t="shared" si="605"/>
        <v>6.636500754147813E-2</v>
      </c>
    </row>
    <row r="555" spans="1:178" ht="14.25" customHeight="1" x14ac:dyDescent="0.25">
      <c r="A555" s="86" t="s">
        <v>273</v>
      </c>
      <c r="B555">
        <v>9</v>
      </c>
      <c r="C555">
        <v>15</v>
      </c>
      <c r="D555" s="27" t="s">
        <v>242</v>
      </c>
      <c r="E555" s="27" t="s">
        <v>242</v>
      </c>
      <c r="F555" s="27" t="s">
        <v>14</v>
      </c>
      <c r="G555" s="27" t="s">
        <v>231</v>
      </c>
      <c r="H555" s="27" t="s">
        <v>196</v>
      </c>
      <c r="M555">
        <v>1</v>
      </c>
      <c r="N555">
        <v>1</v>
      </c>
      <c r="O555">
        <v>1</v>
      </c>
      <c r="P555">
        <v>1</v>
      </c>
      <c r="Q555">
        <v>1</v>
      </c>
      <c r="R555">
        <v>1</v>
      </c>
      <c r="S555">
        <v>1</v>
      </c>
      <c r="T555">
        <v>1</v>
      </c>
      <c r="Y555">
        <v>1</v>
      </c>
      <c r="Z555">
        <v>1</v>
      </c>
      <c r="AA555">
        <v>1</v>
      </c>
      <c r="AB555">
        <v>1</v>
      </c>
      <c r="AC555">
        <v>1</v>
      </c>
      <c r="AJ555">
        <v>1</v>
      </c>
      <c r="AL555">
        <v>1</v>
      </c>
      <c r="AM555">
        <v>1</v>
      </c>
      <c r="AN555">
        <v>1</v>
      </c>
      <c r="AO555">
        <v>1</v>
      </c>
      <c r="AV555">
        <v>1</v>
      </c>
      <c r="AW555">
        <v>1</v>
      </c>
      <c r="AX555">
        <v>1</v>
      </c>
      <c r="AZ555">
        <v>1</v>
      </c>
      <c r="BA555">
        <v>1</v>
      </c>
      <c r="BI555">
        <v>1</v>
      </c>
      <c r="BN555">
        <v>1</v>
      </c>
      <c r="BO555">
        <v>1</v>
      </c>
      <c r="CB555">
        <v>1</v>
      </c>
      <c r="DQ555">
        <v>1</v>
      </c>
      <c r="EE555">
        <v>1</v>
      </c>
      <c r="FV555" s="18">
        <f t="shared" si="605"/>
        <v>0.12066365007541478</v>
      </c>
    </row>
    <row r="556" spans="1:178" ht="14.25" customHeight="1" x14ac:dyDescent="0.25">
      <c r="A556" s="86" t="s">
        <v>273</v>
      </c>
      <c r="B556">
        <v>9</v>
      </c>
      <c r="C556">
        <v>15</v>
      </c>
      <c r="D556" s="27" t="s">
        <v>242</v>
      </c>
      <c r="E556" s="27" t="s">
        <v>242</v>
      </c>
      <c r="F556" s="27" t="s">
        <v>13</v>
      </c>
      <c r="G556" s="27" t="s">
        <v>231</v>
      </c>
      <c r="H556" s="25" t="s">
        <v>220</v>
      </c>
      <c r="I556">
        <v>1</v>
      </c>
      <c r="J556">
        <v>1</v>
      </c>
      <c r="K556">
        <v>1</v>
      </c>
      <c r="L556">
        <v>1</v>
      </c>
      <c r="V556">
        <v>1</v>
      </c>
      <c r="W556">
        <v>1</v>
      </c>
      <c r="X556">
        <v>1</v>
      </c>
      <c r="AI556">
        <v>1</v>
      </c>
      <c r="AK556">
        <v>1</v>
      </c>
      <c r="AY556">
        <v>1</v>
      </c>
      <c r="BM556">
        <v>1</v>
      </c>
      <c r="CA556">
        <v>1</v>
      </c>
      <c r="CO556">
        <v>1</v>
      </c>
      <c r="DC556">
        <v>1</v>
      </c>
      <c r="FV556" s="18">
        <f t="shared" ref="FV556:FV561" si="611">SUMPRODUCT(I556:FU556,$I$1:$FU$1)/(SUM($I$1:$FU$1))</f>
        <v>6.636500754147813E-2</v>
      </c>
    </row>
    <row r="557" spans="1:178" ht="14.25" customHeight="1" x14ac:dyDescent="0.25">
      <c r="A557" s="86" t="s">
        <v>273</v>
      </c>
      <c r="B557">
        <v>9</v>
      </c>
      <c r="C557">
        <v>15</v>
      </c>
      <c r="D557" s="27" t="s">
        <v>242</v>
      </c>
      <c r="E557" s="27" t="s">
        <v>242</v>
      </c>
      <c r="F557" s="27" t="s">
        <v>13</v>
      </c>
      <c r="G557" s="27" t="s">
        <v>231</v>
      </c>
      <c r="H557" s="27" t="s">
        <v>196</v>
      </c>
      <c r="M557">
        <v>1</v>
      </c>
      <c r="N557">
        <v>1</v>
      </c>
      <c r="O557">
        <v>1</v>
      </c>
      <c r="P557">
        <v>1</v>
      </c>
      <c r="Q557">
        <v>1</v>
      </c>
      <c r="R557">
        <v>1</v>
      </c>
      <c r="S557">
        <v>1</v>
      </c>
      <c r="T557">
        <v>1</v>
      </c>
      <c r="Y557">
        <v>1</v>
      </c>
      <c r="Z557">
        <v>1</v>
      </c>
      <c r="AA557">
        <v>1</v>
      </c>
      <c r="AB557">
        <v>1</v>
      </c>
      <c r="AC557">
        <v>1</v>
      </c>
      <c r="AJ557">
        <v>1</v>
      </c>
      <c r="AL557">
        <v>1</v>
      </c>
      <c r="AM557">
        <v>1</v>
      </c>
      <c r="AN557">
        <v>1</v>
      </c>
      <c r="AO557">
        <v>1</v>
      </c>
      <c r="AV557">
        <v>1</v>
      </c>
      <c r="AW557">
        <v>1</v>
      </c>
      <c r="AX557">
        <v>1</v>
      </c>
      <c r="AZ557">
        <v>1</v>
      </c>
      <c r="BA557">
        <v>1</v>
      </c>
      <c r="BI557">
        <v>1</v>
      </c>
      <c r="BN557">
        <v>1</v>
      </c>
      <c r="BO557">
        <v>1</v>
      </c>
      <c r="CB557">
        <v>1</v>
      </c>
      <c r="DQ557">
        <v>1</v>
      </c>
      <c r="EE557">
        <v>1</v>
      </c>
      <c r="FV557" s="18">
        <f t="shared" si="611"/>
        <v>0.12066365007541478</v>
      </c>
    </row>
    <row r="558" spans="1:178" ht="14.25" customHeight="1" x14ac:dyDescent="0.25">
      <c r="A558" s="86" t="s">
        <v>273</v>
      </c>
      <c r="B558">
        <v>9</v>
      </c>
      <c r="C558">
        <v>15</v>
      </c>
      <c r="D558" s="27" t="s">
        <v>242</v>
      </c>
      <c r="E558" s="27" t="s">
        <v>242</v>
      </c>
      <c r="F558" s="27" t="s">
        <v>12</v>
      </c>
      <c r="G558" s="27" t="s">
        <v>231</v>
      </c>
      <c r="H558" s="25" t="s">
        <v>220</v>
      </c>
      <c r="I558">
        <v>1</v>
      </c>
      <c r="J558">
        <v>1</v>
      </c>
      <c r="K558">
        <v>1</v>
      </c>
      <c r="L558">
        <v>1</v>
      </c>
      <c r="V558">
        <v>1</v>
      </c>
      <c r="W558">
        <v>1</v>
      </c>
      <c r="X558">
        <v>1</v>
      </c>
      <c r="AI558">
        <v>1</v>
      </c>
      <c r="AK558">
        <v>1</v>
      </c>
      <c r="AY558">
        <v>1</v>
      </c>
      <c r="BM558">
        <v>1</v>
      </c>
      <c r="CA558">
        <v>1</v>
      </c>
      <c r="CO558">
        <v>1</v>
      </c>
      <c r="DC558">
        <v>1</v>
      </c>
      <c r="FV558" s="18">
        <f t="shared" si="611"/>
        <v>6.636500754147813E-2</v>
      </c>
    </row>
    <row r="559" spans="1:178" ht="14.25" customHeight="1" x14ac:dyDescent="0.25">
      <c r="A559" s="86" t="s">
        <v>273</v>
      </c>
      <c r="B559">
        <v>9</v>
      </c>
      <c r="C559">
        <v>15</v>
      </c>
      <c r="D559" s="27" t="s">
        <v>242</v>
      </c>
      <c r="E559" s="27" t="s">
        <v>242</v>
      </c>
      <c r="F559" s="27" t="s">
        <v>12</v>
      </c>
      <c r="G559" s="27" t="s">
        <v>231</v>
      </c>
      <c r="H559" s="27" t="s">
        <v>196</v>
      </c>
      <c r="M559">
        <v>1</v>
      </c>
      <c r="N559">
        <v>1</v>
      </c>
      <c r="O559">
        <v>1</v>
      </c>
      <c r="P559">
        <v>1</v>
      </c>
      <c r="Q559">
        <v>1</v>
      </c>
      <c r="R559">
        <v>1</v>
      </c>
      <c r="S559">
        <v>1</v>
      </c>
      <c r="T559">
        <v>1</v>
      </c>
      <c r="Y559">
        <v>1</v>
      </c>
      <c r="Z559">
        <v>1</v>
      </c>
      <c r="AA559">
        <v>1</v>
      </c>
      <c r="AB559">
        <v>1</v>
      </c>
      <c r="AC559">
        <v>1</v>
      </c>
      <c r="AJ559">
        <v>1</v>
      </c>
      <c r="AL559">
        <v>1</v>
      </c>
      <c r="AM559">
        <v>1</v>
      </c>
      <c r="AN559">
        <v>1</v>
      </c>
      <c r="AO559">
        <v>1</v>
      </c>
      <c r="AV559">
        <v>1</v>
      </c>
      <c r="AW559">
        <v>1</v>
      </c>
      <c r="AX559">
        <v>1</v>
      </c>
      <c r="AZ559">
        <v>1</v>
      </c>
      <c r="BA559">
        <v>1</v>
      </c>
      <c r="BI559">
        <v>1</v>
      </c>
      <c r="BN559">
        <v>1</v>
      </c>
      <c r="BO559">
        <v>1</v>
      </c>
      <c r="CB559">
        <v>1</v>
      </c>
      <c r="DQ559">
        <v>1</v>
      </c>
      <c r="EE559">
        <v>1</v>
      </c>
      <c r="FV559" s="18">
        <f t="shared" si="611"/>
        <v>0.12066365007541478</v>
      </c>
    </row>
    <row r="560" spans="1:178" ht="14.25" customHeight="1" x14ac:dyDescent="0.25">
      <c r="A560" s="86" t="s">
        <v>273</v>
      </c>
      <c r="B560">
        <v>9</v>
      </c>
      <c r="C560">
        <v>15</v>
      </c>
      <c r="D560" s="27" t="s">
        <v>242</v>
      </c>
      <c r="E560" s="27" t="s">
        <v>242</v>
      </c>
      <c r="F560" s="27" t="s">
        <v>11</v>
      </c>
      <c r="G560" s="27" t="s">
        <v>231</v>
      </c>
      <c r="H560" s="25" t="s">
        <v>220</v>
      </c>
      <c r="I560">
        <v>1</v>
      </c>
      <c r="J560">
        <v>1</v>
      </c>
      <c r="K560">
        <v>1</v>
      </c>
      <c r="L560">
        <v>1</v>
      </c>
      <c r="V560">
        <v>1</v>
      </c>
      <c r="W560">
        <v>1</v>
      </c>
      <c r="X560">
        <v>1</v>
      </c>
      <c r="AI560">
        <v>1</v>
      </c>
      <c r="AK560">
        <v>1</v>
      </c>
      <c r="AY560">
        <v>1</v>
      </c>
      <c r="BM560">
        <v>1</v>
      </c>
      <c r="CA560">
        <v>1</v>
      </c>
      <c r="CO560">
        <v>1</v>
      </c>
      <c r="DC560">
        <v>1</v>
      </c>
      <c r="FV560" s="18">
        <f t="shared" si="611"/>
        <v>6.636500754147813E-2</v>
      </c>
    </row>
    <row r="561" spans="1:178" ht="14.25" customHeight="1" x14ac:dyDescent="0.25">
      <c r="A561" s="86" t="s">
        <v>273</v>
      </c>
      <c r="B561">
        <v>9</v>
      </c>
      <c r="C561">
        <v>15</v>
      </c>
      <c r="D561" s="27" t="s">
        <v>242</v>
      </c>
      <c r="E561" s="27" t="s">
        <v>242</v>
      </c>
      <c r="F561" s="27" t="s">
        <v>11</v>
      </c>
      <c r="G561" s="27" t="s">
        <v>231</v>
      </c>
      <c r="H561" s="27" t="s">
        <v>196</v>
      </c>
      <c r="M561">
        <v>1</v>
      </c>
      <c r="N561">
        <v>1</v>
      </c>
      <c r="O561">
        <v>1</v>
      </c>
      <c r="P561">
        <v>1</v>
      </c>
      <c r="Q561">
        <v>1</v>
      </c>
      <c r="R561">
        <v>1</v>
      </c>
      <c r="S561">
        <v>1</v>
      </c>
      <c r="T561">
        <v>1</v>
      </c>
      <c r="Y561">
        <v>1</v>
      </c>
      <c r="Z561">
        <v>1</v>
      </c>
      <c r="AA561">
        <v>1</v>
      </c>
      <c r="AB561">
        <v>1</v>
      </c>
      <c r="AC561">
        <v>1</v>
      </c>
      <c r="AJ561">
        <v>1</v>
      </c>
      <c r="AL561">
        <v>1</v>
      </c>
      <c r="AM561">
        <v>1</v>
      </c>
      <c r="AN561">
        <v>1</v>
      </c>
      <c r="AO561">
        <v>1</v>
      </c>
      <c r="AV561">
        <v>1</v>
      </c>
      <c r="AW561">
        <v>1</v>
      </c>
      <c r="AX561">
        <v>1</v>
      </c>
      <c r="AZ561">
        <v>1</v>
      </c>
      <c r="BA561">
        <v>1</v>
      </c>
      <c r="BI561">
        <v>1</v>
      </c>
      <c r="BN561">
        <v>1</v>
      </c>
      <c r="BO561">
        <v>1</v>
      </c>
      <c r="CB561">
        <v>1</v>
      </c>
      <c r="DQ561">
        <v>1</v>
      </c>
      <c r="EE561">
        <v>1</v>
      </c>
      <c r="FV561" s="18">
        <f t="shared" si="611"/>
        <v>0.12066365007541478</v>
      </c>
    </row>
    <row r="562" spans="1:178" ht="14.25" customHeight="1" x14ac:dyDescent="0.25">
      <c r="A562" s="86" t="s">
        <v>273</v>
      </c>
      <c r="B562">
        <v>9</v>
      </c>
      <c r="C562">
        <v>15</v>
      </c>
      <c r="D562" s="27" t="s">
        <v>242</v>
      </c>
      <c r="E562" s="27" t="s">
        <v>242</v>
      </c>
      <c r="F562" s="27" t="s">
        <v>10</v>
      </c>
      <c r="G562" s="27" t="s">
        <v>231</v>
      </c>
      <c r="H562" s="25" t="s">
        <v>220</v>
      </c>
      <c r="I562">
        <v>1</v>
      </c>
      <c r="J562">
        <v>1</v>
      </c>
      <c r="K562">
        <v>1</v>
      </c>
      <c r="L562">
        <v>1</v>
      </c>
      <c r="M562">
        <v>1</v>
      </c>
      <c r="V562">
        <v>1</v>
      </c>
      <c r="W562">
        <v>1</v>
      </c>
      <c r="X562">
        <v>1</v>
      </c>
      <c r="Y562">
        <v>1</v>
      </c>
      <c r="AI562">
        <v>1</v>
      </c>
      <c r="AK562">
        <v>1</v>
      </c>
      <c r="AV562">
        <v>1</v>
      </c>
      <c r="AY562">
        <v>1</v>
      </c>
      <c r="BM562">
        <v>1</v>
      </c>
      <c r="CA562">
        <v>1</v>
      </c>
      <c r="CO562">
        <v>1</v>
      </c>
      <c r="DC562">
        <v>1</v>
      </c>
      <c r="DQ562">
        <v>1</v>
      </c>
      <c r="FV562" s="18">
        <f t="shared" ref="FV562:FV617" si="612">SUMPRODUCT(I562:FU562,$I$1:$FU$1)/(SUM($I$1:$FU$1))</f>
        <v>8.5972850678733032E-2</v>
      </c>
    </row>
    <row r="563" spans="1:178" ht="14.25" customHeight="1" x14ac:dyDescent="0.25">
      <c r="A563" s="86" t="s">
        <v>273</v>
      </c>
      <c r="B563">
        <v>9</v>
      </c>
      <c r="C563">
        <v>15</v>
      </c>
      <c r="D563" s="27" t="s">
        <v>242</v>
      </c>
      <c r="E563" s="27" t="s">
        <v>242</v>
      </c>
      <c r="F563" s="27" t="s">
        <v>10</v>
      </c>
      <c r="G563" s="27" t="s">
        <v>231</v>
      </c>
      <c r="H563" s="27" t="s">
        <v>196</v>
      </c>
      <c r="N563">
        <v>1</v>
      </c>
      <c r="O563">
        <v>1</v>
      </c>
      <c r="P563">
        <v>1</v>
      </c>
      <c r="Q563">
        <v>1</v>
      </c>
      <c r="R563">
        <v>1</v>
      </c>
      <c r="S563">
        <v>1</v>
      </c>
      <c r="T563">
        <v>1</v>
      </c>
      <c r="Z563">
        <v>1</v>
      </c>
      <c r="AA563">
        <v>1</v>
      </c>
      <c r="AB563">
        <v>1</v>
      </c>
      <c r="AC563">
        <v>1</v>
      </c>
      <c r="AJ563">
        <v>1</v>
      </c>
      <c r="AL563">
        <v>1</v>
      </c>
      <c r="AM563">
        <v>1</v>
      </c>
      <c r="AN563">
        <v>1</v>
      </c>
      <c r="AO563">
        <v>1</v>
      </c>
      <c r="AW563">
        <v>1</v>
      </c>
      <c r="AX563">
        <v>1</v>
      </c>
      <c r="AZ563">
        <v>1</v>
      </c>
      <c r="BA563">
        <v>1</v>
      </c>
      <c r="BI563">
        <v>1</v>
      </c>
      <c r="BN563">
        <v>1</v>
      </c>
      <c r="BO563">
        <v>1</v>
      </c>
      <c r="CB563">
        <v>1</v>
      </c>
      <c r="EE563">
        <v>1</v>
      </c>
      <c r="FV563" s="18">
        <f t="shared" si="612"/>
        <v>0.10105580693815988</v>
      </c>
    </row>
    <row r="564" spans="1:178" ht="14.25" customHeight="1" x14ac:dyDescent="0.25">
      <c r="A564" s="86" t="s">
        <v>273</v>
      </c>
      <c r="B564">
        <v>9</v>
      </c>
      <c r="C564">
        <v>15</v>
      </c>
      <c r="D564" s="27" t="s">
        <v>242</v>
      </c>
      <c r="E564" s="27" t="s">
        <v>242</v>
      </c>
      <c r="F564" s="27" t="s">
        <v>9</v>
      </c>
      <c r="G564" s="27" t="s">
        <v>231</v>
      </c>
      <c r="H564" s="25" t="s">
        <v>220</v>
      </c>
      <c r="I564">
        <v>1</v>
      </c>
      <c r="J564">
        <v>1</v>
      </c>
      <c r="K564">
        <v>1</v>
      </c>
      <c r="L564">
        <v>1</v>
      </c>
      <c r="M564">
        <v>1</v>
      </c>
      <c r="V564">
        <v>1</v>
      </c>
      <c r="W564">
        <v>1</v>
      </c>
      <c r="X564">
        <v>1</v>
      </c>
      <c r="Y564">
        <v>1</v>
      </c>
      <c r="AI564">
        <v>1</v>
      </c>
      <c r="AJ564">
        <v>1</v>
      </c>
      <c r="AK564">
        <v>1</v>
      </c>
      <c r="AV564">
        <v>1</v>
      </c>
      <c r="AY564">
        <v>1</v>
      </c>
      <c r="BM564">
        <v>1</v>
      </c>
      <c r="CA564">
        <v>1</v>
      </c>
      <c r="CO564">
        <v>1</v>
      </c>
      <c r="DC564">
        <v>1</v>
      </c>
      <c r="DQ564">
        <v>1</v>
      </c>
      <c r="EE564">
        <v>1</v>
      </c>
      <c r="FV564" s="18">
        <f t="shared" si="612"/>
        <v>9.9547511312217188E-2</v>
      </c>
    </row>
    <row r="565" spans="1:178" ht="14.25" customHeight="1" x14ac:dyDescent="0.25">
      <c r="A565" s="86" t="s">
        <v>273</v>
      </c>
      <c r="B565">
        <v>9</v>
      </c>
      <c r="C565">
        <v>15</v>
      </c>
      <c r="D565" s="27" t="s">
        <v>242</v>
      </c>
      <c r="E565" s="27" t="s">
        <v>242</v>
      </c>
      <c r="F565" s="27" t="s">
        <v>9</v>
      </c>
      <c r="G565" s="27" t="s">
        <v>231</v>
      </c>
      <c r="H565" s="27" t="s">
        <v>196</v>
      </c>
      <c r="N565">
        <v>1</v>
      </c>
      <c r="O565">
        <v>1</v>
      </c>
      <c r="P565">
        <v>1</v>
      </c>
      <c r="Q565">
        <v>1</v>
      </c>
      <c r="R565">
        <v>1</v>
      </c>
      <c r="S565">
        <v>1</v>
      </c>
      <c r="T565">
        <v>1</v>
      </c>
      <c r="Z565">
        <v>1</v>
      </c>
      <c r="AA565">
        <v>1</v>
      </c>
      <c r="AB565">
        <v>1</v>
      </c>
      <c r="AC565">
        <v>1</v>
      </c>
      <c r="AL565">
        <v>1</v>
      </c>
      <c r="AM565">
        <v>1</v>
      </c>
      <c r="AN565">
        <v>1</v>
      </c>
      <c r="AO565">
        <v>1</v>
      </c>
      <c r="AW565">
        <v>1</v>
      </c>
      <c r="AX565">
        <v>1</v>
      </c>
      <c r="AZ565">
        <v>1</v>
      </c>
      <c r="BA565">
        <v>1</v>
      </c>
      <c r="BI565">
        <v>1</v>
      </c>
      <c r="BN565">
        <v>1</v>
      </c>
      <c r="BO565">
        <v>1</v>
      </c>
      <c r="CB565">
        <v>1</v>
      </c>
      <c r="FV565" s="18">
        <f t="shared" si="612"/>
        <v>8.7481146304675711E-2</v>
      </c>
    </row>
    <row r="566" spans="1:178" ht="14.25" customHeight="1" x14ac:dyDescent="0.25">
      <c r="A566" s="86" t="s">
        <v>273</v>
      </c>
      <c r="B566">
        <v>9</v>
      </c>
      <c r="C566">
        <v>15</v>
      </c>
      <c r="D566" s="27" t="s">
        <v>242</v>
      </c>
      <c r="E566" s="27" t="s">
        <v>242</v>
      </c>
      <c r="F566" s="27" t="s">
        <v>8</v>
      </c>
      <c r="G566" s="27" t="s">
        <v>231</v>
      </c>
      <c r="H566" s="25" t="s">
        <v>220</v>
      </c>
      <c r="I566">
        <v>1</v>
      </c>
      <c r="J566">
        <v>1</v>
      </c>
      <c r="K566">
        <v>1</v>
      </c>
      <c r="L566">
        <v>1</v>
      </c>
      <c r="M566">
        <v>1</v>
      </c>
      <c r="V566">
        <v>1</v>
      </c>
      <c r="W566">
        <v>1</v>
      </c>
      <c r="X566">
        <v>1</v>
      </c>
      <c r="Y566">
        <v>1</v>
      </c>
      <c r="AI566">
        <v>1</v>
      </c>
      <c r="AK566">
        <v>1</v>
      </c>
      <c r="AV566">
        <v>1</v>
      </c>
      <c r="AY566">
        <v>1</v>
      </c>
      <c r="BM566">
        <v>1</v>
      </c>
      <c r="CA566">
        <v>1</v>
      </c>
      <c r="CO566">
        <v>1</v>
      </c>
      <c r="DC566">
        <v>1</v>
      </c>
      <c r="DQ566">
        <v>1</v>
      </c>
      <c r="FV566" s="18">
        <f t="shared" si="612"/>
        <v>8.5972850678733032E-2</v>
      </c>
    </row>
    <row r="567" spans="1:178" ht="14.25" customHeight="1" x14ac:dyDescent="0.25">
      <c r="A567" s="86" t="s">
        <v>273</v>
      </c>
      <c r="B567">
        <v>9</v>
      </c>
      <c r="C567">
        <v>15</v>
      </c>
      <c r="D567" s="27" t="s">
        <v>242</v>
      </c>
      <c r="E567" s="27" t="s">
        <v>242</v>
      </c>
      <c r="F567" s="27" t="s">
        <v>8</v>
      </c>
      <c r="G567" s="27" t="s">
        <v>231</v>
      </c>
      <c r="H567" s="27" t="s">
        <v>196</v>
      </c>
      <c r="N567">
        <v>1</v>
      </c>
      <c r="O567">
        <v>1</v>
      </c>
      <c r="P567">
        <v>1</v>
      </c>
      <c r="Q567">
        <v>1</v>
      </c>
      <c r="R567">
        <v>1</v>
      </c>
      <c r="S567">
        <v>1</v>
      </c>
      <c r="T567">
        <v>1</v>
      </c>
      <c r="Z567">
        <v>1</v>
      </c>
      <c r="AA567">
        <v>1</v>
      </c>
      <c r="AB567">
        <v>1</v>
      </c>
      <c r="AC567">
        <v>1</v>
      </c>
      <c r="AJ567">
        <v>1</v>
      </c>
      <c r="AL567">
        <v>1</v>
      </c>
      <c r="AM567">
        <v>1</v>
      </c>
      <c r="AN567">
        <v>1</v>
      </c>
      <c r="AO567">
        <v>1</v>
      </c>
      <c r="AW567">
        <v>1</v>
      </c>
      <c r="AX567">
        <v>1</v>
      </c>
      <c r="AZ567">
        <v>1</v>
      </c>
      <c r="BA567">
        <v>1</v>
      </c>
      <c r="BI567">
        <v>1</v>
      </c>
      <c r="BN567">
        <v>1</v>
      </c>
      <c r="BO567">
        <v>1</v>
      </c>
      <c r="CB567">
        <v>1</v>
      </c>
      <c r="EE567">
        <v>1</v>
      </c>
      <c r="FV567" s="18">
        <f t="shared" si="612"/>
        <v>0.10105580693815988</v>
      </c>
    </row>
    <row r="568" spans="1:178" ht="14.25" customHeight="1" x14ac:dyDescent="0.25">
      <c r="A568" s="86" t="s">
        <v>273</v>
      </c>
      <c r="B568">
        <v>9</v>
      </c>
      <c r="C568">
        <v>15</v>
      </c>
      <c r="D568" s="27" t="s">
        <v>14</v>
      </c>
      <c r="E568" s="27" t="s">
        <v>14</v>
      </c>
      <c r="F568" s="27" t="s">
        <v>13</v>
      </c>
      <c r="G568" s="27" t="s">
        <v>231</v>
      </c>
      <c r="H568" s="25" t="s">
        <v>220</v>
      </c>
      <c r="I568">
        <v>1</v>
      </c>
      <c r="J568">
        <v>1</v>
      </c>
      <c r="K568">
        <v>1</v>
      </c>
      <c r="L568">
        <v>1</v>
      </c>
      <c r="M568">
        <v>1</v>
      </c>
      <c r="V568">
        <v>1</v>
      </c>
      <c r="W568">
        <v>1</v>
      </c>
      <c r="X568">
        <v>1</v>
      </c>
      <c r="AI568">
        <v>1</v>
      </c>
      <c r="AK568">
        <v>1</v>
      </c>
      <c r="AY568">
        <v>1</v>
      </c>
      <c r="BM568">
        <v>1</v>
      </c>
      <c r="CA568">
        <v>1</v>
      </c>
      <c r="CO568">
        <v>1</v>
      </c>
      <c r="DC568">
        <v>1</v>
      </c>
      <c r="FV568" s="18">
        <f t="shared" si="612"/>
        <v>6.9381598793363503E-2</v>
      </c>
    </row>
    <row r="569" spans="1:178" ht="14.25" customHeight="1" x14ac:dyDescent="0.25">
      <c r="A569" s="86" t="s">
        <v>273</v>
      </c>
      <c r="B569">
        <v>9</v>
      </c>
      <c r="C569">
        <v>15</v>
      </c>
      <c r="D569" s="27" t="s">
        <v>14</v>
      </c>
      <c r="E569" s="27" t="s">
        <v>14</v>
      </c>
      <c r="F569" s="27" t="s">
        <v>13</v>
      </c>
      <c r="G569" s="27" t="s">
        <v>231</v>
      </c>
      <c r="H569" s="27" t="s">
        <v>196</v>
      </c>
      <c r="N569">
        <v>1</v>
      </c>
      <c r="O569">
        <v>1</v>
      </c>
      <c r="P569">
        <v>1</v>
      </c>
      <c r="Q569">
        <v>1</v>
      </c>
      <c r="R569">
        <v>1</v>
      </c>
      <c r="AA569">
        <v>1</v>
      </c>
      <c r="AB569">
        <v>1</v>
      </c>
      <c r="AJ569">
        <v>1</v>
      </c>
      <c r="AM569">
        <v>1</v>
      </c>
      <c r="AN569">
        <v>1</v>
      </c>
      <c r="AW569">
        <v>1</v>
      </c>
      <c r="AX569">
        <v>1</v>
      </c>
      <c r="AZ569">
        <v>1</v>
      </c>
      <c r="BA569">
        <v>1</v>
      </c>
      <c r="BI569">
        <v>1</v>
      </c>
      <c r="BN569">
        <v>1</v>
      </c>
      <c r="BV569">
        <v>1</v>
      </c>
      <c r="FV569" s="18">
        <f t="shared" si="612"/>
        <v>8.1447963800904979E-2</v>
      </c>
    </row>
    <row r="570" spans="1:178" ht="14.25" customHeight="1" x14ac:dyDescent="0.25">
      <c r="A570" s="86" t="s">
        <v>273</v>
      </c>
      <c r="B570">
        <v>9</v>
      </c>
      <c r="C570">
        <v>15</v>
      </c>
      <c r="D570" s="27" t="s">
        <v>14</v>
      </c>
      <c r="E570" s="27" t="s">
        <v>14</v>
      </c>
      <c r="F570" s="27" t="s">
        <v>12</v>
      </c>
      <c r="G570" s="27" t="s">
        <v>231</v>
      </c>
      <c r="H570" s="25" t="s">
        <v>220</v>
      </c>
      <c r="I570">
        <v>1</v>
      </c>
      <c r="J570">
        <v>1</v>
      </c>
      <c r="K570">
        <v>1</v>
      </c>
      <c r="L570">
        <v>1</v>
      </c>
      <c r="M570">
        <v>1</v>
      </c>
      <c r="V570">
        <v>1</v>
      </c>
      <c r="W570">
        <v>1</v>
      </c>
      <c r="X570">
        <v>1</v>
      </c>
      <c r="AI570">
        <v>1</v>
      </c>
      <c r="AK570">
        <v>1</v>
      </c>
      <c r="AY570">
        <v>1</v>
      </c>
      <c r="BM570">
        <v>1</v>
      </c>
      <c r="CA570">
        <v>1</v>
      </c>
      <c r="CO570">
        <v>1</v>
      </c>
      <c r="DC570">
        <v>1</v>
      </c>
      <c r="FV570" s="18">
        <f t="shared" ref="FV570:FV577" si="613">SUMPRODUCT(I570:FU570,$I$1:$FU$1)/(SUM($I$1:$FU$1))</f>
        <v>6.9381598793363503E-2</v>
      </c>
    </row>
    <row r="571" spans="1:178" ht="14.25" customHeight="1" x14ac:dyDescent="0.25">
      <c r="A571" s="86" t="s">
        <v>273</v>
      </c>
      <c r="B571">
        <v>9</v>
      </c>
      <c r="C571">
        <v>15</v>
      </c>
      <c r="D571" s="27" t="s">
        <v>14</v>
      </c>
      <c r="E571" s="27" t="s">
        <v>14</v>
      </c>
      <c r="F571" s="27" t="s">
        <v>12</v>
      </c>
      <c r="G571" s="27" t="s">
        <v>231</v>
      </c>
      <c r="H571" s="27" t="s">
        <v>196</v>
      </c>
      <c r="N571">
        <v>1</v>
      </c>
      <c r="O571">
        <v>1</v>
      </c>
      <c r="P571">
        <v>1</v>
      </c>
      <c r="Q571">
        <v>1</v>
      </c>
      <c r="R571">
        <v>1</v>
      </c>
      <c r="AA571">
        <v>1</v>
      </c>
      <c r="AB571">
        <v>1</v>
      </c>
      <c r="AJ571">
        <v>1</v>
      </c>
      <c r="AM571">
        <v>1</v>
      </c>
      <c r="AN571">
        <v>1</v>
      </c>
      <c r="AW571">
        <v>1</v>
      </c>
      <c r="AX571">
        <v>1</v>
      </c>
      <c r="AZ571">
        <v>1</v>
      </c>
      <c r="BA571">
        <v>1</v>
      </c>
      <c r="BI571">
        <v>1</v>
      </c>
      <c r="BN571">
        <v>1</v>
      </c>
      <c r="BV571">
        <v>1</v>
      </c>
      <c r="FV571" s="18">
        <f t="shared" si="613"/>
        <v>8.1447963800904979E-2</v>
      </c>
    </row>
    <row r="572" spans="1:178" ht="14.25" customHeight="1" x14ac:dyDescent="0.25">
      <c r="A572" s="86" t="s">
        <v>273</v>
      </c>
      <c r="B572">
        <v>9</v>
      </c>
      <c r="C572">
        <v>15</v>
      </c>
      <c r="D572" s="27" t="s">
        <v>14</v>
      </c>
      <c r="E572" s="27" t="s">
        <v>14</v>
      </c>
      <c r="F572" s="27" t="s">
        <v>11</v>
      </c>
      <c r="G572" s="27" t="s">
        <v>231</v>
      </c>
      <c r="H572" s="25" t="s">
        <v>220</v>
      </c>
      <c r="I572">
        <v>1</v>
      </c>
      <c r="J572">
        <v>1</v>
      </c>
      <c r="K572">
        <v>1</v>
      </c>
      <c r="L572">
        <v>1</v>
      </c>
      <c r="M572">
        <v>1</v>
      </c>
      <c r="V572">
        <v>1</v>
      </c>
      <c r="W572">
        <v>1</v>
      </c>
      <c r="X572">
        <v>1</v>
      </c>
      <c r="AI572">
        <v>1</v>
      </c>
      <c r="AK572">
        <v>1</v>
      </c>
      <c r="AY572">
        <v>1</v>
      </c>
      <c r="BM572">
        <v>1</v>
      </c>
      <c r="CA572">
        <v>1</v>
      </c>
      <c r="CO572">
        <v>1</v>
      </c>
      <c r="DC572">
        <v>1</v>
      </c>
      <c r="FV572" s="18">
        <f t="shared" si="613"/>
        <v>6.9381598793363503E-2</v>
      </c>
    </row>
    <row r="573" spans="1:178" ht="14.25" customHeight="1" x14ac:dyDescent="0.25">
      <c r="A573" s="86" t="s">
        <v>273</v>
      </c>
      <c r="B573">
        <v>9</v>
      </c>
      <c r="C573">
        <v>15</v>
      </c>
      <c r="D573" s="27" t="s">
        <v>14</v>
      </c>
      <c r="E573" s="27" t="s">
        <v>14</v>
      </c>
      <c r="F573" s="27" t="s">
        <v>11</v>
      </c>
      <c r="G573" s="27" t="s">
        <v>231</v>
      </c>
      <c r="H573" s="27" t="s">
        <v>196</v>
      </c>
      <c r="N573">
        <v>1</v>
      </c>
      <c r="O573">
        <v>1</v>
      </c>
      <c r="P573">
        <v>1</v>
      </c>
      <c r="Q573">
        <v>1</v>
      </c>
      <c r="R573">
        <v>1</v>
      </c>
      <c r="AA573">
        <v>1</v>
      </c>
      <c r="AB573">
        <v>1</v>
      </c>
      <c r="AJ573">
        <v>1</v>
      </c>
      <c r="AM573">
        <v>1</v>
      </c>
      <c r="AN573">
        <v>1</v>
      </c>
      <c r="AW573">
        <v>1</v>
      </c>
      <c r="AX573">
        <v>1</v>
      </c>
      <c r="AZ573">
        <v>1</v>
      </c>
      <c r="BA573">
        <v>1</v>
      </c>
      <c r="BI573">
        <v>1</v>
      </c>
      <c r="BN573">
        <v>1</v>
      </c>
      <c r="BV573">
        <v>1</v>
      </c>
      <c r="FV573" s="18">
        <f t="shared" si="613"/>
        <v>8.1447963800904979E-2</v>
      </c>
    </row>
    <row r="574" spans="1:178" ht="14.25" customHeight="1" x14ac:dyDescent="0.25">
      <c r="A574" s="86" t="s">
        <v>273</v>
      </c>
      <c r="B574">
        <v>9</v>
      </c>
      <c r="C574">
        <v>15</v>
      </c>
      <c r="D574" s="27" t="s">
        <v>14</v>
      </c>
      <c r="E574" s="27" t="s">
        <v>14</v>
      </c>
      <c r="F574" s="27" t="s">
        <v>10</v>
      </c>
      <c r="G574" s="27" t="s">
        <v>231</v>
      </c>
      <c r="H574" s="25" t="s">
        <v>220</v>
      </c>
      <c r="I574">
        <v>1</v>
      </c>
      <c r="J574">
        <v>1</v>
      </c>
      <c r="K574">
        <v>1</v>
      </c>
      <c r="L574">
        <v>1</v>
      </c>
      <c r="M574">
        <v>1</v>
      </c>
      <c r="V574">
        <v>1</v>
      </c>
      <c r="W574">
        <v>1</v>
      </c>
      <c r="X574">
        <v>1</v>
      </c>
      <c r="AI574">
        <v>1</v>
      </c>
      <c r="AK574">
        <v>1</v>
      </c>
      <c r="AY574">
        <v>1</v>
      </c>
      <c r="BM574">
        <v>1</v>
      </c>
      <c r="CA574">
        <v>1</v>
      </c>
      <c r="CO574">
        <v>1</v>
      </c>
      <c r="DC574">
        <v>1</v>
      </c>
      <c r="FV574" s="18">
        <f t="shared" si="613"/>
        <v>6.9381598793363503E-2</v>
      </c>
    </row>
    <row r="575" spans="1:178" ht="14.25" customHeight="1" x14ac:dyDescent="0.25">
      <c r="A575" s="86" t="s">
        <v>273</v>
      </c>
      <c r="B575">
        <v>9</v>
      </c>
      <c r="C575">
        <v>15</v>
      </c>
      <c r="D575" s="27" t="s">
        <v>14</v>
      </c>
      <c r="E575" s="27" t="s">
        <v>14</v>
      </c>
      <c r="F575" s="27" t="s">
        <v>10</v>
      </c>
      <c r="G575" s="27" t="s">
        <v>231</v>
      </c>
      <c r="H575" s="27" t="s">
        <v>196</v>
      </c>
      <c r="N575">
        <v>1</v>
      </c>
      <c r="O575">
        <v>1</v>
      </c>
      <c r="P575">
        <v>1</v>
      </c>
      <c r="Q575">
        <v>1</v>
      </c>
      <c r="R575">
        <v>1</v>
      </c>
      <c r="AA575">
        <v>1</v>
      </c>
      <c r="AB575">
        <v>1</v>
      </c>
      <c r="AJ575">
        <v>1</v>
      </c>
      <c r="AM575">
        <v>1</v>
      </c>
      <c r="AN575">
        <v>1</v>
      </c>
      <c r="AW575">
        <v>1</v>
      </c>
      <c r="AX575">
        <v>1</v>
      </c>
      <c r="AZ575">
        <v>1</v>
      </c>
      <c r="BA575">
        <v>1</v>
      </c>
      <c r="BI575">
        <v>1</v>
      </c>
      <c r="BN575">
        <v>1</v>
      </c>
      <c r="BV575">
        <v>1</v>
      </c>
      <c r="FV575" s="18">
        <f t="shared" si="613"/>
        <v>8.1447963800904979E-2</v>
      </c>
    </row>
    <row r="576" spans="1:178" ht="14.25" customHeight="1" x14ac:dyDescent="0.25">
      <c r="A576" s="86" t="s">
        <v>273</v>
      </c>
      <c r="B576">
        <v>9</v>
      </c>
      <c r="C576">
        <v>15</v>
      </c>
      <c r="D576" s="27" t="s">
        <v>14</v>
      </c>
      <c r="E576" s="27" t="s">
        <v>14</v>
      </c>
      <c r="F576" s="27" t="s">
        <v>9</v>
      </c>
      <c r="G576" s="27" t="s">
        <v>231</v>
      </c>
      <c r="H576" s="25" t="s">
        <v>220</v>
      </c>
      <c r="I576">
        <v>1</v>
      </c>
      <c r="J576">
        <v>1</v>
      </c>
      <c r="K576">
        <v>1</v>
      </c>
      <c r="L576">
        <v>1</v>
      </c>
      <c r="M576">
        <v>1</v>
      </c>
      <c r="V576">
        <v>1</v>
      </c>
      <c r="W576">
        <v>1</v>
      </c>
      <c r="X576">
        <v>1</v>
      </c>
      <c r="AI576">
        <v>1</v>
      </c>
      <c r="AK576">
        <v>1</v>
      </c>
      <c r="AY576">
        <v>1</v>
      </c>
      <c r="BM576">
        <v>1</v>
      </c>
      <c r="CA576">
        <v>1</v>
      </c>
      <c r="CO576">
        <v>1</v>
      </c>
      <c r="DC576">
        <v>1</v>
      </c>
      <c r="FV576" s="18">
        <f t="shared" si="613"/>
        <v>6.9381598793363503E-2</v>
      </c>
    </row>
    <row r="577" spans="1:178" ht="14.25" customHeight="1" x14ac:dyDescent="0.25">
      <c r="A577" s="86" t="s">
        <v>273</v>
      </c>
      <c r="B577">
        <v>9</v>
      </c>
      <c r="C577">
        <v>15</v>
      </c>
      <c r="D577" s="27" t="s">
        <v>14</v>
      </c>
      <c r="E577" s="27" t="s">
        <v>14</v>
      </c>
      <c r="F577" s="27" t="s">
        <v>9</v>
      </c>
      <c r="G577" s="27" t="s">
        <v>231</v>
      </c>
      <c r="H577" s="27" t="s">
        <v>196</v>
      </c>
      <c r="N577">
        <v>1</v>
      </c>
      <c r="O577">
        <v>1</v>
      </c>
      <c r="P577">
        <v>1</v>
      </c>
      <c r="Q577">
        <v>1</v>
      </c>
      <c r="R577">
        <v>1</v>
      </c>
      <c r="AA577">
        <v>1</v>
      </c>
      <c r="AB577">
        <v>1</v>
      </c>
      <c r="AJ577">
        <v>1</v>
      </c>
      <c r="AM577">
        <v>1</v>
      </c>
      <c r="AN577">
        <v>1</v>
      </c>
      <c r="AW577">
        <v>1</v>
      </c>
      <c r="AX577">
        <v>1</v>
      </c>
      <c r="AZ577">
        <v>1</v>
      </c>
      <c r="BA577">
        <v>1</v>
      </c>
      <c r="BI577">
        <v>1</v>
      </c>
      <c r="BN577">
        <v>1</v>
      </c>
      <c r="BV577">
        <v>1</v>
      </c>
      <c r="FV577" s="18">
        <f t="shared" si="613"/>
        <v>8.1447963800904979E-2</v>
      </c>
    </row>
    <row r="578" spans="1:178" ht="14.25" customHeight="1" x14ac:dyDescent="0.25">
      <c r="A578" s="86" t="s">
        <v>273</v>
      </c>
      <c r="B578">
        <v>9</v>
      </c>
      <c r="C578">
        <v>15</v>
      </c>
      <c r="D578" s="27" t="s">
        <v>14</v>
      </c>
      <c r="E578" s="27" t="s">
        <v>14</v>
      </c>
      <c r="F578" s="27" t="s">
        <v>8</v>
      </c>
      <c r="G578" s="27" t="s">
        <v>231</v>
      </c>
      <c r="H578" s="25" t="s">
        <v>220</v>
      </c>
      <c r="I578">
        <v>1</v>
      </c>
      <c r="J578">
        <v>1</v>
      </c>
      <c r="K578">
        <v>1</v>
      </c>
      <c r="L578">
        <v>1</v>
      </c>
      <c r="M578">
        <v>1</v>
      </c>
      <c r="V578">
        <v>1</v>
      </c>
      <c r="W578">
        <v>1</v>
      </c>
      <c r="X578">
        <v>1</v>
      </c>
      <c r="AI578">
        <v>1</v>
      </c>
      <c r="AK578">
        <v>1</v>
      </c>
      <c r="AY578">
        <v>1</v>
      </c>
      <c r="BM578">
        <v>1</v>
      </c>
      <c r="CA578">
        <v>1</v>
      </c>
      <c r="CO578">
        <v>1</v>
      </c>
      <c r="DC578">
        <v>1</v>
      </c>
      <c r="FV578" s="18">
        <f t="shared" ref="FV578:FV579" si="614">SUMPRODUCT(I578:FU578,$I$1:$FU$1)/(SUM($I$1:$FU$1))</f>
        <v>6.9381598793363503E-2</v>
      </c>
    </row>
    <row r="579" spans="1:178" ht="14.25" customHeight="1" x14ac:dyDescent="0.25">
      <c r="A579" s="86" t="s">
        <v>273</v>
      </c>
      <c r="B579">
        <v>9</v>
      </c>
      <c r="C579">
        <v>15</v>
      </c>
      <c r="D579" s="27" t="s">
        <v>14</v>
      </c>
      <c r="E579" s="27" t="s">
        <v>14</v>
      </c>
      <c r="F579" s="27" t="s">
        <v>8</v>
      </c>
      <c r="G579" s="27" t="s">
        <v>231</v>
      </c>
      <c r="H579" s="27" t="s">
        <v>196</v>
      </c>
      <c r="N579">
        <v>1</v>
      </c>
      <c r="O579">
        <v>1</v>
      </c>
      <c r="P579">
        <v>1</v>
      </c>
      <c r="Q579">
        <v>1</v>
      </c>
      <c r="R579">
        <v>1</v>
      </c>
      <c r="AA579">
        <v>1</v>
      </c>
      <c r="AB579">
        <v>1</v>
      </c>
      <c r="AJ579">
        <v>1</v>
      </c>
      <c r="AM579">
        <v>1</v>
      </c>
      <c r="AN579">
        <v>1</v>
      </c>
      <c r="AW579">
        <v>1</v>
      </c>
      <c r="AX579">
        <v>1</v>
      </c>
      <c r="AZ579">
        <v>1</v>
      </c>
      <c r="BA579">
        <v>1</v>
      </c>
      <c r="BI579">
        <v>1</v>
      </c>
      <c r="BN579">
        <v>1</v>
      </c>
      <c r="BV579">
        <v>1</v>
      </c>
      <c r="FV579" s="18">
        <f t="shared" si="614"/>
        <v>8.1447963800904979E-2</v>
      </c>
    </row>
    <row r="580" spans="1:178" ht="14.25" customHeight="1" x14ac:dyDescent="0.25">
      <c r="A580" s="86" t="s">
        <v>273</v>
      </c>
      <c r="B580">
        <v>9</v>
      </c>
      <c r="C580">
        <v>15</v>
      </c>
      <c r="D580" s="27" t="s">
        <v>13</v>
      </c>
      <c r="E580" s="27" t="s">
        <v>13</v>
      </c>
      <c r="F580" s="27" t="s">
        <v>12</v>
      </c>
      <c r="G580" s="27" t="s">
        <v>231</v>
      </c>
      <c r="H580" s="25" t="s">
        <v>220</v>
      </c>
      <c r="I580">
        <v>1</v>
      </c>
      <c r="J580">
        <v>1</v>
      </c>
      <c r="K580">
        <v>1</v>
      </c>
      <c r="L580">
        <v>1</v>
      </c>
      <c r="M580">
        <v>1</v>
      </c>
      <c r="V580">
        <v>1</v>
      </c>
      <c r="W580">
        <v>1</v>
      </c>
      <c r="X580">
        <v>1</v>
      </c>
      <c r="AK580">
        <v>1</v>
      </c>
      <c r="AY580">
        <v>1</v>
      </c>
      <c r="BM580">
        <v>1</v>
      </c>
      <c r="CA580">
        <v>1</v>
      </c>
      <c r="CO580">
        <v>1</v>
      </c>
      <c r="DC580">
        <v>1</v>
      </c>
      <c r="FV580" s="18">
        <f t="shared" si="612"/>
        <v>6.0331825037707391E-2</v>
      </c>
    </row>
    <row r="581" spans="1:178" ht="14.25" customHeight="1" x14ac:dyDescent="0.25">
      <c r="A581" s="86" t="s">
        <v>273</v>
      </c>
      <c r="B581">
        <v>9</v>
      </c>
      <c r="C581">
        <v>15</v>
      </c>
      <c r="D581" s="27" t="s">
        <v>13</v>
      </c>
      <c r="E581" s="27" t="s">
        <v>13</v>
      </c>
      <c r="F581" s="27" t="s">
        <v>12</v>
      </c>
      <c r="G581" s="27" t="s">
        <v>231</v>
      </c>
      <c r="H581" s="27" t="s">
        <v>196</v>
      </c>
      <c r="O581">
        <v>1</v>
      </c>
      <c r="P581">
        <v>1</v>
      </c>
      <c r="Q581">
        <v>1</v>
      </c>
      <c r="R581">
        <v>1</v>
      </c>
      <c r="AA581">
        <v>1</v>
      </c>
      <c r="AB581">
        <v>1</v>
      </c>
      <c r="AM581">
        <v>1</v>
      </c>
      <c r="AN581">
        <v>1</v>
      </c>
      <c r="AW581">
        <v>1</v>
      </c>
      <c r="AX581">
        <v>1</v>
      </c>
      <c r="BA581">
        <v>1</v>
      </c>
      <c r="BI581">
        <v>1</v>
      </c>
      <c r="BN581">
        <v>1</v>
      </c>
      <c r="BV581">
        <v>1</v>
      </c>
      <c r="FV581" s="18">
        <f t="shared" si="612"/>
        <v>6.636500754147813E-2</v>
      </c>
    </row>
    <row r="582" spans="1:178" ht="14.25" customHeight="1" x14ac:dyDescent="0.25">
      <c r="A582" s="86" t="s">
        <v>273</v>
      </c>
      <c r="B582">
        <v>9</v>
      </c>
      <c r="C582">
        <v>15</v>
      </c>
      <c r="D582" s="27" t="s">
        <v>13</v>
      </c>
      <c r="E582" s="27" t="s">
        <v>13</v>
      </c>
      <c r="F582" s="27" t="s">
        <v>11</v>
      </c>
      <c r="G582" s="27" t="s">
        <v>231</v>
      </c>
      <c r="H582" s="25" t="s">
        <v>220</v>
      </c>
      <c r="I582">
        <v>1</v>
      </c>
      <c r="J582">
        <v>1</v>
      </c>
      <c r="K582">
        <v>1</v>
      </c>
      <c r="L582">
        <v>1</v>
      </c>
      <c r="M582">
        <v>1</v>
      </c>
      <c r="V582">
        <v>1</v>
      </c>
      <c r="W582">
        <v>1</v>
      </c>
      <c r="X582">
        <v>1</v>
      </c>
      <c r="AK582">
        <v>1</v>
      </c>
      <c r="AY582">
        <v>1</v>
      </c>
      <c r="BM582">
        <v>1</v>
      </c>
      <c r="CA582">
        <v>1</v>
      </c>
      <c r="CO582">
        <v>1</v>
      </c>
      <c r="DC582">
        <v>1</v>
      </c>
      <c r="FV582" s="18">
        <f t="shared" ref="FV582:FV587" si="615">SUMPRODUCT(I582:FU582,$I$1:$FU$1)/(SUM($I$1:$FU$1))</f>
        <v>6.0331825037707391E-2</v>
      </c>
    </row>
    <row r="583" spans="1:178" ht="14.25" customHeight="1" x14ac:dyDescent="0.25">
      <c r="A583" s="86" t="s">
        <v>273</v>
      </c>
      <c r="B583">
        <v>9</v>
      </c>
      <c r="C583">
        <v>15</v>
      </c>
      <c r="D583" s="27" t="s">
        <v>13</v>
      </c>
      <c r="E583" s="27" t="s">
        <v>13</v>
      </c>
      <c r="F583" s="27" t="s">
        <v>11</v>
      </c>
      <c r="G583" s="27" t="s">
        <v>231</v>
      </c>
      <c r="H583" s="27" t="s">
        <v>196</v>
      </c>
      <c r="O583">
        <v>1</v>
      </c>
      <c r="P583">
        <v>1</v>
      </c>
      <c r="Q583">
        <v>1</v>
      </c>
      <c r="R583">
        <v>1</v>
      </c>
      <c r="AA583">
        <v>1</v>
      </c>
      <c r="AB583">
        <v>1</v>
      </c>
      <c r="AM583">
        <v>1</v>
      </c>
      <c r="AN583">
        <v>1</v>
      </c>
      <c r="AW583">
        <v>1</v>
      </c>
      <c r="AX583">
        <v>1</v>
      </c>
      <c r="BA583">
        <v>1</v>
      </c>
      <c r="BI583">
        <v>1</v>
      </c>
      <c r="BN583">
        <v>1</v>
      </c>
      <c r="BV583">
        <v>1</v>
      </c>
      <c r="FV583" s="18">
        <f t="shared" si="615"/>
        <v>6.636500754147813E-2</v>
      </c>
    </row>
    <row r="584" spans="1:178" ht="14.25" customHeight="1" x14ac:dyDescent="0.25">
      <c r="A584" s="86" t="s">
        <v>273</v>
      </c>
      <c r="B584">
        <v>9</v>
      </c>
      <c r="C584">
        <v>15</v>
      </c>
      <c r="D584" s="27" t="s">
        <v>13</v>
      </c>
      <c r="E584" s="27" t="s">
        <v>13</v>
      </c>
      <c r="F584" s="27" t="s">
        <v>10</v>
      </c>
      <c r="G584" s="27" t="s">
        <v>231</v>
      </c>
      <c r="H584" s="25" t="s">
        <v>220</v>
      </c>
      <c r="I584">
        <v>1</v>
      </c>
      <c r="J584">
        <v>1</v>
      </c>
      <c r="K584">
        <v>1</v>
      </c>
      <c r="L584">
        <v>1</v>
      </c>
      <c r="M584">
        <v>1</v>
      </c>
      <c r="V584">
        <v>1</v>
      </c>
      <c r="W584">
        <v>1</v>
      </c>
      <c r="X584">
        <v>1</v>
      </c>
      <c r="AK584">
        <v>1</v>
      </c>
      <c r="AY584">
        <v>1</v>
      </c>
      <c r="BM584">
        <v>1</v>
      </c>
      <c r="CA584">
        <v>1</v>
      </c>
      <c r="CO584">
        <v>1</v>
      </c>
      <c r="DC584">
        <v>1</v>
      </c>
      <c r="FV584" s="18">
        <f t="shared" si="615"/>
        <v>6.0331825037707391E-2</v>
      </c>
    </row>
    <row r="585" spans="1:178" ht="14.25" customHeight="1" x14ac:dyDescent="0.25">
      <c r="A585" s="86" t="s">
        <v>273</v>
      </c>
      <c r="B585">
        <v>9</v>
      </c>
      <c r="C585">
        <v>15</v>
      </c>
      <c r="D585" s="27" t="s">
        <v>13</v>
      </c>
      <c r="E585" s="27" t="s">
        <v>13</v>
      </c>
      <c r="F585" s="27" t="s">
        <v>10</v>
      </c>
      <c r="G585" s="27" t="s">
        <v>231</v>
      </c>
      <c r="H585" s="27" t="s">
        <v>196</v>
      </c>
      <c r="O585">
        <v>1</v>
      </c>
      <c r="P585">
        <v>1</v>
      </c>
      <c r="Q585">
        <v>1</v>
      </c>
      <c r="R585">
        <v>1</v>
      </c>
      <c r="AA585">
        <v>1</v>
      </c>
      <c r="AB585">
        <v>1</v>
      </c>
      <c r="AM585">
        <v>1</v>
      </c>
      <c r="AN585">
        <v>1</v>
      </c>
      <c r="AW585">
        <v>1</v>
      </c>
      <c r="AX585">
        <v>1</v>
      </c>
      <c r="BA585">
        <v>1</v>
      </c>
      <c r="BI585">
        <v>1</v>
      </c>
      <c r="BN585">
        <v>1</v>
      </c>
      <c r="BV585">
        <v>1</v>
      </c>
      <c r="FV585" s="18">
        <f t="shared" si="615"/>
        <v>6.636500754147813E-2</v>
      </c>
    </row>
    <row r="586" spans="1:178" ht="14.25" customHeight="1" x14ac:dyDescent="0.25">
      <c r="A586" s="86" t="s">
        <v>273</v>
      </c>
      <c r="B586">
        <v>9</v>
      </c>
      <c r="C586">
        <v>15</v>
      </c>
      <c r="D586" s="27" t="s">
        <v>13</v>
      </c>
      <c r="E586" s="27" t="s">
        <v>13</v>
      </c>
      <c r="F586" s="27" t="s">
        <v>9</v>
      </c>
      <c r="G586" s="27" t="s">
        <v>231</v>
      </c>
      <c r="H586" s="25" t="s">
        <v>220</v>
      </c>
      <c r="I586">
        <v>1</v>
      </c>
      <c r="J586">
        <v>1</v>
      </c>
      <c r="K586">
        <v>1</v>
      </c>
      <c r="L586">
        <v>1</v>
      </c>
      <c r="M586">
        <v>1</v>
      </c>
      <c r="V586">
        <v>1</v>
      </c>
      <c r="W586">
        <v>1</v>
      </c>
      <c r="X586">
        <v>1</v>
      </c>
      <c r="AK586">
        <v>1</v>
      </c>
      <c r="AY586">
        <v>1</v>
      </c>
      <c r="BM586">
        <v>1</v>
      </c>
      <c r="CA586">
        <v>1</v>
      </c>
      <c r="CO586">
        <v>1</v>
      </c>
      <c r="DC586">
        <v>1</v>
      </c>
      <c r="FV586" s="18">
        <f t="shared" si="615"/>
        <v>6.0331825037707391E-2</v>
      </c>
    </row>
    <row r="587" spans="1:178" ht="14.25" customHeight="1" x14ac:dyDescent="0.25">
      <c r="A587" s="86" t="s">
        <v>273</v>
      </c>
      <c r="B587">
        <v>9</v>
      </c>
      <c r="C587">
        <v>15</v>
      </c>
      <c r="D587" s="27" t="s">
        <v>13</v>
      </c>
      <c r="E587" s="27" t="s">
        <v>13</v>
      </c>
      <c r="F587" s="27" t="s">
        <v>9</v>
      </c>
      <c r="G587" s="27" t="s">
        <v>231</v>
      </c>
      <c r="H587" s="27" t="s">
        <v>196</v>
      </c>
      <c r="O587">
        <v>1</v>
      </c>
      <c r="P587">
        <v>1</v>
      </c>
      <c r="Q587">
        <v>1</v>
      </c>
      <c r="R587">
        <v>1</v>
      </c>
      <c r="AA587">
        <v>1</v>
      </c>
      <c r="AB587">
        <v>1</v>
      </c>
      <c r="AM587">
        <v>1</v>
      </c>
      <c r="AN587">
        <v>1</v>
      </c>
      <c r="AW587">
        <v>1</v>
      </c>
      <c r="AX587">
        <v>1</v>
      </c>
      <c r="BA587">
        <v>1</v>
      </c>
      <c r="BI587">
        <v>1</v>
      </c>
      <c r="BN587">
        <v>1</v>
      </c>
      <c r="BV587">
        <v>1</v>
      </c>
      <c r="FV587" s="18">
        <f t="shared" si="615"/>
        <v>6.636500754147813E-2</v>
      </c>
    </row>
    <row r="588" spans="1:178" ht="14.25" customHeight="1" x14ac:dyDescent="0.25">
      <c r="A588" s="86" t="s">
        <v>273</v>
      </c>
      <c r="B588">
        <v>9</v>
      </c>
      <c r="C588">
        <v>15</v>
      </c>
      <c r="D588" s="27" t="s">
        <v>13</v>
      </c>
      <c r="E588" s="27" t="s">
        <v>13</v>
      </c>
      <c r="F588" s="27" t="s">
        <v>8</v>
      </c>
      <c r="G588" s="27" t="s">
        <v>231</v>
      </c>
      <c r="H588" s="25" t="s">
        <v>220</v>
      </c>
      <c r="I588">
        <v>1</v>
      </c>
      <c r="J588">
        <v>1</v>
      </c>
      <c r="K588">
        <v>1</v>
      </c>
      <c r="L588">
        <v>1</v>
      </c>
      <c r="M588">
        <v>1</v>
      </c>
      <c r="V588">
        <v>1</v>
      </c>
      <c r="W588">
        <v>1</v>
      </c>
      <c r="X588">
        <v>1</v>
      </c>
      <c r="AK588">
        <v>1</v>
      </c>
      <c r="AY588">
        <v>1</v>
      </c>
      <c r="BM588">
        <v>1</v>
      </c>
      <c r="CA588">
        <v>1</v>
      </c>
      <c r="CO588">
        <v>1</v>
      </c>
      <c r="DC588">
        <v>1</v>
      </c>
      <c r="FV588" s="18">
        <f t="shared" ref="FV588:FV589" si="616">SUMPRODUCT(I588:FU588,$I$1:$FU$1)/(SUM($I$1:$FU$1))</f>
        <v>6.0331825037707391E-2</v>
      </c>
    </row>
    <row r="589" spans="1:178" ht="14.25" customHeight="1" x14ac:dyDescent="0.25">
      <c r="A589" s="86" t="s">
        <v>273</v>
      </c>
      <c r="B589">
        <v>9</v>
      </c>
      <c r="C589">
        <v>15</v>
      </c>
      <c r="D589" s="27" t="s">
        <v>13</v>
      </c>
      <c r="E589" s="27" t="s">
        <v>13</v>
      </c>
      <c r="F589" s="27" t="s">
        <v>8</v>
      </c>
      <c r="G589" s="27" t="s">
        <v>231</v>
      </c>
      <c r="H589" s="27" t="s">
        <v>196</v>
      </c>
      <c r="O589">
        <v>1</v>
      </c>
      <c r="P589">
        <v>1</v>
      </c>
      <c r="Q589">
        <v>1</v>
      </c>
      <c r="R589">
        <v>1</v>
      </c>
      <c r="AA589">
        <v>1</v>
      </c>
      <c r="AB589">
        <v>1</v>
      </c>
      <c r="AM589">
        <v>1</v>
      </c>
      <c r="AN589">
        <v>1</v>
      </c>
      <c r="AW589">
        <v>1</v>
      </c>
      <c r="AX589">
        <v>1</v>
      </c>
      <c r="BA589">
        <v>1</v>
      </c>
      <c r="BI589">
        <v>1</v>
      </c>
      <c r="BN589">
        <v>1</v>
      </c>
      <c r="BV589">
        <v>1</v>
      </c>
      <c r="FV589" s="18">
        <f t="shared" si="616"/>
        <v>6.636500754147813E-2</v>
      </c>
    </row>
    <row r="590" spans="1:178" ht="14.25" customHeight="1" x14ac:dyDescent="0.25">
      <c r="A590" s="86" t="s">
        <v>273</v>
      </c>
      <c r="B590">
        <v>9</v>
      </c>
      <c r="C590">
        <v>15</v>
      </c>
      <c r="D590" s="27" t="s">
        <v>12</v>
      </c>
      <c r="E590" s="27" t="s">
        <v>12</v>
      </c>
      <c r="F590" s="27" t="s">
        <v>11</v>
      </c>
      <c r="G590" s="27" t="s">
        <v>231</v>
      </c>
      <c r="H590" s="25" t="s">
        <v>220</v>
      </c>
      <c r="I590">
        <v>1</v>
      </c>
      <c r="J590">
        <v>1</v>
      </c>
      <c r="K590">
        <v>1</v>
      </c>
      <c r="L590">
        <v>1</v>
      </c>
      <c r="M590">
        <v>1</v>
      </c>
      <c r="N590">
        <v>1</v>
      </c>
      <c r="V590">
        <v>1</v>
      </c>
      <c r="W590">
        <v>1</v>
      </c>
      <c r="X590">
        <v>1</v>
      </c>
      <c r="AJ590">
        <v>1</v>
      </c>
      <c r="AK590">
        <v>1</v>
      </c>
      <c r="AY590">
        <v>1</v>
      </c>
      <c r="BM590">
        <v>1</v>
      </c>
      <c r="CA590">
        <v>1</v>
      </c>
      <c r="CO590">
        <v>1</v>
      </c>
      <c r="DC590">
        <v>1</v>
      </c>
      <c r="FV590" s="18">
        <f t="shared" si="612"/>
        <v>7.2398190045248875E-2</v>
      </c>
    </row>
    <row r="591" spans="1:178" ht="14.25" customHeight="1" x14ac:dyDescent="0.25">
      <c r="A591" s="86" t="s">
        <v>273</v>
      </c>
      <c r="B591">
        <v>9</v>
      </c>
      <c r="C591">
        <v>15</v>
      </c>
      <c r="D591" s="27" t="s">
        <v>12</v>
      </c>
      <c r="E591" s="27" t="s">
        <v>12</v>
      </c>
      <c r="F591" s="27" t="s">
        <v>11</v>
      </c>
      <c r="G591" s="27" t="s">
        <v>231</v>
      </c>
      <c r="H591" s="27" t="s">
        <v>196</v>
      </c>
      <c r="O591">
        <v>1</v>
      </c>
      <c r="P591">
        <v>1</v>
      </c>
      <c r="Q591">
        <v>1</v>
      </c>
      <c r="T591">
        <v>1</v>
      </c>
      <c r="U591">
        <v>1</v>
      </c>
      <c r="AA591">
        <v>1</v>
      </c>
      <c r="AB591">
        <v>1</v>
      </c>
      <c r="AN591">
        <v>1</v>
      </c>
      <c r="AO591">
        <v>1</v>
      </c>
      <c r="AW591">
        <v>1</v>
      </c>
      <c r="AX591">
        <v>1</v>
      </c>
      <c r="BA591">
        <v>1</v>
      </c>
      <c r="BJ591">
        <v>1</v>
      </c>
      <c r="BK591">
        <v>1</v>
      </c>
      <c r="BL591">
        <v>1</v>
      </c>
      <c r="BN591">
        <v>1</v>
      </c>
      <c r="CI591">
        <v>1</v>
      </c>
      <c r="FV591" s="18">
        <f t="shared" si="612"/>
        <v>8.7481146304675711E-2</v>
      </c>
    </row>
    <row r="592" spans="1:178" ht="14.25" customHeight="1" x14ac:dyDescent="0.25">
      <c r="A592" s="86" t="s">
        <v>273</v>
      </c>
      <c r="B592">
        <v>9</v>
      </c>
      <c r="C592">
        <v>15</v>
      </c>
      <c r="D592" s="27" t="s">
        <v>12</v>
      </c>
      <c r="E592" s="27" t="s">
        <v>12</v>
      </c>
      <c r="F592" s="27" t="s">
        <v>10</v>
      </c>
      <c r="G592" s="27" t="s">
        <v>231</v>
      </c>
      <c r="H592" s="25" t="s">
        <v>220</v>
      </c>
      <c r="I592">
        <v>1</v>
      </c>
      <c r="J592">
        <v>1</v>
      </c>
      <c r="K592">
        <v>1</v>
      </c>
      <c r="L592">
        <v>1</v>
      </c>
      <c r="M592">
        <v>1</v>
      </c>
      <c r="N592">
        <v>1</v>
      </c>
      <c r="V592">
        <v>1</v>
      </c>
      <c r="W592">
        <v>1</v>
      </c>
      <c r="X592">
        <v>1</v>
      </c>
      <c r="AJ592">
        <v>1</v>
      </c>
      <c r="AK592">
        <v>1</v>
      </c>
      <c r="AY592">
        <v>1</v>
      </c>
      <c r="BM592">
        <v>1</v>
      </c>
      <c r="CA592">
        <v>1</v>
      </c>
      <c r="CO592">
        <v>1</v>
      </c>
      <c r="DC592">
        <v>1</v>
      </c>
      <c r="FV592" s="18">
        <f t="shared" ref="FV592:FV597" si="617">SUMPRODUCT(I592:FU592,$I$1:$FU$1)/(SUM($I$1:$FU$1))</f>
        <v>7.2398190045248875E-2</v>
      </c>
    </row>
    <row r="593" spans="1:178" ht="14.25" customHeight="1" x14ac:dyDescent="0.25">
      <c r="A593" s="86" t="s">
        <v>273</v>
      </c>
      <c r="B593">
        <v>9</v>
      </c>
      <c r="C593">
        <v>15</v>
      </c>
      <c r="D593" s="27" t="s">
        <v>12</v>
      </c>
      <c r="E593" s="27" t="s">
        <v>12</v>
      </c>
      <c r="F593" s="27" t="s">
        <v>10</v>
      </c>
      <c r="G593" s="27" t="s">
        <v>231</v>
      </c>
      <c r="H593" s="27" t="s">
        <v>196</v>
      </c>
      <c r="O593">
        <v>1</v>
      </c>
      <c r="P593">
        <v>1</v>
      </c>
      <c r="Q593">
        <v>1</v>
      </c>
      <c r="T593">
        <v>1</v>
      </c>
      <c r="U593">
        <v>1</v>
      </c>
      <c r="AA593">
        <v>1</v>
      </c>
      <c r="AB593">
        <v>1</v>
      </c>
      <c r="AN593">
        <v>1</v>
      </c>
      <c r="AO593">
        <v>1</v>
      </c>
      <c r="AW593">
        <v>1</v>
      </c>
      <c r="AX593">
        <v>1</v>
      </c>
      <c r="BA593">
        <v>1</v>
      </c>
      <c r="BJ593">
        <v>1</v>
      </c>
      <c r="BK593">
        <v>1</v>
      </c>
      <c r="BL593">
        <v>1</v>
      </c>
      <c r="BN593">
        <v>1</v>
      </c>
      <c r="CI593">
        <v>1</v>
      </c>
      <c r="FV593" s="18">
        <f t="shared" si="617"/>
        <v>8.7481146304675711E-2</v>
      </c>
    </row>
    <row r="594" spans="1:178" ht="14.25" customHeight="1" x14ac:dyDescent="0.25">
      <c r="A594" s="86" t="s">
        <v>273</v>
      </c>
      <c r="B594">
        <v>9</v>
      </c>
      <c r="C594">
        <v>15</v>
      </c>
      <c r="D594" s="27" t="s">
        <v>12</v>
      </c>
      <c r="E594" s="27" t="s">
        <v>12</v>
      </c>
      <c r="F594" s="27" t="s">
        <v>9</v>
      </c>
      <c r="G594" s="27" t="s">
        <v>231</v>
      </c>
      <c r="H594" s="25" t="s">
        <v>220</v>
      </c>
      <c r="I594">
        <v>1</v>
      </c>
      <c r="J594">
        <v>1</v>
      </c>
      <c r="K594">
        <v>1</v>
      </c>
      <c r="L594">
        <v>1</v>
      </c>
      <c r="M594">
        <v>1</v>
      </c>
      <c r="N594">
        <v>1</v>
      </c>
      <c r="V594">
        <v>1</v>
      </c>
      <c r="W594">
        <v>1</v>
      </c>
      <c r="X594">
        <v>1</v>
      </c>
      <c r="AJ594">
        <v>1</v>
      </c>
      <c r="AK594">
        <v>1</v>
      </c>
      <c r="AY594">
        <v>1</v>
      </c>
      <c r="BM594">
        <v>1</v>
      </c>
      <c r="CA594">
        <v>1</v>
      </c>
      <c r="CO594">
        <v>1</v>
      </c>
      <c r="DC594">
        <v>1</v>
      </c>
      <c r="FV594" s="18">
        <f t="shared" si="617"/>
        <v>7.2398190045248875E-2</v>
      </c>
    </row>
    <row r="595" spans="1:178" ht="14.25" customHeight="1" x14ac:dyDescent="0.25">
      <c r="A595" s="86" t="s">
        <v>273</v>
      </c>
      <c r="B595">
        <v>9</v>
      </c>
      <c r="C595">
        <v>15</v>
      </c>
      <c r="D595" s="27" t="s">
        <v>12</v>
      </c>
      <c r="E595" s="27" t="s">
        <v>12</v>
      </c>
      <c r="F595" s="27" t="s">
        <v>9</v>
      </c>
      <c r="G595" s="27" t="s">
        <v>231</v>
      </c>
      <c r="H595" s="27" t="s">
        <v>196</v>
      </c>
      <c r="O595">
        <v>1</v>
      </c>
      <c r="P595">
        <v>1</v>
      </c>
      <c r="Q595">
        <v>1</v>
      </c>
      <c r="T595">
        <v>1</v>
      </c>
      <c r="U595">
        <v>1</v>
      </c>
      <c r="AA595">
        <v>1</v>
      </c>
      <c r="AB595">
        <v>1</v>
      </c>
      <c r="AN595">
        <v>1</v>
      </c>
      <c r="AO595">
        <v>1</v>
      </c>
      <c r="AW595">
        <v>1</v>
      </c>
      <c r="AX595">
        <v>1</v>
      </c>
      <c r="BA595">
        <v>1</v>
      </c>
      <c r="BJ595">
        <v>1</v>
      </c>
      <c r="BK595">
        <v>1</v>
      </c>
      <c r="BL595">
        <v>1</v>
      </c>
      <c r="BN595">
        <v>1</v>
      </c>
      <c r="CI595">
        <v>1</v>
      </c>
      <c r="FV595" s="18">
        <f t="shared" si="617"/>
        <v>8.7481146304675711E-2</v>
      </c>
    </row>
    <row r="596" spans="1:178" ht="14.25" customHeight="1" x14ac:dyDescent="0.25">
      <c r="A596" s="86" t="s">
        <v>273</v>
      </c>
      <c r="B596">
        <v>9</v>
      </c>
      <c r="C596">
        <v>15</v>
      </c>
      <c r="D596" s="27" t="s">
        <v>12</v>
      </c>
      <c r="E596" s="27" t="s">
        <v>12</v>
      </c>
      <c r="F596" s="27" t="s">
        <v>8</v>
      </c>
      <c r="G596" s="27" t="s">
        <v>231</v>
      </c>
      <c r="H596" s="25" t="s">
        <v>220</v>
      </c>
      <c r="I596">
        <v>1</v>
      </c>
      <c r="J596">
        <v>1</v>
      </c>
      <c r="K596">
        <v>1</v>
      </c>
      <c r="L596">
        <v>1</v>
      </c>
      <c r="M596">
        <v>1</v>
      </c>
      <c r="N596">
        <v>1</v>
      </c>
      <c r="V596">
        <v>1</v>
      </c>
      <c r="W596">
        <v>1</v>
      </c>
      <c r="X596">
        <v>1</v>
      </c>
      <c r="AJ596">
        <v>1</v>
      </c>
      <c r="AK596">
        <v>1</v>
      </c>
      <c r="AY596">
        <v>1</v>
      </c>
      <c r="BM596">
        <v>1</v>
      </c>
      <c r="CA596">
        <v>1</v>
      </c>
      <c r="CO596">
        <v>1</v>
      </c>
      <c r="DC596">
        <v>1</v>
      </c>
      <c r="FV596" s="18">
        <f t="shared" si="617"/>
        <v>7.2398190045248875E-2</v>
      </c>
    </row>
    <row r="597" spans="1:178" ht="14.25" customHeight="1" x14ac:dyDescent="0.25">
      <c r="A597" s="86" t="s">
        <v>273</v>
      </c>
      <c r="B597">
        <v>9</v>
      </c>
      <c r="C597">
        <v>15</v>
      </c>
      <c r="D597" s="27" t="s">
        <v>12</v>
      </c>
      <c r="E597" s="27" t="s">
        <v>12</v>
      </c>
      <c r="F597" s="27" t="s">
        <v>8</v>
      </c>
      <c r="G597" s="27" t="s">
        <v>231</v>
      </c>
      <c r="H597" s="27" t="s">
        <v>196</v>
      </c>
      <c r="O597">
        <v>1</v>
      </c>
      <c r="P597">
        <v>1</v>
      </c>
      <c r="Q597">
        <v>1</v>
      </c>
      <c r="T597">
        <v>1</v>
      </c>
      <c r="U597">
        <v>1</v>
      </c>
      <c r="AA597">
        <v>1</v>
      </c>
      <c r="AB597">
        <v>1</v>
      </c>
      <c r="AN597">
        <v>1</v>
      </c>
      <c r="AO597">
        <v>1</v>
      </c>
      <c r="AW597">
        <v>1</v>
      </c>
      <c r="AX597">
        <v>1</v>
      </c>
      <c r="BA597">
        <v>1</v>
      </c>
      <c r="BJ597">
        <v>1</v>
      </c>
      <c r="BK597">
        <v>1</v>
      </c>
      <c r="BL597">
        <v>1</v>
      </c>
      <c r="BN597">
        <v>1</v>
      </c>
      <c r="CI597">
        <v>1</v>
      </c>
      <c r="FV597" s="18">
        <f t="shared" si="617"/>
        <v>8.7481146304675711E-2</v>
      </c>
    </row>
    <row r="598" spans="1:178" ht="14.25" customHeight="1" x14ac:dyDescent="0.25">
      <c r="A598" s="86" t="s">
        <v>273</v>
      </c>
      <c r="B598">
        <v>9</v>
      </c>
      <c r="C598">
        <v>15</v>
      </c>
      <c r="D598" s="27" t="s">
        <v>11</v>
      </c>
      <c r="E598" s="27" t="s">
        <v>11</v>
      </c>
      <c r="F598" s="27" t="s">
        <v>10</v>
      </c>
      <c r="G598" s="27" t="s">
        <v>231</v>
      </c>
      <c r="H598" s="25" t="s">
        <v>220</v>
      </c>
      <c r="I598">
        <v>1</v>
      </c>
      <c r="J598">
        <v>1</v>
      </c>
      <c r="K598">
        <v>1</v>
      </c>
      <c r="L598">
        <v>1</v>
      </c>
      <c r="M598">
        <v>1</v>
      </c>
      <c r="N598">
        <v>1</v>
      </c>
      <c r="O598">
        <v>1</v>
      </c>
      <c r="P598">
        <v>1</v>
      </c>
      <c r="V598">
        <v>1</v>
      </c>
      <c r="W598">
        <v>1</v>
      </c>
      <c r="X598">
        <v>1</v>
      </c>
      <c r="Y598">
        <v>1</v>
      </c>
      <c r="AK598">
        <v>1</v>
      </c>
      <c r="AY598">
        <v>1</v>
      </c>
      <c r="BM598">
        <v>1</v>
      </c>
      <c r="CA598">
        <v>1</v>
      </c>
      <c r="CO598">
        <v>1</v>
      </c>
      <c r="FV598" s="18">
        <f t="shared" si="612"/>
        <v>6.7873303167420809E-2</v>
      </c>
    </row>
    <row r="599" spans="1:178" ht="14.25" customHeight="1" x14ac:dyDescent="0.25">
      <c r="A599" s="86" t="s">
        <v>273</v>
      </c>
      <c r="B599">
        <v>9</v>
      </c>
      <c r="C599">
        <v>15</v>
      </c>
      <c r="D599" s="27" t="s">
        <v>11</v>
      </c>
      <c r="E599" s="27" t="s">
        <v>11</v>
      </c>
      <c r="F599" s="27" t="s">
        <v>10</v>
      </c>
      <c r="G599" s="27" t="s">
        <v>231</v>
      </c>
      <c r="H599" s="27" t="s">
        <v>196</v>
      </c>
      <c r="AB599">
        <v>1</v>
      </c>
      <c r="AC599">
        <v>1</v>
      </c>
      <c r="AN599">
        <v>1</v>
      </c>
      <c r="AO599">
        <v>1</v>
      </c>
      <c r="AP599">
        <v>1</v>
      </c>
      <c r="AX599">
        <v>1</v>
      </c>
      <c r="BB599">
        <v>1</v>
      </c>
      <c r="BJ599">
        <v>1</v>
      </c>
      <c r="BK599">
        <v>1</v>
      </c>
      <c r="BL599">
        <v>1</v>
      </c>
      <c r="BO599">
        <v>1</v>
      </c>
      <c r="BW599">
        <v>1</v>
      </c>
      <c r="CB599">
        <v>1</v>
      </c>
      <c r="DI599">
        <v>1</v>
      </c>
      <c r="DV599">
        <v>1</v>
      </c>
      <c r="EI599">
        <v>1</v>
      </c>
      <c r="FV599" s="18">
        <f t="shared" si="612"/>
        <v>9.6530920060331829E-2</v>
      </c>
    </row>
    <row r="600" spans="1:178" ht="14.25" customHeight="1" x14ac:dyDescent="0.25">
      <c r="A600" s="86" t="s">
        <v>273</v>
      </c>
      <c r="B600">
        <v>9</v>
      </c>
      <c r="C600">
        <v>15</v>
      </c>
      <c r="D600" s="27" t="s">
        <v>11</v>
      </c>
      <c r="E600" s="27" t="s">
        <v>11</v>
      </c>
      <c r="F600" s="27" t="s">
        <v>9</v>
      </c>
      <c r="G600" s="27" t="s">
        <v>231</v>
      </c>
      <c r="H600" s="25" t="s">
        <v>220</v>
      </c>
      <c r="I600">
        <v>1</v>
      </c>
      <c r="J600">
        <v>1</v>
      </c>
      <c r="K600">
        <v>1</v>
      </c>
      <c r="L600">
        <v>1</v>
      </c>
      <c r="M600">
        <v>1</v>
      </c>
      <c r="N600">
        <v>1</v>
      </c>
      <c r="O600">
        <v>1</v>
      </c>
      <c r="P600">
        <v>1</v>
      </c>
      <c r="V600">
        <v>1</v>
      </c>
      <c r="W600">
        <v>1</v>
      </c>
      <c r="X600">
        <v>1</v>
      </c>
      <c r="Y600">
        <v>1</v>
      </c>
      <c r="AK600">
        <v>1</v>
      </c>
      <c r="AY600">
        <v>1</v>
      </c>
      <c r="BM600">
        <v>1</v>
      </c>
      <c r="CA600">
        <v>1</v>
      </c>
      <c r="CO600">
        <v>1</v>
      </c>
      <c r="FV600" s="18">
        <f t="shared" ref="FV600:FV603" si="618">SUMPRODUCT(I600:FU600,$I$1:$FU$1)/(SUM($I$1:$FU$1))</f>
        <v>6.7873303167420809E-2</v>
      </c>
    </row>
    <row r="601" spans="1:178" ht="14.25" customHeight="1" x14ac:dyDescent="0.25">
      <c r="A601" s="86" t="s">
        <v>273</v>
      </c>
      <c r="B601">
        <v>9</v>
      </c>
      <c r="C601">
        <v>15</v>
      </c>
      <c r="D601" s="27" t="s">
        <v>11</v>
      </c>
      <c r="E601" s="27" t="s">
        <v>11</v>
      </c>
      <c r="F601" s="27" t="s">
        <v>9</v>
      </c>
      <c r="G601" s="27" t="s">
        <v>231</v>
      </c>
      <c r="H601" s="27" t="s">
        <v>196</v>
      </c>
      <c r="AB601">
        <v>1</v>
      </c>
      <c r="AC601">
        <v>1</v>
      </c>
      <c r="AN601">
        <v>1</v>
      </c>
      <c r="AO601">
        <v>1</v>
      </c>
      <c r="AP601">
        <v>1</v>
      </c>
      <c r="AX601">
        <v>1</v>
      </c>
      <c r="BB601">
        <v>1</v>
      </c>
      <c r="BJ601">
        <v>1</v>
      </c>
      <c r="BK601">
        <v>1</v>
      </c>
      <c r="BL601">
        <v>1</v>
      </c>
      <c r="BO601">
        <v>1</v>
      </c>
      <c r="BW601">
        <v>1</v>
      </c>
      <c r="CB601">
        <v>1</v>
      </c>
      <c r="DI601">
        <v>1</v>
      </c>
      <c r="DV601">
        <v>1</v>
      </c>
      <c r="EI601">
        <v>1</v>
      </c>
      <c r="FV601" s="18">
        <f t="shared" si="618"/>
        <v>9.6530920060331829E-2</v>
      </c>
    </row>
    <row r="602" spans="1:178" ht="14.25" customHeight="1" x14ac:dyDescent="0.25">
      <c r="A602" s="86" t="s">
        <v>273</v>
      </c>
      <c r="B602">
        <v>9</v>
      </c>
      <c r="C602">
        <v>15</v>
      </c>
      <c r="D602" s="27" t="s">
        <v>11</v>
      </c>
      <c r="E602" s="27" t="s">
        <v>11</v>
      </c>
      <c r="F602" s="27" t="s">
        <v>8</v>
      </c>
      <c r="G602" s="27" t="s">
        <v>231</v>
      </c>
      <c r="H602" s="25" t="s">
        <v>220</v>
      </c>
      <c r="I602">
        <v>1</v>
      </c>
      <c r="J602">
        <v>1</v>
      </c>
      <c r="K602">
        <v>1</v>
      </c>
      <c r="L602">
        <v>1</v>
      </c>
      <c r="M602">
        <v>1</v>
      </c>
      <c r="N602">
        <v>1</v>
      </c>
      <c r="O602">
        <v>1</v>
      </c>
      <c r="P602">
        <v>1</v>
      </c>
      <c r="V602">
        <v>1</v>
      </c>
      <c r="W602">
        <v>1</v>
      </c>
      <c r="X602">
        <v>1</v>
      </c>
      <c r="Y602">
        <v>1</v>
      </c>
      <c r="AK602">
        <v>1</v>
      </c>
      <c r="AY602">
        <v>1</v>
      </c>
      <c r="BM602">
        <v>1</v>
      </c>
      <c r="CA602">
        <v>1</v>
      </c>
      <c r="CO602">
        <v>1</v>
      </c>
      <c r="FV602" s="18">
        <f t="shared" si="618"/>
        <v>6.7873303167420809E-2</v>
      </c>
    </row>
    <row r="603" spans="1:178" ht="14.25" customHeight="1" x14ac:dyDescent="0.25">
      <c r="A603" s="86" t="s">
        <v>273</v>
      </c>
      <c r="B603">
        <v>9</v>
      </c>
      <c r="C603">
        <v>15</v>
      </c>
      <c r="D603" s="27" t="s">
        <v>11</v>
      </c>
      <c r="E603" s="27" t="s">
        <v>11</v>
      </c>
      <c r="F603" s="27" t="s">
        <v>8</v>
      </c>
      <c r="G603" s="27" t="s">
        <v>231</v>
      </c>
      <c r="H603" s="27" t="s">
        <v>196</v>
      </c>
      <c r="AB603">
        <v>1</v>
      </c>
      <c r="AC603">
        <v>1</v>
      </c>
      <c r="AN603">
        <v>1</v>
      </c>
      <c r="AO603">
        <v>1</v>
      </c>
      <c r="AP603">
        <v>1</v>
      </c>
      <c r="AX603">
        <v>1</v>
      </c>
      <c r="BB603">
        <v>1</v>
      </c>
      <c r="BJ603">
        <v>1</v>
      </c>
      <c r="BK603">
        <v>1</v>
      </c>
      <c r="BL603">
        <v>1</v>
      </c>
      <c r="BO603">
        <v>1</v>
      </c>
      <c r="BW603">
        <v>1</v>
      </c>
      <c r="CB603">
        <v>1</v>
      </c>
      <c r="DI603">
        <v>1</v>
      </c>
      <c r="DV603">
        <v>1</v>
      </c>
      <c r="EI603">
        <v>1</v>
      </c>
      <c r="FV603" s="18">
        <f t="shared" si="618"/>
        <v>9.6530920060331829E-2</v>
      </c>
    </row>
    <row r="604" spans="1:178" ht="14.25" customHeight="1" x14ac:dyDescent="0.25">
      <c r="A604" s="86" t="s">
        <v>273</v>
      </c>
      <c r="B604">
        <v>9</v>
      </c>
      <c r="C604">
        <v>15</v>
      </c>
      <c r="D604" s="27" t="s">
        <v>10</v>
      </c>
      <c r="E604" s="27" t="s">
        <v>10</v>
      </c>
      <c r="F604" s="27" t="s">
        <v>9</v>
      </c>
      <c r="G604" s="27" t="s">
        <v>231</v>
      </c>
      <c r="H604" s="25" t="s">
        <v>220</v>
      </c>
      <c r="I604">
        <v>1</v>
      </c>
      <c r="J604">
        <v>1</v>
      </c>
      <c r="K604">
        <v>1</v>
      </c>
      <c r="L604">
        <v>1</v>
      </c>
      <c r="M604">
        <v>1</v>
      </c>
      <c r="N604">
        <v>1</v>
      </c>
      <c r="O604">
        <v>1</v>
      </c>
      <c r="V604">
        <v>1</v>
      </c>
      <c r="W604">
        <v>1</v>
      </c>
      <c r="X604">
        <v>1</v>
      </c>
      <c r="Y604">
        <v>1</v>
      </c>
      <c r="Z604">
        <v>1</v>
      </c>
      <c r="AI604">
        <v>1</v>
      </c>
      <c r="AK604">
        <v>1</v>
      </c>
      <c r="AL604">
        <v>1</v>
      </c>
      <c r="AM604">
        <v>1</v>
      </c>
      <c r="AY604">
        <v>1</v>
      </c>
      <c r="BM604">
        <v>1</v>
      </c>
      <c r="CA604">
        <v>1</v>
      </c>
      <c r="CO604">
        <v>1</v>
      </c>
      <c r="DC604">
        <v>1</v>
      </c>
      <c r="FV604" s="18">
        <f t="shared" si="612"/>
        <v>8.7481146304675711E-2</v>
      </c>
    </row>
    <row r="605" spans="1:178" ht="14.25" customHeight="1" x14ac:dyDescent="0.25">
      <c r="A605" s="86" t="s">
        <v>273</v>
      </c>
      <c r="B605">
        <v>9</v>
      </c>
      <c r="C605">
        <v>15</v>
      </c>
      <c r="D605" s="27" t="s">
        <v>10</v>
      </c>
      <c r="E605" s="27" t="s">
        <v>10</v>
      </c>
      <c r="F605" s="27" t="s">
        <v>9</v>
      </c>
      <c r="G605" s="27" t="s">
        <v>231</v>
      </c>
      <c r="H605" s="27" t="s">
        <v>196</v>
      </c>
      <c r="AB605">
        <v>1</v>
      </c>
      <c r="AC605">
        <v>1</v>
      </c>
      <c r="AD605">
        <v>1</v>
      </c>
      <c r="AE605">
        <v>1</v>
      </c>
      <c r="AF605">
        <v>1</v>
      </c>
      <c r="AG605">
        <v>1</v>
      </c>
      <c r="AO605">
        <v>1</v>
      </c>
      <c r="AP605">
        <v>1</v>
      </c>
      <c r="AQ605">
        <v>1</v>
      </c>
      <c r="AR605">
        <v>1</v>
      </c>
      <c r="BB605">
        <v>1</v>
      </c>
      <c r="BC605">
        <v>1</v>
      </c>
      <c r="BD605">
        <v>1</v>
      </c>
      <c r="BE605">
        <v>1</v>
      </c>
      <c r="BP605">
        <v>1</v>
      </c>
      <c r="BW605">
        <v>1</v>
      </c>
      <c r="BX605">
        <v>1</v>
      </c>
      <c r="BY605">
        <v>1</v>
      </c>
      <c r="BZ605">
        <v>1</v>
      </c>
      <c r="CC605">
        <v>1</v>
      </c>
      <c r="CJ605">
        <v>1</v>
      </c>
      <c r="CP605">
        <v>1</v>
      </c>
      <c r="FV605" s="18">
        <f t="shared" si="612"/>
        <v>9.6530920060331829E-2</v>
      </c>
    </row>
    <row r="606" spans="1:178" ht="14.25" customHeight="1" x14ac:dyDescent="0.25">
      <c r="A606" s="86" t="s">
        <v>273</v>
      </c>
      <c r="B606">
        <v>9</v>
      </c>
      <c r="C606">
        <v>15</v>
      </c>
      <c r="D606" s="27" t="s">
        <v>10</v>
      </c>
      <c r="E606" s="27" t="s">
        <v>10</v>
      </c>
      <c r="F606" s="27" t="s">
        <v>8</v>
      </c>
      <c r="G606" s="27" t="s">
        <v>231</v>
      </c>
      <c r="H606" s="25" t="s">
        <v>220</v>
      </c>
      <c r="I606">
        <v>1</v>
      </c>
      <c r="J606">
        <v>1</v>
      </c>
      <c r="K606">
        <v>1</v>
      </c>
      <c r="L606">
        <v>1</v>
      </c>
      <c r="M606">
        <v>1</v>
      </c>
      <c r="N606">
        <v>1</v>
      </c>
      <c r="O606">
        <v>1</v>
      </c>
      <c r="V606">
        <v>1</v>
      </c>
      <c r="W606">
        <v>1</v>
      </c>
      <c r="X606">
        <v>1</v>
      </c>
      <c r="Y606">
        <v>1</v>
      </c>
      <c r="Z606">
        <v>1</v>
      </c>
      <c r="AI606">
        <v>1</v>
      </c>
      <c r="AK606">
        <v>1</v>
      </c>
      <c r="AL606">
        <v>1</v>
      </c>
      <c r="AM606">
        <v>1</v>
      </c>
      <c r="AY606">
        <v>1</v>
      </c>
      <c r="BM606">
        <v>1</v>
      </c>
      <c r="CA606">
        <v>1</v>
      </c>
      <c r="CO606">
        <v>1</v>
      </c>
      <c r="DC606">
        <v>1</v>
      </c>
      <c r="FV606" s="18">
        <f t="shared" ref="FV606:FV607" si="619">SUMPRODUCT(I606:FU606,$I$1:$FU$1)/(SUM($I$1:$FU$1))</f>
        <v>8.7481146304675711E-2</v>
      </c>
    </row>
    <row r="607" spans="1:178" ht="14.25" customHeight="1" x14ac:dyDescent="0.25">
      <c r="A607" s="86" t="s">
        <v>273</v>
      </c>
      <c r="B607">
        <v>9</v>
      </c>
      <c r="C607">
        <v>15</v>
      </c>
      <c r="D607" s="27" t="s">
        <v>10</v>
      </c>
      <c r="E607" s="27" t="s">
        <v>10</v>
      </c>
      <c r="F607" s="27" t="s">
        <v>8</v>
      </c>
      <c r="G607" s="27" t="s">
        <v>231</v>
      </c>
      <c r="H607" s="27" t="s">
        <v>196</v>
      </c>
      <c r="AB607">
        <v>1</v>
      </c>
      <c r="AC607">
        <v>1</v>
      </c>
      <c r="AD607">
        <v>1</v>
      </c>
      <c r="AE607">
        <v>1</v>
      </c>
      <c r="AF607">
        <v>1</v>
      </c>
      <c r="AG607">
        <v>1</v>
      </c>
      <c r="AO607">
        <v>1</v>
      </c>
      <c r="AP607">
        <v>1</v>
      </c>
      <c r="AQ607">
        <v>1</v>
      </c>
      <c r="AR607">
        <v>1</v>
      </c>
      <c r="BB607">
        <v>1</v>
      </c>
      <c r="BC607">
        <v>1</v>
      </c>
      <c r="BD607">
        <v>1</v>
      </c>
      <c r="BE607">
        <v>1</v>
      </c>
      <c r="BP607">
        <v>1</v>
      </c>
      <c r="BW607">
        <v>1</v>
      </c>
      <c r="BX607">
        <v>1</v>
      </c>
      <c r="BY607">
        <v>1</v>
      </c>
      <c r="BZ607">
        <v>1</v>
      </c>
      <c r="CC607">
        <v>1</v>
      </c>
      <c r="CJ607">
        <v>1</v>
      </c>
      <c r="CP607">
        <v>1</v>
      </c>
      <c r="FV607" s="18">
        <f t="shared" si="619"/>
        <v>9.6530920060331829E-2</v>
      </c>
    </row>
    <row r="608" spans="1:178" ht="14.25" customHeight="1" x14ac:dyDescent="0.25">
      <c r="A608" s="86" t="s">
        <v>273</v>
      </c>
      <c r="B608">
        <v>9</v>
      </c>
      <c r="C608">
        <v>15</v>
      </c>
      <c r="D608" s="25" t="s">
        <v>8</v>
      </c>
      <c r="E608" s="25" t="s">
        <v>234</v>
      </c>
      <c r="F608" s="8" t="s">
        <v>197</v>
      </c>
      <c r="G608" s="8" t="s">
        <v>201</v>
      </c>
      <c r="H608" s="25" t="s">
        <v>194</v>
      </c>
      <c r="I608">
        <v>1</v>
      </c>
      <c r="J608">
        <v>1</v>
      </c>
      <c r="K608">
        <v>1</v>
      </c>
      <c r="L608">
        <v>1</v>
      </c>
      <c r="M608">
        <v>1</v>
      </c>
      <c r="N608">
        <v>1</v>
      </c>
      <c r="O608">
        <v>1</v>
      </c>
      <c r="P608">
        <v>1</v>
      </c>
      <c r="V608">
        <v>1</v>
      </c>
      <c r="W608">
        <v>1</v>
      </c>
      <c r="X608">
        <v>1</v>
      </c>
      <c r="Y608">
        <v>1</v>
      </c>
      <c r="Z608">
        <v>1</v>
      </c>
      <c r="AA608">
        <v>1</v>
      </c>
      <c r="AI608">
        <v>1</v>
      </c>
      <c r="AJ608">
        <v>1</v>
      </c>
      <c r="AK608">
        <v>1</v>
      </c>
      <c r="AL608">
        <v>1</v>
      </c>
      <c r="AV608">
        <v>1</v>
      </c>
      <c r="AW608">
        <v>1</v>
      </c>
      <c r="AY608">
        <v>1</v>
      </c>
      <c r="BI608">
        <v>1</v>
      </c>
      <c r="BM608">
        <v>1</v>
      </c>
      <c r="BV608">
        <v>1</v>
      </c>
      <c r="BW608">
        <v>1</v>
      </c>
      <c r="CA608">
        <v>1</v>
      </c>
      <c r="CJ608">
        <v>1</v>
      </c>
      <c r="CK608">
        <v>1</v>
      </c>
      <c r="CO608">
        <v>1</v>
      </c>
      <c r="CW608">
        <v>1</v>
      </c>
      <c r="DC608">
        <v>1</v>
      </c>
      <c r="DN608">
        <v>1</v>
      </c>
      <c r="DQ608">
        <v>1</v>
      </c>
      <c r="DZ608">
        <v>1</v>
      </c>
      <c r="EA608">
        <v>1</v>
      </c>
      <c r="EL608">
        <v>1</v>
      </c>
      <c r="EM608">
        <v>1</v>
      </c>
      <c r="EN608">
        <v>1</v>
      </c>
      <c r="EO608">
        <v>1</v>
      </c>
      <c r="EW608">
        <v>1</v>
      </c>
      <c r="EY608">
        <v>1</v>
      </c>
      <c r="EZ608">
        <v>1</v>
      </c>
      <c r="FA608">
        <v>1</v>
      </c>
      <c r="FB608">
        <v>1</v>
      </c>
      <c r="FK608">
        <v>1</v>
      </c>
      <c r="FL608">
        <v>1</v>
      </c>
      <c r="FM608">
        <v>1</v>
      </c>
      <c r="FN608">
        <v>1</v>
      </c>
      <c r="FO608">
        <v>1</v>
      </c>
      <c r="FP608">
        <v>1</v>
      </c>
      <c r="FV608" s="18">
        <f t="shared" si="612"/>
        <v>0.33936651583710409</v>
      </c>
    </row>
    <row r="609" spans="1:178" ht="14.25" customHeight="1" x14ac:dyDescent="0.25">
      <c r="A609" s="86" t="s">
        <v>273</v>
      </c>
      <c r="B609">
        <v>9</v>
      </c>
      <c r="C609">
        <v>15</v>
      </c>
      <c r="D609" s="25" t="s">
        <v>8</v>
      </c>
      <c r="E609" s="25" t="s">
        <v>234</v>
      </c>
      <c r="F609" s="8" t="s">
        <v>197</v>
      </c>
      <c r="G609" s="8" t="s">
        <v>201</v>
      </c>
      <c r="H609" s="25" t="s">
        <v>195</v>
      </c>
      <c r="Q609">
        <v>1</v>
      </c>
      <c r="R609">
        <v>1</v>
      </c>
      <c r="S609">
        <v>1</v>
      </c>
      <c r="T609">
        <v>1</v>
      </c>
      <c r="U609">
        <v>1</v>
      </c>
      <c r="AB609">
        <v>1</v>
      </c>
      <c r="AC609">
        <v>1</v>
      </c>
      <c r="AD609">
        <v>1</v>
      </c>
      <c r="AE609">
        <v>1</v>
      </c>
      <c r="AF609">
        <v>1</v>
      </c>
      <c r="AG609">
        <v>1</v>
      </c>
      <c r="AH609">
        <v>1</v>
      </c>
      <c r="AM609">
        <v>1</v>
      </c>
      <c r="AN609">
        <v>1</v>
      </c>
      <c r="AO609">
        <v>1</v>
      </c>
      <c r="AP609">
        <v>1</v>
      </c>
      <c r="AQ609">
        <v>1</v>
      </c>
      <c r="AR609">
        <v>1</v>
      </c>
      <c r="AS609">
        <v>1</v>
      </c>
      <c r="AT609">
        <v>1</v>
      </c>
      <c r="AU609">
        <v>1</v>
      </c>
      <c r="AX609">
        <v>1</v>
      </c>
      <c r="AZ609">
        <v>1</v>
      </c>
      <c r="BA609">
        <v>1</v>
      </c>
      <c r="BB609">
        <v>1</v>
      </c>
      <c r="BC609">
        <v>1</v>
      </c>
      <c r="BD609">
        <v>1</v>
      </c>
      <c r="BE609">
        <v>1</v>
      </c>
      <c r="BF609">
        <v>1</v>
      </c>
      <c r="BG609">
        <v>1</v>
      </c>
      <c r="BH609">
        <v>1</v>
      </c>
      <c r="BJ609">
        <v>1</v>
      </c>
      <c r="BK609">
        <v>1</v>
      </c>
      <c r="BL609">
        <v>1</v>
      </c>
      <c r="BN609">
        <v>1</v>
      </c>
      <c r="BO609">
        <v>1</v>
      </c>
      <c r="BP609">
        <v>1</v>
      </c>
      <c r="BQ609">
        <v>1</v>
      </c>
      <c r="BR609">
        <v>1</v>
      </c>
      <c r="BS609">
        <v>1</v>
      </c>
      <c r="BT609">
        <v>1</v>
      </c>
      <c r="BU609">
        <v>1</v>
      </c>
      <c r="BX609">
        <v>1</v>
      </c>
      <c r="BY609">
        <v>1</v>
      </c>
      <c r="BZ609">
        <v>1</v>
      </c>
      <c r="CB609">
        <v>1</v>
      </c>
      <c r="CC609">
        <v>1</v>
      </c>
      <c r="CD609">
        <v>1</v>
      </c>
      <c r="CE609">
        <v>1</v>
      </c>
      <c r="CF609">
        <v>1</v>
      </c>
      <c r="CG609">
        <v>1</v>
      </c>
      <c r="CH609">
        <v>1</v>
      </c>
      <c r="CL609">
        <v>1</v>
      </c>
      <c r="CM609">
        <v>1</v>
      </c>
      <c r="CN609">
        <v>1</v>
      </c>
      <c r="CP609">
        <v>1</v>
      </c>
      <c r="CQ609">
        <v>1</v>
      </c>
      <c r="CR609">
        <v>1</v>
      </c>
      <c r="CS609">
        <v>1</v>
      </c>
      <c r="CT609">
        <v>1</v>
      </c>
      <c r="CU609">
        <v>1</v>
      </c>
      <c r="CX609">
        <v>1</v>
      </c>
      <c r="CY609">
        <v>1</v>
      </c>
      <c r="CZ609">
        <v>1</v>
      </c>
      <c r="DA609">
        <v>1</v>
      </c>
      <c r="DB609">
        <v>1</v>
      </c>
      <c r="DD609">
        <v>1</v>
      </c>
      <c r="DE609">
        <v>1</v>
      </c>
      <c r="DF609">
        <v>1</v>
      </c>
      <c r="DG609">
        <v>1</v>
      </c>
      <c r="DH609">
        <v>1</v>
      </c>
      <c r="DJ609">
        <v>1</v>
      </c>
      <c r="DK609">
        <v>1</v>
      </c>
      <c r="DL609">
        <v>1</v>
      </c>
      <c r="DM609">
        <v>1</v>
      </c>
      <c r="DO609">
        <v>1</v>
      </c>
      <c r="DP609">
        <v>1</v>
      </c>
      <c r="DR609">
        <v>1</v>
      </c>
      <c r="DS609">
        <v>1</v>
      </c>
      <c r="DT609">
        <v>1</v>
      </c>
      <c r="DU609">
        <v>1</v>
      </c>
      <c r="DV609">
        <v>1</v>
      </c>
      <c r="DW609">
        <v>1</v>
      </c>
      <c r="DX609">
        <v>1</v>
      </c>
      <c r="DY609">
        <v>1</v>
      </c>
      <c r="EB609">
        <v>1</v>
      </c>
      <c r="EC609">
        <v>1</v>
      </c>
      <c r="ED609">
        <v>1</v>
      </c>
      <c r="EF609">
        <v>1</v>
      </c>
      <c r="EG609">
        <v>1</v>
      </c>
      <c r="EH609">
        <v>1</v>
      </c>
      <c r="EJ609">
        <v>1</v>
      </c>
      <c r="EK609">
        <v>1</v>
      </c>
      <c r="EP609">
        <v>1</v>
      </c>
      <c r="EQ609">
        <v>1</v>
      </c>
      <c r="ER609">
        <v>1</v>
      </c>
      <c r="ET609">
        <v>1</v>
      </c>
      <c r="EU609">
        <v>1</v>
      </c>
      <c r="EX609">
        <v>1</v>
      </c>
      <c r="FC609">
        <v>1</v>
      </c>
      <c r="FD609">
        <v>1</v>
      </c>
      <c r="FE609">
        <v>1</v>
      </c>
      <c r="FF609">
        <v>1</v>
      </c>
      <c r="FH609">
        <v>1</v>
      </c>
      <c r="FQ609">
        <v>1</v>
      </c>
      <c r="FR609">
        <v>1</v>
      </c>
      <c r="FS609">
        <v>1</v>
      </c>
      <c r="FT609">
        <v>1</v>
      </c>
      <c r="FV609" s="18">
        <f t="shared" si="612"/>
        <v>0.579185520361991</v>
      </c>
    </row>
    <row r="610" spans="1:178" ht="14.25" customHeight="1" x14ac:dyDescent="0.25">
      <c r="A610" s="86" t="s">
        <v>273</v>
      </c>
      <c r="B610">
        <v>9</v>
      </c>
      <c r="C610">
        <v>15</v>
      </c>
      <c r="D610" s="25" t="s">
        <v>8</v>
      </c>
      <c r="E610" s="25" t="s">
        <v>234</v>
      </c>
      <c r="F610" s="8" t="s">
        <v>197</v>
      </c>
      <c r="G610" s="8" t="s">
        <v>201</v>
      </c>
      <c r="H610" s="25" t="s">
        <v>220</v>
      </c>
      <c r="CI610">
        <v>1</v>
      </c>
      <c r="CV610">
        <v>1</v>
      </c>
      <c r="DI610">
        <v>1</v>
      </c>
      <c r="EE610">
        <v>1</v>
      </c>
      <c r="EI610">
        <v>1</v>
      </c>
      <c r="ES610">
        <v>1</v>
      </c>
      <c r="EV610">
        <v>1</v>
      </c>
      <c r="FG610">
        <v>1</v>
      </c>
      <c r="FI610">
        <v>1</v>
      </c>
      <c r="FJ610">
        <v>1</v>
      </c>
      <c r="FU610">
        <v>1</v>
      </c>
      <c r="FV610" s="18">
        <f t="shared" si="612"/>
        <v>8.1447963800904979E-2</v>
      </c>
    </row>
    <row r="611" spans="1:178" ht="14.25" customHeight="1" x14ac:dyDescent="0.25">
      <c r="A611" s="86" t="s">
        <v>273</v>
      </c>
      <c r="B611">
        <v>9</v>
      </c>
      <c r="C611">
        <v>15</v>
      </c>
      <c r="D611" s="27" t="s">
        <v>9</v>
      </c>
      <c r="E611" s="27" t="s">
        <v>235</v>
      </c>
      <c r="F611" s="27" t="s">
        <v>197</v>
      </c>
      <c r="G611" s="27" t="s">
        <v>201</v>
      </c>
      <c r="H611" s="27" t="s">
        <v>195</v>
      </c>
      <c r="I611">
        <v>1</v>
      </c>
      <c r="J611">
        <v>1</v>
      </c>
      <c r="K611">
        <v>1</v>
      </c>
      <c r="L611">
        <v>1</v>
      </c>
      <c r="M611">
        <v>1</v>
      </c>
      <c r="P611">
        <v>1</v>
      </c>
      <c r="Q611">
        <v>1</v>
      </c>
      <c r="R611">
        <v>1</v>
      </c>
      <c r="S611">
        <v>1</v>
      </c>
      <c r="T611">
        <v>1</v>
      </c>
      <c r="U611">
        <v>1</v>
      </c>
      <c r="W611">
        <v>1</v>
      </c>
      <c r="X611">
        <v>1</v>
      </c>
      <c r="Y611">
        <v>1</v>
      </c>
      <c r="Z611">
        <v>1</v>
      </c>
      <c r="AA611">
        <v>1</v>
      </c>
      <c r="AB611">
        <v>1</v>
      </c>
      <c r="AJ611">
        <v>1</v>
      </c>
      <c r="AK611">
        <v>1</v>
      </c>
      <c r="AL611">
        <v>1</v>
      </c>
      <c r="AM611">
        <v>1</v>
      </c>
      <c r="AN611">
        <v>1</v>
      </c>
      <c r="AX611">
        <v>1</v>
      </c>
      <c r="AY611">
        <v>1</v>
      </c>
      <c r="AZ611">
        <v>1</v>
      </c>
      <c r="BA611">
        <v>1</v>
      </c>
      <c r="BJ611">
        <v>1</v>
      </c>
      <c r="BK611">
        <v>1</v>
      </c>
      <c r="BL611">
        <v>1</v>
      </c>
      <c r="BM611">
        <v>1</v>
      </c>
      <c r="BN611">
        <v>1</v>
      </c>
      <c r="CA611">
        <v>1</v>
      </c>
      <c r="CO611">
        <v>1</v>
      </c>
      <c r="DC611">
        <v>1</v>
      </c>
      <c r="FV611" s="18">
        <f t="shared" si="612"/>
        <v>0.14479638009049775</v>
      </c>
    </row>
    <row r="612" spans="1:178" ht="14.25" customHeight="1" x14ac:dyDescent="0.25">
      <c r="A612" s="86" t="s">
        <v>273</v>
      </c>
      <c r="B612">
        <v>9</v>
      </c>
      <c r="C612">
        <v>15</v>
      </c>
      <c r="D612" s="27" t="s">
        <v>9</v>
      </c>
      <c r="E612" s="27" t="s">
        <v>235</v>
      </c>
      <c r="F612" s="27" t="s">
        <v>197</v>
      </c>
      <c r="G612" s="27" t="s">
        <v>201</v>
      </c>
      <c r="H612" s="27" t="s">
        <v>196</v>
      </c>
      <c r="AC612">
        <v>1</v>
      </c>
      <c r="AD612">
        <v>1</v>
      </c>
      <c r="AE612">
        <v>1</v>
      </c>
      <c r="AF612">
        <v>1</v>
      </c>
      <c r="AG612">
        <v>1</v>
      </c>
      <c r="AH612">
        <v>1</v>
      </c>
      <c r="AO612">
        <v>1</v>
      </c>
      <c r="AP612">
        <v>1</v>
      </c>
      <c r="AS612">
        <v>1</v>
      </c>
      <c r="AT612">
        <v>1</v>
      </c>
      <c r="AU612">
        <v>1</v>
      </c>
      <c r="BC612">
        <v>1</v>
      </c>
      <c r="BD612">
        <v>1</v>
      </c>
      <c r="BF612">
        <v>1</v>
      </c>
      <c r="BG612">
        <v>1</v>
      </c>
      <c r="BH612">
        <v>1</v>
      </c>
      <c r="BQ612">
        <v>1</v>
      </c>
      <c r="BR612">
        <v>1</v>
      </c>
      <c r="BS612">
        <v>1</v>
      </c>
      <c r="BT612">
        <v>1</v>
      </c>
      <c r="BU612">
        <v>1</v>
      </c>
      <c r="BX612">
        <v>1</v>
      </c>
      <c r="BY612">
        <v>1</v>
      </c>
      <c r="BZ612">
        <v>1</v>
      </c>
      <c r="CE612">
        <v>1</v>
      </c>
      <c r="CF612">
        <v>1</v>
      </c>
      <c r="CG612">
        <v>1</v>
      </c>
      <c r="CH612">
        <v>1</v>
      </c>
      <c r="CJ612">
        <v>1</v>
      </c>
      <c r="CK612">
        <v>1</v>
      </c>
      <c r="CL612">
        <v>1</v>
      </c>
      <c r="CM612">
        <v>1</v>
      </c>
      <c r="CN612">
        <v>1</v>
      </c>
      <c r="CR612">
        <v>1</v>
      </c>
      <c r="CS612">
        <v>1</v>
      </c>
      <c r="CT612">
        <v>1</v>
      </c>
      <c r="CU612">
        <v>1</v>
      </c>
      <c r="CX612">
        <v>1</v>
      </c>
      <c r="CY612">
        <v>1</v>
      </c>
      <c r="CZ612">
        <v>1</v>
      </c>
      <c r="DA612">
        <v>1</v>
      </c>
      <c r="DF612">
        <v>1</v>
      </c>
      <c r="DG612">
        <v>1</v>
      </c>
      <c r="DH612">
        <v>1</v>
      </c>
      <c r="DL612">
        <v>1</v>
      </c>
      <c r="DM612">
        <v>1</v>
      </c>
      <c r="DN612">
        <v>1</v>
      </c>
      <c r="DO612">
        <v>1</v>
      </c>
      <c r="DP612">
        <v>1</v>
      </c>
      <c r="DS612">
        <v>1</v>
      </c>
      <c r="DT612">
        <v>1</v>
      </c>
      <c r="DU612">
        <v>1</v>
      </c>
      <c r="DW612">
        <v>1</v>
      </c>
      <c r="DX612">
        <v>1</v>
      </c>
      <c r="DY612">
        <v>1</v>
      </c>
      <c r="DZ612">
        <v>1</v>
      </c>
      <c r="EA612">
        <v>1</v>
      </c>
      <c r="EB612">
        <v>1</v>
      </c>
      <c r="EC612">
        <v>1</v>
      </c>
      <c r="ED612">
        <v>1</v>
      </c>
      <c r="EF612">
        <v>1</v>
      </c>
      <c r="EG612">
        <v>1</v>
      </c>
      <c r="EH612">
        <v>1</v>
      </c>
      <c r="EJ612">
        <v>1</v>
      </c>
      <c r="EK612">
        <v>1</v>
      </c>
      <c r="EL612">
        <v>1</v>
      </c>
      <c r="EM612">
        <v>1</v>
      </c>
      <c r="ER612">
        <v>1</v>
      </c>
      <c r="ET612">
        <v>1</v>
      </c>
      <c r="EU612">
        <v>1</v>
      </c>
      <c r="EW612">
        <v>1</v>
      </c>
      <c r="EX612">
        <v>1</v>
      </c>
      <c r="EY612">
        <v>1</v>
      </c>
      <c r="EZ612">
        <v>1</v>
      </c>
      <c r="FH612">
        <v>1</v>
      </c>
      <c r="FJ612">
        <v>1</v>
      </c>
      <c r="FK612">
        <v>1</v>
      </c>
      <c r="FL612">
        <v>1</v>
      </c>
      <c r="FV612" s="18">
        <f t="shared" si="612"/>
        <v>0.45852187028657615</v>
      </c>
    </row>
    <row r="613" spans="1:178" ht="14.25" customHeight="1" x14ac:dyDescent="0.25">
      <c r="A613" s="86" t="s">
        <v>273</v>
      </c>
      <c r="B613">
        <v>9</v>
      </c>
      <c r="C613">
        <v>15</v>
      </c>
      <c r="D613" s="25" t="s">
        <v>9</v>
      </c>
      <c r="E613" s="25" t="s">
        <v>8</v>
      </c>
      <c r="F613" s="8" t="s">
        <v>197</v>
      </c>
      <c r="G613" s="8" t="s">
        <v>201</v>
      </c>
      <c r="H613" s="25" t="s">
        <v>220</v>
      </c>
      <c r="J613">
        <v>1</v>
      </c>
      <c r="K613">
        <v>1</v>
      </c>
      <c r="L613">
        <v>1</v>
      </c>
      <c r="M613">
        <v>1</v>
      </c>
      <c r="P613">
        <v>1</v>
      </c>
      <c r="Q613">
        <v>1</v>
      </c>
      <c r="R613">
        <v>1</v>
      </c>
      <c r="S613">
        <v>1</v>
      </c>
      <c r="T613">
        <v>1</v>
      </c>
      <c r="U613">
        <v>1</v>
      </c>
      <c r="AG613">
        <v>1</v>
      </c>
      <c r="AH613">
        <v>1</v>
      </c>
      <c r="AJ613">
        <v>1</v>
      </c>
      <c r="AS613">
        <v>1</v>
      </c>
      <c r="AT613">
        <v>1</v>
      </c>
      <c r="AU613">
        <v>1</v>
      </c>
      <c r="BF613">
        <v>1</v>
      </c>
      <c r="BM613">
        <v>1</v>
      </c>
      <c r="CA613">
        <v>1</v>
      </c>
      <c r="CO613">
        <v>1</v>
      </c>
      <c r="DC613">
        <v>1</v>
      </c>
      <c r="FV613" s="18">
        <f t="shared" si="612"/>
        <v>7.5414781297134234E-2</v>
      </c>
    </row>
    <row r="614" spans="1:178" ht="14.25" customHeight="1" x14ac:dyDescent="0.25">
      <c r="A614" s="86" t="s">
        <v>273</v>
      </c>
      <c r="B614">
        <v>9</v>
      </c>
      <c r="C614">
        <v>15</v>
      </c>
      <c r="D614" s="25" t="s">
        <v>9</v>
      </c>
      <c r="E614" s="25" t="s">
        <v>8</v>
      </c>
      <c r="F614" s="8" t="s">
        <v>197</v>
      </c>
      <c r="G614" s="8" t="s">
        <v>201</v>
      </c>
      <c r="H614" s="25" t="s">
        <v>195</v>
      </c>
      <c r="I614">
        <v>1</v>
      </c>
      <c r="W614">
        <v>1</v>
      </c>
      <c r="X614">
        <v>1</v>
      </c>
      <c r="Y614">
        <v>1</v>
      </c>
      <c r="Z614">
        <v>1</v>
      </c>
      <c r="AA614">
        <v>1</v>
      </c>
      <c r="AB614">
        <v>1</v>
      </c>
      <c r="AC614">
        <v>1</v>
      </c>
      <c r="AD614">
        <v>1</v>
      </c>
      <c r="AE614">
        <v>1</v>
      </c>
      <c r="AF614">
        <v>1</v>
      </c>
      <c r="AK614">
        <v>1</v>
      </c>
      <c r="AL614">
        <v>1</v>
      </c>
      <c r="AM614">
        <v>1</v>
      </c>
      <c r="AN614">
        <v>1</v>
      </c>
      <c r="AO614">
        <v>1</v>
      </c>
      <c r="AP614">
        <v>1</v>
      </c>
      <c r="AX614">
        <v>1</v>
      </c>
      <c r="AY614">
        <v>1</v>
      </c>
      <c r="AZ614">
        <v>1</v>
      </c>
      <c r="BA614">
        <v>1</v>
      </c>
      <c r="BB614">
        <v>1</v>
      </c>
      <c r="BC614">
        <v>1</v>
      </c>
      <c r="BD614">
        <v>1</v>
      </c>
      <c r="BG614">
        <v>1</v>
      </c>
      <c r="BH614">
        <v>1</v>
      </c>
      <c r="BJ614">
        <v>1</v>
      </c>
      <c r="BK614">
        <v>1</v>
      </c>
      <c r="BL614">
        <v>1</v>
      </c>
      <c r="BN614">
        <v>1</v>
      </c>
      <c r="BR614">
        <v>1</v>
      </c>
      <c r="BS614">
        <v>1</v>
      </c>
      <c r="BT614">
        <v>1</v>
      </c>
      <c r="BU614">
        <v>1</v>
      </c>
      <c r="BX614">
        <v>1</v>
      </c>
      <c r="BY614">
        <v>1</v>
      </c>
      <c r="BZ614">
        <v>1</v>
      </c>
      <c r="CE614">
        <v>1</v>
      </c>
      <c r="CJ614">
        <v>1</v>
      </c>
      <c r="CK614">
        <v>1</v>
      </c>
      <c r="CL614">
        <v>1</v>
      </c>
      <c r="CM614">
        <v>1</v>
      </c>
      <c r="CN614">
        <v>1</v>
      </c>
      <c r="CR614">
        <v>1</v>
      </c>
      <c r="CS614">
        <v>1</v>
      </c>
      <c r="CX614">
        <v>1</v>
      </c>
      <c r="CY614">
        <v>1</v>
      </c>
      <c r="DA614">
        <v>1</v>
      </c>
      <c r="DF614">
        <v>1</v>
      </c>
      <c r="DS614">
        <v>1</v>
      </c>
      <c r="DT614">
        <v>1</v>
      </c>
      <c r="DW614">
        <v>1</v>
      </c>
      <c r="DX614">
        <v>1</v>
      </c>
      <c r="EF614">
        <v>1</v>
      </c>
      <c r="EG614">
        <v>1</v>
      </c>
      <c r="EH614">
        <v>1</v>
      </c>
      <c r="EJ614">
        <v>1</v>
      </c>
      <c r="ET614">
        <v>1</v>
      </c>
      <c r="EW614">
        <v>1</v>
      </c>
      <c r="FV614" s="18">
        <f t="shared" si="612"/>
        <v>0.29864253393665158</v>
      </c>
    </row>
    <row r="615" spans="1:178" ht="14.25" customHeight="1" x14ac:dyDescent="0.25">
      <c r="A615" s="86" t="s">
        <v>273</v>
      </c>
      <c r="B615">
        <v>9</v>
      </c>
      <c r="C615">
        <v>15</v>
      </c>
      <c r="D615" s="25" t="s">
        <v>9</v>
      </c>
      <c r="E615" s="25" t="s">
        <v>8</v>
      </c>
      <c r="F615" s="8" t="s">
        <v>197</v>
      </c>
      <c r="G615" s="8" t="s">
        <v>201</v>
      </c>
      <c r="H615" s="25" t="s">
        <v>196</v>
      </c>
      <c r="CF615">
        <v>1</v>
      </c>
      <c r="CG615">
        <v>1</v>
      </c>
      <c r="CH615">
        <v>1</v>
      </c>
      <c r="CT615">
        <v>1</v>
      </c>
      <c r="CU615">
        <v>1</v>
      </c>
      <c r="CZ615">
        <v>1</v>
      </c>
      <c r="DG615">
        <v>1</v>
      </c>
      <c r="DH615">
        <v>1</v>
      </c>
      <c r="DL615">
        <v>1</v>
      </c>
      <c r="DM615">
        <v>1</v>
      </c>
      <c r="DN615">
        <v>1</v>
      </c>
      <c r="DO615">
        <v>1</v>
      </c>
      <c r="DP615">
        <v>1</v>
      </c>
      <c r="DU615">
        <v>1</v>
      </c>
      <c r="DY615">
        <v>1</v>
      </c>
      <c r="DZ615">
        <v>1</v>
      </c>
      <c r="EA615">
        <v>1</v>
      </c>
      <c r="EB615">
        <v>1</v>
      </c>
      <c r="EC615">
        <v>1</v>
      </c>
      <c r="ED615">
        <v>1</v>
      </c>
      <c r="EK615">
        <v>1</v>
      </c>
      <c r="EL615">
        <v>1</v>
      </c>
      <c r="EM615">
        <v>1</v>
      </c>
      <c r="ER615">
        <v>1</v>
      </c>
      <c r="EU615">
        <v>1</v>
      </c>
      <c r="EX615">
        <v>1</v>
      </c>
      <c r="EY615">
        <v>1</v>
      </c>
      <c r="EZ615">
        <v>1</v>
      </c>
      <c r="FH615">
        <v>1</v>
      </c>
      <c r="FJ615">
        <v>1</v>
      </c>
      <c r="FK615">
        <v>1</v>
      </c>
      <c r="FL615">
        <v>1</v>
      </c>
      <c r="FV615" s="18">
        <f t="shared" si="612"/>
        <v>0.22926093514328807</v>
      </c>
    </row>
    <row r="616" spans="1:178" ht="14.25" customHeight="1" x14ac:dyDescent="0.25">
      <c r="A616" s="86" t="s">
        <v>273</v>
      </c>
      <c r="B616">
        <v>9</v>
      </c>
      <c r="C616">
        <v>15</v>
      </c>
      <c r="D616" s="25" t="s">
        <v>8</v>
      </c>
      <c r="E616" s="25" t="s">
        <v>8</v>
      </c>
      <c r="F616" s="25" t="s">
        <v>9</v>
      </c>
      <c r="G616" s="8" t="s">
        <v>201</v>
      </c>
      <c r="H616" s="25" t="s">
        <v>220</v>
      </c>
      <c r="I616">
        <v>1</v>
      </c>
      <c r="J616">
        <v>1</v>
      </c>
      <c r="K616">
        <v>1</v>
      </c>
      <c r="L616">
        <v>1</v>
      </c>
      <c r="M616">
        <v>1</v>
      </c>
      <c r="N616">
        <v>1</v>
      </c>
      <c r="O616">
        <v>1</v>
      </c>
      <c r="P616">
        <v>1</v>
      </c>
      <c r="V616">
        <v>1</v>
      </c>
      <c r="W616">
        <v>1</v>
      </c>
      <c r="X616">
        <v>1</v>
      </c>
      <c r="Y616">
        <v>1</v>
      </c>
      <c r="Z616">
        <v>1</v>
      </c>
      <c r="AA616">
        <v>1</v>
      </c>
      <c r="AI616">
        <v>1</v>
      </c>
      <c r="AJ616">
        <v>1</v>
      </c>
      <c r="AK616">
        <v>1</v>
      </c>
      <c r="AL616">
        <v>1</v>
      </c>
      <c r="AV616">
        <v>1</v>
      </c>
      <c r="AW616">
        <v>1</v>
      </c>
      <c r="AY616">
        <v>1</v>
      </c>
      <c r="BI616">
        <v>1</v>
      </c>
      <c r="BM616">
        <v>1</v>
      </c>
      <c r="BV616">
        <v>1</v>
      </c>
      <c r="CA616">
        <v>1</v>
      </c>
      <c r="CI616">
        <v>1</v>
      </c>
      <c r="CO616">
        <v>1</v>
      </c>
      <c r="DC616">
        <v>1</v>
      </c>
      <c r="DQ616">
        <v>1</v>
      </c>
      <c r="FV616" s="18">
        <f t="shared" si="612"/>
        <v>0.14932126696832579</v>
      </c>
    </row>
    <row r="617" spans="1:178" ht="14.25" customHeight="1" x14ac:dyDescent="0.25">
      <c r="A617" s="86" t="s">
        <v>273</v>
      </c>
      <c r="B617">
        <v>9</v>
      </c>
      <c r="C617">
        <v>15</v>
      </c>
      <c r="D617" s="25" t="s">
        <v>8</v>
      </c>
      <c r="E617" s="25" t="s">
        <v>8</v>
      </c>
      <c r="F617" s="25" t="s">
        <v>9</v>
      </c>
      <c r="G617" s="8" t="s">
        <v>201</v>
      </c>
      <c r="H617" s="25" t="s">
        <v>196</v>
      </c>
      <c r="BW617">
        <v>1</v>
      </c>
      <c r="CJ617">
        <v>1</v>
      </c>
      <c r="CK617">
        <v>1</v>
      </c>
      <c r="CW617">
        <v>1</v>
      </c>
      <c r="DN617">
        <v>1</v>
      </c>
      <c r="DZ617">
        <v>1</v>
      </c>
      <c r="EA617">
        <v>1</v>
      </c>
      <c r="EL617">
        <v>1</v>
      </c>
      <c r="EM617">
        <v>1</v>
      </c>
      <c r="EN617">
        <v>1</v>
      </c>
      <c r="EO617">
        <v>1</v>
      </c>
      <c r="EW617">
        <v>1</v>
      </c>
      <c r="EY617">
        <v>1</v>
      </c>
      <c r="EZ617">
        <v>1</v>
      </c>
      <c r="FA617">
        <v>1</v>
      </c>
      <c r="FB617">
        <v>1</v>
      </c>
      <c r="FK617">
        <v>1</v>
      </c>
      <c r="FL617">
        <v>1</v>
      </c>
      <c r="FM617">
        <v>1</v>
      </c>
      <c r="FN617">
        <v>1</v>
      </c>
      <c r="FO617">
        <v>1</v>
      </c>
      <c r="FP617">
        <v>1</v>
      </c>
      <c r="FV617" s="18">
        <f t="shared" si="612"/>
        <v>0.19909502262443438</v>
      </c>
    </row>
    <row r="618" spans="1:178" ht="14.25" customHeight="1" x14ac:dyDescent="0.25">
      <c r="A618" s="86" t="s">
        <v>273</v>
      </c>
      <c r="B618">
        <v>9</v>
      </c>
      <c r="C618">
        <v>15</v>
      </c>
      <c r="D618" s="25" t="s">
        <v>8</v>
      </c>
      <c r="E618" s="25" t="s">
        <v>9</v>
      </c>
      <c r="F618" s="8" t="s">
        <v>197</v>
      </c>
      <c r="G618" s="8" t="s">
        <v>201</v>
      </c>
      <c r="H618" s="27" t="s">
        <v>220</v>
      </c>
      <c r="I618">
        <v>1</v>
      </c>
      <c r="J618">
        <v>1</v>
      </c>
      <c r="K618">
        <v>1</v>
      </c>
      <c r="L618">
        <v>1</v>
      </c>
      <c r="M618">
        <v>1</v>
      </c>
      <c r="N618">
        <v>1</v>
      </c>
      <c r="O618">
        <v>1</v>
      </c>
      <c r="P618">
        <v>1</v>
      </c>
      <c r="Q618">
        <v>1</v>
      </c>
      <c r="R618">
        <v>1</v>
      </c>
      <c r="S618">
        <v>1</v>
      </c>
      <c r="T618">
        <v>1</v>
      </c>
      <c r="U618">
        <v>1</v>
      </c>
      <c r="V618">
        <v>1</v>
      </c>
      <c r="W618">
        <v>1</v>
      </c>
      <c r="X618">
        <v>1</v>
      </c>
      <c r="Y618">
        <v>1</v>
      </c>
      <c r="Z618">
        <v>1</v>
      </c>
      <c r="AA618">
        <v>1</v>
      </c>
      <c r="AB618">
        <v>1</v>
      </c>
      <c r="AC618">
        <v>1</v>
      </c>
      <c r="AI618">
        <v>1</v>
      </c>
      <c r="AJ618">
        <v>1</v>
      </c>
      <c r="AK618">
        <v>1</v>
      </c>
      <c r="AL618">
        <v>1</v>
      </c>
      <c r="AM618">
        <v>1</v>
      </c>
      <c r="AN618">
        <v>1</v>
      </c>
      <c r="AV618">
        <v>1</v>
      </c>
      <c r="AW618">
        <v>1</v>
      </c>
      <c r="AX618">
        <v>1</v>
      </c>
      <c r="AY618">
        <v>1</v>
      </c>
      <c r="AZ618">
        <v>1</v>
      </c>
      <c r="BA618">
        <v>1</v>
      </c>
      <c r="BI618">
        <v>1</v>
      </c>
      <c r="BJ618">
        <v>1</v>
      </c>
      <c r="BL618">
        <v>1</v>
      </c>
      <c r="BM618">
        <v>1</v>
      </c>
      <c r="BN618">
        <v>1</v>
      </c>
      <c r="BV618">
        <v>1</v>
      </c>
      <c r="CA618">
        <v>1</v>
      </c>
      <c r="CI618">
        <v>1</v>
      </c>
      <c r="CO618">
        <v>1</v>
      </c>
      <c r="CV618">
        <v>1</v>
      </c>
      <c r="DC618">
        <v>1</v>
      </c>
      <c r="DI618">
        <v>1</v>
      </c>
      <c r="DQ618">
        <v>1</v>
      </c>
      <c r="DV618">
        <v>1</v>
      </c>
      <c r="EE618">
        <v>1</v>
      </c>
      <c r="EI618">
        <v>1</v>
      </c>
      <c r="ES618">
        <v>1</v>
      </c>
      <c r="EV618">
        <v>1</v>
      </c>
      <c r="FG618">
        <v>1</v>
      </c>
      <c r="FI618">
        <v>1</v>
      </c>
      <c r="FU618">
        <v>1</v>
      </c>
      <c r="FV618" s="18">
        <f t="shared" ref="FV618" si="620">SUMPRODUCT(I618:FU618,$I$1:$FU$1)/(SUM($I$1:$FU$1))</f>
        <v>0.28506787330316741</v>
      </c>
    </row>
    <row r="619" spans="1:178" ht="14.25" customHeight="1" x14ac:dyDescent="0.25"/>
    <row r="620" spans="1:178" ht="14.25" customHeight="1" x14ac:dyDescent="0.25"/>
    <row r="621" spans="1:178" ht="14.25" customHeight="1" x14ac:dyDescent="0.25"/>
    <row r="622" spans="1:178" ht="14.25" customHeight="1" x14ac:dyDescent="0.25"/>
    <row r="623" spans="1:178" ht="14.25" customHeight="1" x14ac:dyDescent="0.25"/>
    <row r="624" spans="1:178"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sheetData>
  <autoFilter ref="A2:FV618" xr:uid="{00000000-0001-0000-0300-000000000000}"/>
  <phoneticPr fontId="27" type="noConversion"/>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BA389-80C8-44B7-9687-3CDA3177F120}">
  <sheetPr codeName="Sheet4"/>
  <dimension ref="A1:FN1000"/>
  <sheetViews>
    <sheetView workbookViewId="0">
      <selection activeCell="B20" sqref="B20:AD20"/>
    </sheetView>
  </sheetViews>
  <sheetFormatPr defaultColWidth="14.42578125" defaultRowHeight="15" customHeight="1" x14ac:dyDescent="0.25"/>
  <cols>
    <col min="1" max="1" width="5.85546875" customWidth="1"/>
    <col min="2" max="16" width="5.42578125" customWidth="1"/>
    <col min="17" max="17" width="6.85546875" customWidth="1"/>
    <col min="18" max="23" width="5.42578125" customWidth="1"/>
    <col min="24" max="24" width="9.42578125" customWidth="1"/>
    <col min="25" max="27" width="5.42578125" customWidth="1"/>
    <col min="28" max="28" width="6.85546875" customWidth="1"/>
    <col min="29" max="31" width="5.42578125" customWidth="1"/>
    <col min="32" max="32" width="6.140625" customWidth="1"/>
    <col min="33" max="493" width="5.42578125" customWidth="1"/>
  </cols>
  <sheetData>
    <row r="1" spans="1:17" ht="14.25" customHeight="1" x14ac:dyDescent="0.25">
      <c r="B1" s="1" t="s">
        <v>0</v>
      </c>
      <c r="C1" s="1" t="s">
        <v>1</v>
      </c>
      <c r="D1" s="1" t="s">
        <v>2</v>
      </c>
      <c r="E1" s="1" t="s">
        <v>3</v>
      </c>
      <c r="F1" s="1" t="s">
        <v>4</v>
      </c>
      <c r="G1" s="1">
        <v>9</v>
      </c>
      <c r="H1" s="1">
        <v>8</v>
      </c>
      <c r="I1" s="1">
        <v>7</v>
      </c>
      <c r="J1" s="1">
        <v>6</v>
      </c>
      <c r="K1" s="1">
        <v>5</v>
      </c>
      <c r="L1" s="1">
        <v>4</v>
      </c>
      <c r="M1" s="1">
        <v>3</v>
      </c>
      <c r="N1" s="1">
        <v>2</v>
      </c>
    </row>
    <row r="2" spans="1:17" ht="14.25" customHeight="1" x14ac:dyDescent="0.25">
      <c r="A2" s="1" t="s">
        <v>0</v>
      </c>
      <c r="B2" s="9">
        <v>1</v>
      </c>
      <c r="C2" s="9">
        <v>1</v>
      </c>
      <c r="D2" s="9"/>
      <c r="E2" s="9"/>
      <c r="F2" s="9"/>
      <c r="G2" s="9"/>
      <c r="H2" s="9"/>
      <c r="I2" s="9"/>
      <c r="J2" s="9"/>
      <c r="K2" s="9"/>
      <c r="L2" s="9"/>
      <c r="M2" s="9"/>
      <c r="N2" s="9"/>
    </row>
    <row r="3" spans="1:17" ht="14.25" customHeight="1" x14ac:dyDescent="0.25">
      <c r="A3" s="1" t="s">
        <v>1</v>
      </c>
      <c r="B3" s="9">
        <v>1</v>
      </c>
      <c r="C3" s="9">
        <v>1</v>
      </c>
      <c r="D3" s="9"/>
      <c r="E3" s="9"/>
      <c r="F3" s="9"/>
      <c r="G3" s="9"/>
      <c r="H3" s="9"/>
      <c r="I3" s="9"/>
      <c r="J3" s="9"/>
      <c r="K3" s="9"/>
      <c r="L3" s="9"/>
      <c r="M3" s="9"/>
      <c r="N3" s="9"/>
      <c r="Q3" s="16">
        <f>SUMPRODUCT(B20:FN20,Charts!$I$1:$FU$1)/(SUM(Charts!$I$1:$FU$1))</f>
        <v>2.564102564102564E-2</v>
      </c>
    </row>
    <row r="4" spans="1:17" ht="14.25" customHeight="1" x14ac:dyDescent="0.25">
      <c r="A4" s="1" t="s">
        <v>2</v>
      </c>
      <c r="B4" s="9"/>
      <c r="C4" s="9"/>
      <c r="D4" s="9">
        <v>1</v>
      </c>
      <c r="E4" s="9"/>
      <c r="F4" s="9"/>
      <c r="G4" s="9"/>
      <c r="H4" s="9"/>
      <c r="I4" s="9"/>
      <c r="J4" s="9"/>
      <c r="K4" s="9"/>
      <c r="L4" s="9"/>
      <c r="M4" s="9"/>
      <c r="N4" s="9"/>
    </row>
    <row r="5" spans="1:17" ht="14.25" customHeight="1" x14ac:dyDescent="0.25">
      <c r="A5" s="1" t="s">
        <v>3</v>
      </c>
      <c r="B5" s="9"/>
      <c r="C5" s="9"/>
      <c r="D5" s="9"/>
      <c r="E5" s="9"/>
      <c r="F5" s="9"/>
      <c r="G5" s="9"/>
      <c r="H5" s="9"/>
      <c r="I5" s="9"/>
      <c r="J5" s="9"/>
      <c r="K5" s="9"/>
      <c r="L5" s="9"/>
      <c r="M5" s="9"/>
      <c r="N5" s="9"/>
    </row>
    <row r="6" spans="1:17" ht="14.25" customHeight="1" x14ac:dyDescent="0.25">
      <c r="A6" s="1" t="s">
        <v>4</v>
      </c>
      <c r="B6" s="9"/>
      <c r="C6" s="9"/>
      <c r="D6" s="9"/>
      <c r="E6" s="9"/>
      <c r="F6" s="9"/>
      <c r="G6" s="9"/>
      <c r="H6" s="9"/>
      <c r="I6" s="9"/>
      <c r="J6" s="9"/>
      <c r="K6" s="9"/>
      <c r="L6" s="9"/>
      <c r="M6" s="9"/>
      <c r="N6" s="9"/>
    </row>
    <row r="7" spans="1:17" ht="14.25" customHeight="1" x14ac:dyDescent="0.25">
      <c r="A7" s="1">
        <v>9</v>
      </c>
      <c r="B7" s="9"/>
      <c r="C7" s="9"/>
      <c r="D7" s="9"/>
      <c r="E7" s="9"/>
      <c r="F7" s="9"/>
      <c r="G7" s="9"/>
      <c r="H7" s="9"/>
      <c r="I7" s="9"/>
      <c r="J7" s="9"/>
      <c r="K7" s="9"/>
      <c r="L7" s="9"/>
      <c r="M7" s="9"/>
      <c r="N7" s="9"/>
    </row>
    <row r="8" spans="1:17" ht="14.25" customHeight="1" x14ac:dyDescent="0.25">
      <c r="A8" s="1">
        <v>8</v>
      </c>
      <c r="B8" s="9"/>
      <c r="C8" s="9"/>
      <c r="D8" s="9"/>
      <c r="E8" s="9"/>
      <c r="F8" s="9"/>
      <c r="G8" s="9"/>
      <c r="H8" s="9"/>
      <c r="I8" s="9"/>
      <c r="J8" s="9"/>
      <c r="K8" s="9"/>
      <c r="L8" s="9"/>
      <c r="M8" s="9"/>
      <c r="N8" s="9"/>
    </row>
    <row r="9" spans="1:17" ht="14.25" customHeight="1" x14ac:dyDescent="0.25">
      <c r="A9" s="1">
        <v>7</v>
      </c>
      <c r="B9" s="9"/>
      <c r="C9" s="9"/>
      <c r="D9" s="9"/>
      <c r="E9" s="9"/>
      <c r="F9" s="9"/>
      <c r="G9" s="9"/>
      <c r="H9" s="9"/>
      <c r="I9" s="9"/>
      <c r="J9" s="9"/>
      <c r="K9" s="9"/>
      <c r="L9" s="9"/>
      <c r="M9" s="9"/>
      <c r="N9" s="9"/>
    </row>
    <row r="10" spans="1:17" ht="14.25" customHeight="1" x14ac:dyDescent="0.25">
      <c r="A10" s="1">
        <v>6</v>
      </c>
      <c r="B10" s="9"/>
      <c r="C10" s="9"/>
      <c r="D10" s="9"/>
      <c r="E10" s="9"/>
      <c r="F10" s="9"/>
      <c r="G10" s="9"/>
      <c r="H10" s="9"/>
      <c r="I10" s="9"/>
      <c r="J10" s="9"/>
      <c r="K10" s="9"/>
      <c r="L10" s="9"/>
      <c r="M10" s="9"/>
      <c r="N10" s="9"/>
    </row>
    <row r="11" spans="1:17" ht="14.25" customHeight="1" x14ac:dyDescent="0.25">
      <c r="A11" s="1">
        <v>5</v>
      </c>
      <c r="B11" s="9"/>
      <c r="C11" s="9"/>
      <c r="D11" s="9"/>
      <c r="E11" s="9"/>
      <c r="F11" s="9"/>
      <c r="G11" s="9"/>
      <c r="H11" s="9"/>
      <c r="I11" s="9"/>
      <c r="J11" s="9"/>
      <c r="K11" s="9"/>
      <c r="L11" s="9"/>
      <c r="M11" s="9"/>
      <c r="N11" s="9"/>
    </row>
    <row r="12" spans="1:17" ht="14.25" customHeight="1" x14ac:dyDescent="0.25">
      <c r="A12" s="1">
        <v>4</v>
      </c>
      <c r="B12" s="9"/>
      <c r="C12" s="9"/>
      <c r="D12" s="9"/>
      <c r="E12" s="9"/>
      <c r="F12" s="9"/>
      <c r="G12" s="9"/>
      <c r="H12" s="9"/>
      <c r="I12" s="9"/>
      <c r="J12" s="9"/>
      <c r="K12" s="9"/>
      <c r="L12" s="9"/>
      <c r="M12" s="9"/>
      <c r="N12" s="9"/>
    </row>
    <row r="13" spans="1:17" ht="14.25" customHeight="1" x14ac:dyDescent="0.25">
      <c r="A13" s="1">
        <v>3</v>
      </c>
      <c r="B13" s="9"/>
      <c r="C13" s="9"/>
      <c r="D13" s="9"/>
      <c r="E13" s="9"/>
      <c r="F13" s="9"/>
      <c r="G13" s="9"/>
      <c r="H13" s="9"/>
      <c r="I13" s="9"/>
      <c r="J13" s="9"/>
      <c r="K13" s="9"/>
      <c r="L13" s="9"/>
      <c r="M13" s="9"/>
      <c r="N13" s="9"/>
    </row>
    <row r="14" spans="1:17" ht="14.25" customHeight="1" x14ac:dyDescent="0.25">
      <c r="A14" s="1">
        <v>2</v>
      </c>
      <c r="B14" s="9"/>
      <c r="C14" s="9"/>
      <c r="D14" s="9"/>
      <c r="E14" s="9"/>
      <c r="F14" s="9"/>
      <c r="G14" s="9"/>
      <c r="H14" s="9"/>
      <c r="I14" s="9"/>
      <c r="J14" s="9"/>
      <c r="K14" s="9"/>
      <c r="L14" s="9"/>
      <c r="M14" s="9"/>
      <c r="N14" s="9"/>
    </row>
    <row r="15" spans="1:17" ht="14.25" customHeight="1" x14ac:dyDescent="0.25"/>
    <row r="16" spans="1:17" ht="14.25" customHeight="1" x14ac:dyDescent="0.25"/>
    <row r="17" spans="2:170" ht="14.25" customHeight="1" x14ac:dyDescent="0.25"/>
    <row r="18" spans="2:170" ht="14.25" customHeight="1" x14ac:dyDescent="0.25"/>
    <row r="19" spans="2:170" ht="14.25" customHeight="1" x14ac:dyDescent="0.25">
      <c r="B19" s="6" t="s">
        <v>17</v>
      </c>
      <c r="C19" s="6" t="s">
        <v>18</v>
      </c>
      <c r="D19" s="6" t="s">
        <v>19</v>
      </c>
      <c r="E19" s="6" t="s">
        <v>20</v>
      </c>
      <c r="F19" s="6" t="s">
        <v>21</v>
      </c>
      <c r="G19" s="6" t="s">
        <v>22</v>
      </c>
      <c r="H19" s="6" t="s">
        <v>23</v>
      </c>
      <c r="I19" s="6" t="s">
        <v>24</v>
      </c>
      <c r="J19" s="6" t="s">
        <v>25</v>
      </c>
      <c r="K19" s="6" t="s">
        <v>26</v>
      </c>
      <c r="L19" s="6" t="s">
        <v>27</v>
      </c>
      <c r="M19" s="6" t="s">
        <v>28</v>
      </c>
      <c r="N19" s="6" t="s">
        <v>29</v>
      </c>
      <c r="O19" s="6" t="s">
        <v>30</v>
      </c>
      <c r="P19" s="6" t="s">
        <v>31</v>
      </c>
      <c r="Q19" s="6" t="s">
        <v>32</v>
      </c>
      <c r="R19" s="6" t="s">
        <v>33</v>
      </c>
      <c r="S19" s="6" t="s">
        <v>34</v>
      </c>
      <c r="T19" s="6" t="s">
        <v>35</v>
      </c>
      <c r="U19" s="6" t="s">
        <v>36</v>
      </c>
      <c r="V19" s="6" t="s">
        <v>37</v>
      </c>
      <c r="W19" s="6" t="s">
        <v>38</v>
      </c>
      <c r="X19" s="6" t="s">
        <v>39</v>
      </c>
      <c r="Y19" s="6" t="s">
        <v>40</v>
      </c>
      <c r="Z19" s="6" t="s">
        <v>41</v>
      </c>
      <c r="AA19" s="6" t="s">
        <v>42</v>
      </c>
      <c r="AB19" s="6" t="s">
        <v>43</v>
      </c>
      <c r="AC19" s="6" t="s">
        <v>44</v>
      </c>
      <c r="AD19" s="6" t="s">
        <v>45</v>
      </c>
      <c r="AE19" s="6" t="s">
        <v>46</v>
      </c>
      <c r="AF19" s="6" t="s">
        <v>47</v>
      </c>
      <c r="AG19" s="6" t="s">
        <v>48</v>
      </c>
      <c r="AH19" s="6" t="s">
        <v>49</v>
      </c>
      <c r="AI19" s="6" t="s">
        <v>50</v>
      </c>
      <c r="AJ19" s="6" t="s">
        <v>51</v>
      </c>
      <c r="AK19" s="6" t="s">
        <v>52</v>
      </c>
      <c r="AL19" s="6" t="s">
        <v>53</v>
      </c>
      <c r="AM19" s="6" t="s">
        <v>54</v>
      </c>
      <c r="AN19" s="6" t="s">
        <v>55</v>
      </c>
      <c r="AO19" s="6" t="s">
        <v>56</v>
      </c>
      <c r="AP19" s="6" t="s">
        <v>57</v>
      </c>
      <c r="AQ19" s="6" t="s">
        <v>58</v>
      </c>
      <c r="AR19" s="6" t="s">
        <v>59</v>
      </c>
      <c r="AS19" s="6" t="s">
        <v>60</v>
      </c>
      <c r="AT19" s="6" t="s">
        <v>61</v>
      </c>
      <c r="AU19" s="6" t="s">
        <v>62</v>
      </c>
      <c r="AV19" s="6" t="s">
        <v>63</v>
      </c>
      <c r="AW19" s="6" t="s">
        <v>64</v>
      </c>
      <c r="AX19" s="6" t="s">
        <v>65</v>
      </c>
      <c r="AY19" s="6" t="s">
        <v>66</v>
      </c>
      <c r="AZ19" s="6" t="s">
        <v>67</v>
      </c>
      <c r="BA19" s="6" t="s">
        <v>68</v>
      </c>
      <c r="BB19" s="6" t="s">
        <v>69</v>
      </c>
      <c r="BC19" s="6" t="s">
        <v>70</v>
      </c>
      <c r="BD19" s="6" t="s">
        <v>71</v>
      </c>
      <c r="BE19" s="6" t="s">
        <v>72</v>
      </c>
      <c r="BF19" s="6" t="s">
        <v>73</v>
      </c>
      <c r="BG19" s="6" t="s">
        <v>74</v>
      </c>
      <c r="BH19" s="6" t="s">
        <v>75</v>
      </c>
      <c r="BI19" s="6" t="s">
        <v>76</v>
      </c>
      <c r="BJ19" s="6" t="s">
        <v>77</v>
      </c>
      <c r="BK19" s="6" t="s">
        <v>78</v>
      </c>
      <c r="BL19" s="6" t="s">
        <v>79</v>
      </c>
      <c r="BM19" s="6" t="s">
        <v>80</v>
      </c>
      <c r="BN19" s="6" t="s">
        <v>81</v>
      </c>
      <c r="BO19" s="6" t="s">
        <v>82</v>
      </c>
      <c r="BP19" s="6" t="s">
        <v>83</v>
      </c>
      <c r="BQ19" s="6" t="s">
        <v>84</v>
      </c>
      <c r="BR19" s="6" t="s">
        <v>85</v>
      </c>
      <c r="BS19" s="6" t="s">
        <v>86</v>
      </c>
      <c r="BT19" s="6" t="s">
        <v>87</v>
      </c>
      <c r="BU19" s="6" t="s">
        <v>88</v>
      </c>
      <c r="BV19" s="6" t="s">
        <v>89</v>
      </c>
      <c r="BW19" s="6" t="s">
        <v>90</v>
      </c>
      <c r="BX19" s="6" t="s">
        <v>91</v>
      </c>
      <c r="BY19" s="6" t="s">
        <v>92</v>
      </c>
      <c r="BZ19" s="6" t="s">
        <v>93</v>
      </c>
      <c r="CA19" s="6" t="s">
        <v>94</v>
      </c>
      <c r="CB19" s="6" t="s">
        <v>95</v>
      </c>
      <c r="CC19" s="6" t="s">
        <v>96</v>
      </c>
      <c r="CD19" s="6" t="s">
        <v>97</v>
      </c>
      <c r="CE19" s="6" t="s">
        <v>98</v>
      </c>
      <c r="CF19" s="6" t="s">
        <v>99</v>
      </c>
      <c r="CG19" s="6" t="s">
        <v>100</v>
      </c>
      <c r="CH19" s="6" t="s">
        <v>101</v>
      </c>
      <c r="CI19" s="6" t="s">
        <v>102</v>
      </c>
      <c r="CJ19" s="6" t="s">
        <v>103</v>
      </c>
      <c r="CK19" s="6" t="s">
        <v>104</v>
      </c>
      <c r="CL19" s="6" t="s">
        <v>105</v>
      </c>
      <c r="CM19" s="6" t="s">
        <v>106</v>
      </c>
      <c r="CN19" s="6" t="s">
        <v>107</v>
      </c>
      <c r="CO19" s="6" t="s">
        <v>108</v>
      </c>
      <c r="CP19" s="6" t="s">
        <v>109</v>
      </c>
      <c r="CQ19" s="6" t="s">
        <v>110</v>
      </c>
      <c r="CR19" s="6" t="s">
        <v>111</v>
      </c>
      <c r="CS19" s="6" t="s">
        <v>112</v>
      </c>
      <c r="CT19" s="6" t="s">
        <v>113</v>
      </c>
      <c r="CU19" s="6" t="s">
        <v>114</v>
      </c>
      <c r="CV19" s="6" t="s">
        <v>115</v>
      </c>
      <c r="CW19" s="6" t="s">
        <v>116</v>
      </c>
      <c r="CX19" s="6" t="s">
        <v>117</v>
      </c>
      <c r="CY19" s="6" t="s">
        <v>118</v>
      </c>
      <c r="CZ19" s="6" t="s">
        <v>119</v>
      </c>
      <c r="DA19" s="6" t="s">
        <v>120</v>
      </c>
      <c r="DB19" s="6" t="s">
        <v>121</v>
      </c>
      <c r="DC19" s="6" t="s">
        <v>122</v>
      </c>
      <c r="DD19" s="6" t="s">
        <v>123</v>
      </c>
      <c r="DE19" s="6" t="s">
        <v>124</v>
      </c>
      <c r="DF19" s="6" t="s">
        <v>125</v>
      </c>
      <c r="DG19" s="6" t="s">
        <v>126</v>
      </c>
      <c r="DH19" s="6" t="s">
        <v>127</v>
      </c>
      <c r="DI19" s="6" t="s">
        <v>128</v>
      </c>
      <c r="DJ19" s="6" t="s">
        <v>129</v>
      </c>
      <c r="DK19" s="6" t="s">
        <v>130</v>
      </c>
      <c r="DL19" s="6" t="s">
        <v>131</v>
      </c>
      <c r="DM19" s="6" t="s">
        <v>132</v>
      </c>
      <c r="DN19" s="6" t="s">
        <v>133</v>
      </c>
      <c r="DO19" s="6" t="s">
        <v>134</v>
      </c>
      <c r="DP19" s="6" t="s">
        <v>135</v>
      </c>
      <c r="DQ19" s="6" t="s">
        <v>136</v>
      </c>
      <c r="DR19" s="6" t="s">
        <v>137</v>
      </c>
      <c r="DS19" s="6" t="s">
        <v>138</v>
      </c>
      <c r="DT19" s="6" t="s">
        <v>139</v>
      </c>
      <c r="DU19" s="6" t="s">
        <v>140</v>
      </c>
      <c r="DV19" s="6" t="s">
        <v>141</v>
      </c>
      <c r="DW19" s="6" t="s">
        <v>142</v>
      </c>
      <c r="DX19" s="6" t="s">
        <v>143</v>
      </c>
      <c r="DY19" s="6" t="s">
        <v>144</v>
      </c>
      <c r="DZ19" s="6" t="s">
        <v>145</v>
      </c>
      <c r="EA19" s="6" t="s">
        <v>146</v>
      </c>
      <c r="EB19" s="6" t="s">
        <v>147</v>
      </c>
      <c r="EC19" s="6" t="s">
        <v>148</v>
      </c>
      <c r="ED19" s="6" t="s">
        <v>149</v>
      </c>
      <c r="EE19" s="6" t="s">
        <v>150</v>
      </c>
      <c r="EF19" s="6" t="s">
        <v>151</v>
      </c>
      <c r="EG19" s="6" t="s">
        <v>152</v>
      </c>
      <c r="EH19" s="6" t="s">
        <v>153</v>
      </c>
      <c r="EI19" s="6" t="s">
        <v>154</v>
      </c>
      <c r="EJ19" s="6" t="s">
        <v>155</v>
      </c>
      <c r="EK19" s="6" t="s">
        <v>156</v>
      </c>
      <c r="EL19" s="6" t="s">
        <v>157</v>
      </c>
      <c r="EM19" s="6" t="s">
        <v>158</v>
      </c>
      <c r="EN19" s="6" t="s">
        <v>159</v>
      </c>
      <c r="EO19" s="6" t="s">
        <v>160</v>
      </c>
      <c r="EP19" s="6" t="s">
        <v>161</v>
      </c>
      <c r="EQ19" s="6" t="s">
        <v>162</v>
      </c>
      <c r="ER19" s="6" t="s">
        <v>163</v>
      </c>
      <c r="ES19" s="6" t="s">
        <v>164</v>
      </c>
      <c r="ET19" s="6" t="s">
        <v>165</v>
      </c>
      <c r="EU19" s="6" t="s">
        <v>166</v>
      </c>
      <c r="EV19" s="6" t="s">
        <v>167</v>
      </c>
      <c r="EW19" s="6" t="s">
        <v>168</v>
      </c>
      <c r="EX19" s="6" t="s">
        <v>169</v>
      </c>
      <c r="EY19" s="6" t="s">
        <v>170</v>
      </c>
      <c r="EZ19" s="6" t="s">
        <v>171</v>
      </c>
      <c r="FA19" s="6" t="s">
        <v>172</v>
      </c>
      <c r="FB19" s="6" t="s">
        <v>173</v>
      </c>
      <c r="FC19" s="6" t="s">
        <v>174</v>
      </c>
      <c r="FD19" s="6" t="s">
        <v>175</v>
      </c>
      <c r="FE19" s="6" t="s">
        <v>176</v>
      </c>
      <c r="FF19" s="6" t="s">
        <v>177</v>
      </c>
      <c r="FG19" s="6" t="s">
        <v>178</v>
      </c>
      <c r="FH19" s="6" t="s">
        <v>179</v>
      </c>
      <c r="FI19" s="6" t="s">
        <v>180</v>
      </c>
      <c r="FJ19" s="6" t="s">
        <v>181</v>
      </c>
      <c r="FK19" s="6" t="s">
        <v>182</v>
      </c>
      <c r="FL19" s="6" t="s">
        <v>183</v>
      </c>
      <c r="FM19" s="6" t="s">
        <v>184</v>
      </c>
      <c r="FN19" s="6" t="s">
        <v>185</v>
      </c>
    </row>
    <row r="20" spans="2:170" ht="14.25" customHeight="1" x14ac:dyDescent="0.25">
      <c r="B20">
        <f>B2</f>
        <v>1</v>
      </c>
      <c r="C20">
        <f t="shared" ref="C20:M20" si="0">C2</f>
        <v>1</v>
      </c>
      <c r="D20">
        <f t="shared" si="0"/>
        <v>0</v>
      </c>
      <c r="E20">
        <f t="shared" si="0"/>
        <v>0</v>
      </c>
      <c r="F20">
        <f t="shared" si="0"/>
        <v>0</v>
      </c>
      <c r="G20">
        <f t="shared" si="0"/>
        <v>0</v>
      </c>
      <c r="H20">
        <f t="shared" si="0"/>
        <v>0</v>
      </c>
      <c r="I20">
        <f t="shared" si="0"/>
        <v>0</v>
      </c>
      <c r="J20">
        <f t="shared" si="0"/>
        <v>0</v>
      </c>
      <c r="K20">
        <f t="shared" si="0"/>
        <v>0</v>
      </c>
      <c r="L20">
        <f t="shared" si="0"/>
        <v>0</v>
      </c>
      <c r="M20">
        <f t="shared" si="0"/>
        <v>0</v>
      </c>
      <c r="N20">
        <f>N2</f>
        <v>0</v>
      </c>
      <c r="O20">
        <f>B3</f>
        <v>1</v>
      </c>
      <c r="P20">
        <f t="shared" ref="P20:Z20" si="1">C3</f>
        <v>1</v>
      </c>
      <c r="Q20">
        <f t="shared" si="1"/>
        <v>0</v>
      </c>
      <c r="R20">
        <f t="shared" si="1"/>
        <v>0</v>
      </c>
      <c r="S20">
        <f t="shared" si="1"/>
        <v>0</v>
      </c>
      <c r="T20">
        <f t="shared" si="1"/>
        <v>0</v>
      </c>
      <c r="U20">
        <f t="shared" si="1"/>
        <v>0</v>
      </c>
      <c r="V20">
        <f t="shared" si="1"/>
        <v>0</v>
      </c>
      <c r="W20">
        <f t="shared" si="1"/>
        <v>0</v>
      </c>
      <c r="X20">
        <f t="shared" si="1"/>
        <v>0</v>
      </c>
      <c r="Y20">
        <f t="shared" si="1"/>
        <v>0</v>
      </c>
      <c r="Z20">
        <f t="shared" si="1"/>
        <v>0</v>
      </c>
      <c r="AA20">
        <f>N3</f>
        <v>0</v>
      </c>
      <c r="AB20">
        <f>B4</f>
        <v>0</v>
      </c>
      <c r="AC20">
        <f t="shared" ref="AC20:AN20" si="2">C4</f>
        <v>0</v>
      </c>
      <c r="AD20">
        <f t="shared" si="2"/>
        <v>1</v>
      </c>
      <c r="AE20">
        <f t="shared" si="2"/>
        <v>0</v>
      </c>
      <c r="AF20">
        <f t="shared" si="2"/>
        <v>0</v>
      </c>
      <c r="AG20">
        <f t="shared" si="2"/>
        <v>0</v>
      </c>
      <c r="AH20">
        <f t="shared" si="2"/>
        <v>0</v>
      </c>
      <c r="AI20">
        <f t="shared" si="2"/>
        <v>0</v>
      </c>
      <c r="AJ20">
        <f t="shared" si="2"/>
        <v>0</v>
      </c>
      <c r="AK20">
        <f t="shared" si="2"/>
        <v>0</v>
      </c>
      <c r="AL20">
        <f t="shared" si="2"/>
        <v>0</v>
      </c>
      <c r="AM20">
        <f t="shared" si="2"/>
        <v>0</v>
      </c>
      <c r="AN20">
        <f t="shared" si="2"/>
        <v>0</v>
      </c>
      <c r="AO20">
        <f>B5</f>
        <v>0</v>
      </c>
      <c r="AP20">
        <f t="shared" ref="AP20:BA20" si="3">C5</f>
        <v>0</v>
      </c>
      <c r="AQ20">
        <f t="shared" si="3"/>
        <v>0</v>
      </c>
      <c r="AR20">
        <f t="shared" si="3"/>
        <v>0</v>
      </c>
      <c r="AS20">
        <f t="shared" si="3"/>
        <v>0</v>
      </c>
      <c r="AT20">
        <f t="shared" si="3"/>
        <v>0</v>
      </c>
      <c r="AU20">
        <f t="shared" si="3"/>
        <v>0</v>
      </c>
      <c r="AV20">
        <f t="shared" si="3"/>
        <v>0</v>
      </c>
      <c r="AW20">
        <f t="shared" si="3"/>
        <v>0</v>
      </c>
      <c r="AX20">
        <f t="shared" si="3"/>
        <v>0</v>
      </c>
      <c r="AY20">
        <f t="shared" si="3"/>
        <v>0</v>
      </c>
      <c r="AZ20">
        <f t="shared" si="3"/>
        <v>0</v>
      </c>
      <c r="BA20">
        <f t="shared" si="3"/>
        <v>0</v>
      </c>
      <c r="BB20">
        <f>B6</f>
        <v>0</v>
      </c>
      <c r="BC20">
        <f t="shared" ref="BC20:BN20" si="4">C6</f>
        <v>0</v>
      </c>
      <c r="BD20">
        <f t="shared" si="4"/>
        <v>0</v>
      </c>
      <c r="BE20">
        <f t="shared" si="4"/>
        <v>0</v>
      </c>
      <c r="BF20">
        <f t="shared" si="4"/>
        <v>0</v>
      </c>
      <c r="BG20">
        <f t="shared" si="4"/>
        <v>0</v>
      </c>
      <c r="BH20">
        <f t="shared" si="4"/>
        <v>0</v>
      </c>
      <c r="BI20">
        <f t="shared" si="4"/>
        <v>0</v>
      </c>
      <c r="BJ20">
        <f t="shared" si="4"/>
        <v>0</v>
      </c>
      <c r="BK20">
        <f t="shared" si="4"/>
        <v>0</v>
      </c>
      <c r="BL20">
        <f t="shared" si="4"/>
        <v>0</v>
      </c>
      <c r="BM20">
        <f t="shared" si="4"/>
        <v>0</v>
      </c>
      <c r="BN20">
        <f t="shared" si="4"/>
        <v>0</v>
      </c>
      <c r="BO20">
        <f>B7</f>
        <v>0</v>
      </c>
      <c r="BP20">
        <f t="shared" ref="BP20:CA20" si="5">C7</f>
        <v>0</v>
      </c>
      <c r="BQ20">
        <f t="shared" si="5"/>
        <v>0</v>
      </c>
      <c r="BR20">
        <f t="shared" si="5"/>
        <v>0</v>
      </c>
      <c r="BS20">
        <f t="shared" si="5"/>
        <v>0</v>
      </c>
      <c r="BT20">
        <f t="shared" si="5"/>
        <v>0</v>
      </c>
      <c r="BU20">
        <f t="shared" si="5"/>
        <v>0</v>
      </c>
      <c r="BV20">
        <f t="shared" si="5"/>
        <v>0</v>
      </c>
      <c r="BW20">
        <f t="shared" si="5"/>
        <v>0</v>
      </c>
      <c r="BX20">
        <f t="shared" si="5"/>
        <v>0</v>
      </c>
      <c r="BY20">
        <f t="shared" si="5"/>
        <v>0</v>
      </c>
      <c r="BZ20">
        <f t="shared" si="5"/>
        <v>0</v>
      </c>
      <c r="CA20">
        <f t="shared" si="5"/>
        <v>0</v>
      </c>
      <c r="CB20">
        <f>B8</f>
        <v>0</v>
      </c>
      <c r="CC20">
        <f t="shared" ref="CC20:CN20" si="6">C8</f>
        <v>0</v>
      </c>
      <c r="CD20">
        <f t="shared" si="6"/>
        <v>0</v>
      </c>
      <c r="CE20">
        <f t="shared" si="6"/>
        <v>0</v>
      </c>
      <c r="CF20">
        <f t="shared" si="6"/>
        <v>0</v>
      </c>
      <c r="CG20">
        <f t="shared" si="6"/>
        <v>0</v>
      </c>
      <c r="CH20">
        <f t="shared" si="6"/>
        <v>0</v>
      </c>
      <c r="CI20">
        <f t="shared" si="6"/>
        <v>0</v>
      </c>
      <c r="CJ20">
        <f t="shared" si="6"/>
        <v>0</v>
      </c>
      <c r="CK20">
        <f t="shared" si="6"/>
        <v>0</v>
      </c>
      <c r="CL20">
        <f t="shared" si="6"/>
        <v>0</v>
      </c>
      <c r="CM20">
        <f t="shared" si="6"/>
        <v>0</v>
      </c>
      <c r="CN20">
        <f t="shared" si="6"/>
        <v>0</v>
      </c>
      <c r="CO20">
        <f>B9</f>
        <v>0</v>
      </c>
      <c r="CP20">
        <f t="shared" ref="CP20:DA20" si="7">C9</f>
        <v>0</v>
      </c>
      <c r="CQ20">
        <f t="shared" si="7"/>
        <v>0</v>
      </c>
      <c r="CR20">
        <f t="shared" si="7"/>
        <v>0</v>
      </c>
      <c r="CS20">
        <f t="shared" si="7"/>
        <v>0</v>
      </c>
      <c r="CT20">
        <f t="shared" si="7"/>
        <v>0</v>
      </c>
      <c r="CU20">
        <f t="shared" si="7"/>
        <v>0</v>
      </c>
      <c r="CV20">
        <f t="shared" si="7"/>
        <v>0</v>
      </c>
      <c r="CW20">
        <f t="shared" si="7"/>
        <v>0</v>
      </c>
      <c r="CX20">
        <f t="shared" si="7"/>
        <v>0</v>
      </c>
      <c r="CY20">
        <f t="shared" si="7"/>
        <v>0</v>
      </c>
      <c r="CZ20">
        <f t="shared" si="7"/>
        <v>0</v>
      </c>
      <c r="DA20">
        <f t="shared" si="7"/>
        <v>0</v>
      </c>
      <c r="DB20">
        <f>B10</f>
        <v>0</v>
      </c>
      <c r="DC20">
        <f t="shared" ref="DC20:DN20" si="8">C10</f>
        <v>0</v>
      </c>
      <c r="DD20">
        <f t="shared" si="8"/>
        <v>0</v>
      </c>
      <c r="DE20">
        <f t="shared" si="8"/>
        <v>0</v>
      </c>
      <c r="DF20">
        <f t="shared" si="8"/>
        <v>0</v>
      </c>
      <c r="DG20">
        <f t="shared" si="8"/>
        <v>0</v>
      </c>
      <c r="DH20">
        <f t="shared" si="8"/>
        <v>0</v>
      </c>
      <c r="DI20">
        <f t="shared" si="8"/>
        <v>0</v>
      </c>
      <c r="DJ20">
        <f t="shared" si="8"/>
        <v>0</v>
      </c>
      <c r="DK20">
        <f t="shared" si="8"/>
        <v>0</v>
      </c>
      <c r="DL20">
        <f t="shared" si="8"/>
        <v>0</v>
      </c>
      <c r="DM20">
        <f t="shared" si="8"/>
        <v>0</v>
      </c>
      <c r="DN20">
        <f t="shared" si="8"/>
        <v>0</v>
      </c>
      <c r="DO20">
        <f>B11</f>
        <v>0</v>
      </c>
      <c r="DP20">
        <f t="shared" ref="DP20:EA20" si="9">C11</f>
        <v>0</v>
      </c>
      <c r="DQ20">
        <f t="shared" si="9"/>
        <v>0</v>
      </c>
      <c r="DR20">
        <f t="shared" si="9"/>
        <v>0</v>
      </c>
      <c r="DS20">
        <f t="shared" si="9"/>
        <v>0</v>
      </c>
      <c r="DT20">
        <f t="shared" si="9"/>
        <v>0</v>
      </c>
      <c r="DU20">
        <f t="shared" si="9"/>
        <v>0</v>
      </c>
      <c r="DV20">
        <f t="shared" si="9"/>
        <v>0</v>
      </c>
      <c r="DW20">
        <f t="shared" si="9"/>
        <v>0</v>
      </c>
      <c r="DX20">
        <f t="shared" si="9"/>
        <v>0</v>
      </c>
      <c r="DY20">
        <f t="shared" si="9"/>
        <v>0</v>
      </c>
      <c r="DZ20">
        <f t="shared" si="9"/>
        <v>0</v>
      </c>
      <c r="EA20">
        <f t="shared" si="9"/>
        <v>0</v>
      </c>
      <c r="EB20">
        <f>B12</f>
        <v>0</v>
      </c>
      <c r="EC20">
        <f t="shared" ref="EC20:EN20" si="10">C12</f>
        <v>0</v>
      </c>
      <c r="ED20">
        <f t="shared" si="10"/>
        <v>0</v>
      </c>
      <c r="EE20">
        <f t="shared" si="10"/>
        <v>0</v>
      </c>
      <c r="EF20">
        <f t="shared" si="10"/>
        <v>0</v>
      </c>
      <c r="EG20">
        <f t="shared" si="10"/>
        <v>0</v>
      </c>
      <c r="EH20">
        <f t="shared" si="10"/>
        <v>0</v>
      </c>
      <c r="EI20">
        <f t="shared" si="10"/>
        <v>0</v>
      </c>
      <c r="EJ20">
        <f t="shared" si="10"/>
        <v>0</v>
      </c>
      <c r="EK20">
        <f t="shared" si="10"/>
        <v>0</v>
      </c>
      <c r="EL20">
        <f t="shared" si="10"/>
        <v>0</v>
      </c>
      <c r="EM20">
        <f t="shared" si="10"/>
        <v>0</v>
      </c>
      <c r="EN20">
        <f t="shared" si="10"/>
        <v>0</v>
      </c>
      <c r="EO20">
        <f>B13</f>
        <v>0</v>
      </c>
      <c r="EP20">
        <f t="shared" ref="EP20:FA20" si="11">C13</f>
        <v>0</v>
      </c>
      <c r="EQ20">
        <f t="shared" si="11"/>
        <v>0</v>
      </c>
      <c r="ER20">
        <f t="shared" si="11"/>
        <v>0</v>
      </c>
      <c r="ES20">
        <f t="shared" si="11"/>
        <v>0</v>
      </c>
      <c r="ET20">
        <f t="shared" si="11"/>
        <v>0</v>
      </c>
      <c r="EU20">
        <f t="shared" si="11"/>
        <v>0</v>
      </c>
      <c r="EV20">
        <f t="shared" si="11"/>
        <v>0</v>
      </c>
      <c r="EW20">
        <f t="shared" si="11"/>
        <v>0</v>
      </c>
      <c r="EX20">
        <f t="shared" si="11"/>
        <v>0</v>
      </c>
      <c r="EY20">
        <f t="shared" si="11"/>
        <v>0</v>
      </c>
      <c r="EZ20">
        <f t="shared" si="11"/>
        <v>0</v>
      </c>
      <c r="FA20">
        <f t="shared" si="11"/>
        <v>0</v>
      </c>
      <c r="FB20">
        <f>B14</f>
        <v>0</v>
      </c>
      <c r="FC20">
        <f t="shared" ref="FC20:FN20" si="12">C14</f>
        <v>0</v>
      </c>
      <c r="FD20">
        <f t="shared" si="12"/>
        <v>0</v>
      </c>
      <c r="FE20">
        <f t="shared" si="12"/>
        <v>0</v>
      </c>
      <c r="FF20">
        <f t="shared" si="12"/>
        <v>0</v>
      </c>
      <c r="FG20">
        <f t="shared" si="12"/>
        <v>0</v>
      </c>
      <c r="FH20">
        <f t="shared" si="12"/>
        <v>0</v>
      </c>
      <c r="FI20">
        <f t="shared" si="12"/>
        <v>0</v>
      </c>
      <c r="FJ20">
        <f t="shared" si="12"/>
        <v>0</v>
      </c>
      <c r="FK20">
        <f t="shared" si="12"/>
        <v>0</v>
      </c>
      <c r="FL20">
        <f t="shared" si="12"/>
        <v>0</v>
      </c>
      <c r="FM20">
        <f t="shared" si="12"/>
        <v>0</v>
      </c>
      <c r="FN20">
        <f t="shared" si="12"/>
        <v>0</v>
      </c>
    </row>
    <row r="21" spans="2:170" ht="14.25" customHeight="1" x14ac:dyDescent="0.25"/>
    <row r="22" spans="2:170" ht="14.25" customHeight="1" x14ac:dyDescent="0.25"/>
    <row r="23" spans="2:170" ht="14.25" customHeight="1" x14ac:dyDescent="0.25"/>
    <row r="24" spans="2:170" ht="14.25" customHeight="1" x14ac:dyDescent="0.25"/>
    <row r="25" spans="2:170" ht="14.25" customHeight="1" x14ac:dyDescent="0.25"/>
    <row r="26" spans="2:170" ht="14.25" customHeight="1" x14ac:dyDescent="0.25"/>
    <row r="27" spans="2:170" ht="14.25" customHeight="1" x14ac:dyDescent="0.25"/>
    <row r="28" spans="2:170" ht="14.25" customHeight="1" x14ac:dyDescent="0.25"/>
    <row r="29" spans="2:170" ht="14.25" customHeight="1" x14ac:dyDescent="0.25"/>
    <row r="30" spans="2:170" ht="14.25" customHeight="1" x14ac:dyDescent="0.25"/>
    <row r="31" spans="2:170" ht="14.25" customHeight="1" x14ac:dyDescent="0.25"/>
    <row r="32" spans="2:170" ht="14.25" customHeight="1" x14ac:dyDescent="0.25"/>
    <row r="33" ht="14.25" customHeight="1" x14ac:dyDescent="0.25"/>
    <row r="34" ht="14.25" customHeight="1" x14ac:dyDescent="0.25"/>
    <row r="35" ht="14.25" customHeight="1" x14ac:dyDescent="0.25"/>
    <row r="36" ht="14.25" customHeight="1" x14ac:dyDescent="0.25"/>
    <row r="37" ht="14.25" customHeight="1" x14ac:dyDescent="0.25"/>
    <row r="38" ht="14.25" customHeight="1" x14ac:dyDescent="0.25"/>
    <row r="39" ht="14.25" customHeight="1" x14ac:dyDescent="0.25"/>
    <row r="40" ht="14.25" customHeight="1" x14ac:dyDescent="0.25"/>
    <row r="41" ht="14.25" customHeight="1" x14ac:dyDescent="0.25"/>
    <row r="42" ht="14.25" customHeight="1" x14ac:dyDescent="0.25"/>
    <row r="43" ht="14.25" customHeight="1" x14ac:dyDescent="0.25"/>
    <row r="44" ht="14.25" customHeight="1" x14ac:dyDescent="0.25"/>
    <row r="45" ht="14.25" customHeight="1" x14ac:dyDescent="0.25"/>
    <row r="46" ht="14.25" customHeight="1" x14ac:dyDescent="0.25"/>
    <row r="47" ht="14.25" customHeight="1" x14ac:dyDescent="0.25"/>
    <row r="48"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7C274-8492-4D08-869C-54D2D770B5A6}">
  <sheetPr codeName="Sheet5"/>
  <dimension ref="A1:HK47"/>
  <sheetViews>
    <sheetView workbookViewId="0">
      <selection activeCell="C3" sqref="C3"/>
    </sheetView>
  </sheetViews>
  <sheetFormatPr defaultRowHeight="15" x14ac:dyDescent="0.25"/>
  <cols>
    <col min="1" max="1" width="10.7109375" customWidth="1"/>
    <col min="2" max="2" width="18.140625" customWidth="1"/>
    <col min="3" max="3" width="16.7109375" customWidth="1"/>
    <col min="5" max="5" width="10.28515625" customWidth="1"/>
    <col min="6" max="6" width="10" customWidth="1"/>
    <col min="182" max="219" width="3.140625" customWidth="1"/>
  </cols>
  <sheetData>
    <row r="1" spans="1:219" x14ac:dyDescent="0.25">
      <c r="A1" s="8" t="s">
        <v>193</v>
      </c>
      <c r="B1" s="8" t="s">
        <v>191</v>
      </c>
      <c r="C1" s="8" t="s">
        <v>187</v>
      </c>
      <c r="E1" s="71" t="s">
        <v>250</v>
      </c>
      <c r="F1" s="72" t="s">
        <v>250</v>
      </c>
      <c r="H1" s="8" t="s">
        <v>191</v>
      </c>
      <c r="O1" t="s">
        <v>190</v>
      </c>
      <c r="P1" s="8" t="s">
        <v>216</v>
      </c>
      <c r="R1" s="8"/>
      <c r="S1" s="8"/>
      <c r="T1" s="8"/>
      <c r="U1" s="8"/>
      <c r="V1" s="8" t="s">
        <v>217</v>
      </c>
      <c r="Y1" s="8"/>
      <c r="AJ1" s="44" t="s">
        <v>267</v>
      </c>
      <c r="AQ1" s="83" t="s">
        <v>194</v>
      </c>
      <c r="AR1" s="83" t="s">
        <v>195</v>
      </c>
      <c r="AS1" s="83" t="s">
        <v>196</v>
      </c>
      <c r="FZ1" s="17" t="s">
        <v>227</v>
      </c>
    </row>
    <row r="2" spans="1:219" x14ac:dyDescent="0.25">
      <c r="A2" cm="1">
        <f t="array" ref="A2">_xlfn.SWITCH(Interface!B4,9,9,8,9,7,6,6,6,5,6,4,4,3,4,2,2)</f>
        <v>9</v>
      </c>
      <c r="B2">
        <f>IF(Interface!B10&gt;PFVar!H2,PFVar!I2,IF(Interface!B10&gt;PFVar!H3,PFVar!I3,IF(Interface!B10&gt;PFVar!H4,PFVar!I4,IF(Interface!B10&gt;PFVar!H5,PFVar!I5,PFVar!I6))))</f>
        <v>100</v>
      </c>
      <c r="C2" t="str">
        <f>Interface!B7</f>
        <v>Cash</v>
      </c>
      <c r="E2" s="73"/>
      <c r="F2" s="74"/>
      <c r="H2">
        <v>75</v>
      </c>
      <c r="I2">
        <v>100</v>
      </c>
      <c r="M2">
        <v>9</v>
      </c>
      <c r="N2" s="44" t="s">
        <v>15</v>
      </c>
      <c r="O2" s="5">
        <f>PFVar!J25</f>
        <v>0</v>
      </c>
      <c r="P2">
        <f>IF(O2&gt;1,2,O2)</f>
        <v>0</v>
      </c>
      <c r="T2" s="8" t="s">
        <v>215</v>
      </c>
      <c r="V2">
        <f>MAX(PFVar!J24:R25)</f>
        <v>0</v>
      </c>
      <c r="X2" s="8"/>
      <c r="AC2" s="29" t="s">
        <v>238</v>
      </c>
      <c r="AD2" s="30" t="s">
        <v>236</v>
      </c>
      <c r="AE2" s="31" t="s">
        <v>195</v>
      </c>
      <c r="AF2" s="32" t="s">
        <v>237</v>
      </c>
      <c r="AI2">
        <v>8</v>
      </c>
      <c r="AJ2" s="46">
        <v>0</v>
      </c>
      <c r="AK2" s="46" t="s">
        <v>251</v>
      </c>
      <c r="AL2" t="str">
        <f t="shared" ref="AL2:AL9" si="0">IF(MAX(betTrackRange)=0, "", IF(playerCount=8, _xlfn.XLOOKUP(AJ2,$D$17:$D$25,$E$17:$E$25), ""))</f>
        <v/>
      </c>
      <c r="AO2" s="83" t="s">
        <v>272</v>
      </c>
      <c r="AP2" s="83" t="s">
        <v>10</v>
      </c>
      <c r="AQ2">
        <v>50.8</v>
      </c>
      <c r="AS2">
        <v>49.2</v>
      </c>
      <c r="GA2" t="s">
        <v>0</v>
      </c>
      <c r="GD2" t="s">
        <v>1</v>
      </c>
      <c r="GG2" t="s">
        <v>2</v>
      </c>
      <c r="GJ2" t="s">
        <v>3</v>
      </c>
      <c r="GM2" t="s">
        <v>4</v>
      </c>
      <c r="GP2">
        <v>9</v>
      </c>
      <c r="GS2">
        <v>8</v>
      </c>
      <c r="GV2">
        <v>7</v>
      </c>
      <c r="GY2">
        <v>6</v>
      </c>
      <c r="HB2">
        <v>5</v>
      </c>
      <c r="HE2">
        <v>4</v>
      </c>
      <c r="HH2">
        <v>3</v>
      </c>
      <c r="HK2">
        <v>2</v>
      </c>
    </row>
    <row r="3" spans="1:219" x14ac:dyDescent="0.25">
      <c r="E3" s="73"/>
      <c r="F3" s="74"/>
      <c r="H3">
        <v>40</v>
      </c>
      <c r="I3">
        <v>75</v>
      </c>
      <c r="M3">
        <v>1</v>
      </c>
      <c r="N3" s="43" t="s">
        <v>242</v>
      </c>
      <c r="O3" s="5">
        <f>PFVar!K25</f>
        <v>0</v>
      </c>
      <c r="P3">
        <f>IF(AND(O3&gt;O2, O3&gt;1, O3&gt;MAX($O$2:O2)), MAX(MAX($P$2:P2)+1,2),1)</f>
        <v>1</v>
      </c>
      <c r="T3" s="8" t="s">
        <v>7</v>
      </c>
      <c r="U3" s="8" t="s">
        <v>213</v>
      </c>
      <c r="V3" s="8" t="s">
        <v>214</v>
      </c>
      <c r="W3" s="8" t="s">
        <v>209</v>
      </c>
      <c r="X3" s="8" t="s">
        <v>210</v>
      </c>
      <c r="AB3" s="27" t="s">
        <v>239</v>
      </c>
      <c r="AC3" s="38">
        <v>0</v>
      </c>
      <c r="AD3" s="40">
        <v>0</v>
      </c>
      <c r="AE3" s="37">
        <v>0</v>
      </c>
      <c r="AF3" s="41">
        <v>0</v>
      </c>
      <c r="AI3">
        <v>8</v>
      </c>
      <c r="AJ3">
        <v>1</v>
      </c>
      <c r="AK3" s="44" t="s">
        <v>252</v>
      </c>
      <c r="AL3" t="str">
        <f t="shared" si="0"/>
        <v/>
      </c>
      <c r="AP3" s="83" t="s">
        <v>11</v>
      </c>
      <c r="AQ3">
        <v>36.200000000000003</v>
      </c>
      <c r="AS3">
        <v>63.8</v>
      </c>
      <c r="FZ3" t="s">
        <v>0</v>
      </c>
      <c r="GA3">
        <f>I39</f>
        <v>0</v>
      </c>
      <c r="GD3">
        <f>J39</f>
        <v>0</v>
      </c>
      <c r="GG3">
        <f>K39</f>
        <v>0</v>
      </c>
      <c r="GJ3">
        <f>L39</f>
        <v>0</v>
      </c>
      <c r="GM3">
        <f>M39</f>
        <v>0</v>
      </c>
      <c r="GP3">
        <f>N39</f>
        <v>0</v>
      </c>
      <c r="GS3">
        <f>O39</f>
        <v>0</v>
      </c>
      <c r="GV3">
        <f>P39</f>
        <v>0</v>
      </c>
      <c r="GY3">
        <f>Q39</f>
        <v>0</v>
      </c>
      <c r="HB3">
        <f>R39</f>
        <v>0</v>
      </c>
      <c r="HE3">
        <f>S39</f>
        <v>0</v>
      </c>
      <c r="HH3">
        <f>T39</f>
        <v>0</v>
      </c>
      <c r="HK3">
        <f>U39</f>
        <v>0</v>
      </c>
    </row>
    <row r="4" spans="1:219" x14ac:dyDescent="0.25">
      <c r="A4" s="8" t="s">
        <v>189</v>
      </c>
      <c r="B4" s="8" t="s">
        <v>202</v>
      </c>
      <c r="C4" s="8" t="s">
        <v>203</v>
      </c>
      <c r="E4" s="73"/>
      <c r="F4" s="74"/>
      <c r="H4">
        <v>25</v>
      </c>
      <c r="I4">
        <v>40</v>
      </c>
      <c r="M4">
        <v>2</v>
      </c>
      <c r="N4" t="s">
        <v>14</v>
      </c>
      <c r="O4" s="5">
        <f>PFVar!L25</f>
        <v>0</v>
      </c>
      <c r="P4">
        <f>IF(AND(O4&gt;O3, O4&gt;1, O4&gt;MAX($O$2:O3)), MAX(MAX($P$2:P3)+1,2),1)</f>
        <v>1</v>
      </c>
      <c r="S4" s="8" t="s">
        <v>206</v>
      </c>
      <c r="T4">
        <v>1</v>
      </c>
      <c r="X4" s="8"/>
      <c r="AB4" s="27" t="s">
        <v>240</v>
      </c>
      <c r="AC4" s="39" t="s">
        <v>241</v>
      </c>
      <c r="AD4" s="39" t="s">
        <v>241</v>
      </c>
      <c r="AE4" s="39" t="s">
        <v>241</v>
      </c>
      <c r="AF4" s="39" t="s">
        <v>241</v>
      </c>
      <c r="AI4">
        <v>8</v>
      </c>
      <c r="AJ4" s="46">
        <v>2</v>
      </c>
      <c r="AK4" s="46" t="s">
        <v>253</v>
      </c>
      <c r="AL4" t="str">
        <f t="shared" si="0"/>
        <v/>
      </c>
      <c r="AO4" s="46"/>
      <c r="AP4" s="46" t="s">
        <v>12</v>
      </c>
      <c r="AQ4" s="46">
        <v>28.7</v>
      </c>
      <c r="AR4" s="46"/>
      <c r="AS4" s="46">
        <v>71.3</v>
      </c>
    </row>
    <row r="5" spans="1:219" x14ac:dyDescent="0.25">
      <c r="A5" t="str">
        <f>Interface!B13</f>
        <v>BT</v>
      </c>
      <c r="B5" t="str">
        <f>IF(PFVar!R25&gt;=Interface!B10, "BB ALL", IF(AND(P21=1,O9=1,A5="BB"), "SB LIMP", _xlfn.XLOOKUP(2,P2:P19,N2:N19,"None")))</f>
        <v>None</v>
      </c>
      <c r="C5" t="str">
        <f>_xlfn.XLOOKUP(3,P2:P19,N2:N19,"None")</f>
        <v>None</v>
      </c>
      <c r="E5" s="75"/>
      <c r="F5" s="76"/>
      <c r="H5">
        <v>15</v>
      </c>
      <c r="I5">
        <v>25</v>
      </c>
      <c r="M5">
        <v>3</v>
      </c>
      <c r="N5" t="s">
        <v>13</v>
      </c>
      <c r="O5" s="5">
        <f>PFVar!M25</f>
        <v>0</v>
      </c>
      <c r="P5">
        <f>IF(AND(O5&gt;O4, O5&gt;1, O5&gt;MAX($O$2:O4)), MAX(MAX($P$2:P4)+1,2),1)</f>
        <v>1</v>
      </c>
      <c r="S5" s="8" t="s">
        <v>211</v>
      </c>
      <c r="T5">
        <v>2.5</v>
      </c>
      <c r="U5">
        <v>3.2</v>
      </c>
      <c r="V5">
        <v>4</v>
      </c>
      <c r="W5">
        <v>2.25</v>
      </c>
      <c r="X5" s="8">
        <v>2.5</v>
      </c>
      <c r="AI5">
        <v>8</v>
      </c>
      <c r="AJ5">
        <v>3</v>
      </c>
      <c r="AK5" s="44" t="s">
        <v>254</v>
      </c>
      <c r="AL5" t="str">
        <f t="shared" si="0"/>
        <v/>
      </c>
      <c r="AP5" s="83" t="s">
        <v>13</v>
      </c>
      <c r="AQ5">
        <v>23.5</v>
      </c>
      <c r="AS5">
        <v>76.5</v>
      </c>
      <c r="FZ5" t="s">
        <v>1</v>
      </c>
      <c r="GA5">
        <f>V39</f>
        <v>0</v>
      </c>
      <c r="GD5">
        <f>W39</f>
        <v>0</v>
      </c>
      <c r="GG5">
        <f>X39</f>
        <v>0</v>
      </c>
      <c r="GJ5">
        <f>Y39</f>
        <v>0</v>
      </c>
      <c r="GM5">
        <f>Z39</f>
        <v>0</v>
      </c>
      <c r="GP5">
        <f>AA39</f>
        <v>0</v>
      </c>
      <c r="GS5">
        <f>AB39</f>
        <v>0</v>
      </c>
      <c r="GV5">
        <f>AC39</f>
        <v>0</v>
      </c>
      <c r="GY5">
        <f>AD39</f>
        <v>0</v>
      </c>
      <c r="HB5">
        <f>AE39</f>
        <v>0</v>
      </c>
      <c r="HE5">
        <f>AF39</f>
        <v>0</v>
      </c>
      <c r="HH5">
        <f>AG39</f>
        <v>0</v>
      </c>
      <c r="HK5">
        <f>AH39</f>
        <v>0</v>
      </c>
    </row>
    <row r="6" spans="1:219" x14ac:dyDescent="0.25">
      <c r="H6">
        <v>0</v>
      </c>
      <c r="I6">
        <v>15</v>
      </c>
      <c r="M6">
        <v>4</v>
      </c>
      <c r="N6" t="s">
        <v>12</v>
      </c>
      <c r="O6" s="5">
        <f>PFVar!N25</f>
        <v>0</v>
      </c>
      <c r="P6">
        <f>IF(AND(O6&gt;O5, O6&gt;1, O6&gt;MAX($O$2:O5)), MAX(MAX($P$2:P5)+1,2),1)</f>
        <v>1</v>
      </c>
      <c r="S6" s="8" t="s">
        <v>212</v>
      </c>
      <c r="T6">
        <v>2.5</v>
      </c>
      <c r="U6">
        <v>3.5</v>
      </c>
      <c r="V6">
        <v>5</v>
      </c>
      <c r="W6">
        <v>2.5</v>
      </c>
      <c r="X6">
        <v>2.75</v>
      </c>
      <c r="AB6" s="27"/>
      <c r="AC6" s="27" t="s">
        <v>243</v>
      </c>
      <c r="AD6" s="27" t="s">
        <v>244</v>
      </c>
      <c r="AE6" s="44" t="s">
        <v>247</v>
      </c>
      <c r="AI6">
        <v>8</v>
      </c>
      <c r="AJ6" s="46">
        <v>4</v>
      </c>
      <c r="AK6" s="46" t="s">
        <v>255</v>
      </c>
      <c r="AL6" t="str">
        <f t="shared" si="0"/>
        <v/>
      </c>
      <c r="AO6" s="46"/>
      <c r="AP6" s="46" t="s">
        <v>14</v>
      </c>
      <c r="AQ6" s="46">
        <v>20.5</v>
      </c>
      <c r="AR6" s="46"/>
      <c r="AS6" s="46">
        <v>79.5</v>
      </c>
    </row>
    <row r="7" spans="1:219" x14ac:dyDescent="0.25">
      <c r="A7" t="s">
        <v>200</v>
      </c>
      <c r="D7" s="84"/>
      <c r="E7" s="85" t="s">
        <v>269</v>
      </c>
      <c r="F7" s="84"/>
      <c r="G7" s="85" t="s">
        <v>270</v>
      </c>
      <c r="H7" s="85" t="s">
        <v>271</v>
      </c>
      <c r="M7">
        <v>5</v>
      </c>
      <c r="N7" t="s">
        <v>11</v>
      </c>
      <c r="O7" s="5">
        <f>PFVar!O25</f>
        <v>0</v>
      </c>
      <c r="P7">
        <f>IF(AND(O7&gt;O6, O7&gt;1, O7&gt;MAX($O$2:O6)), MAX(MAX($P$2:P6)+1,2),1)</f>
        <v>1</v>
      </c>
      <c r="S7" s="8" t="s">
        <v>207</v>
      </c>
      <c r="T7">
        <v>1</v>
      </c>
      <c r="AB7" s="27" t="s">
        <v>239</v>
      </c>
      <c r="AC7" s="68"/>
      <c r="AD7" s="36"/>
      <c r="AE7" s="69"/>
      <c r="AI7">
        <v>8</v>
      </c>
      <c r="AJ7">
        <v>5</v>
      </c>
      <c r="AK7" s="44" t="s">
        <v>256</v>
      </c>
      <c r="AL7" t="str">
        <f t="shared" si="0"/>
        <v/>
      </c>
      <c r="AP7" s="83" t="s">
        <v>242</v>
      </c>
      <c r="AQ7">
        <v>17.5</v>
      </c>
      <c r="AS7">
        <v>82.5</v>
      </c>
      <c r="FZ7" t="s">
        <v>2</v>
      </c>
      <c r="GA7">
        <f>AI39</f>
        <v>0</v>
      </c>
      <c r="GD7">
        <f>AJ39</f>
        <v>0</v>
      </c>
      <c r="GG7">
        <f>AK39</f>
        <v>0</v>
      </c>
      <c r="GJ7">
        <f>AL39</f>
        <v>0</v>
      </c>
      <c r="GM7">
        <f>AM39</f>
        <v>0</v>
      </c>
      <c r="GP7">
        <f>AN39</f>
        <v>0</v>
      </c>
      <c r="GS7">
        <f>AO39</f>
        <v>0</v>
      </c>
      <c r="GV7">
        <f>AP39</f>
        <v>0</v>
      </c>
      <c r="GY7">
        <f>AQ39</f>
        <v>0</v>
      </c>
      <c r="HB7">
        <f>AR39</f>
        <v>0</v>
      </c>
      <c r="HE7">
        <f>AS39</f>
        <v>0</v>
      </c>
      <c r="HH7">
        <f>AT39</f>
        <v>0</v>
      </c>
      <c r="HK7">
        <f>AU39</f>
        <v>0</v>
      </c>
    </row>
    <row r="8" spans="1:219" x14ac:dyDescent="0.25">
      <c r="A8" t="str">
        <f>IF(A5=B5,"Yes", "No")</f>
        <v>No</v>
      </c>
      <c r="D8" s="85" t="s">
        <v>195</v>
      </c>
      <c r="E8" s="85" t="s">
        <v>195</v>
      </c>
      <c r="F8" s="85" t="s">
        <v>195</v>
      </c>
      <c r="G8" s="85" t="s">
        <v>195</v>
      </c>
      <c r="H8" s="85" t="s">
        <v>195</v>
      </c>
      <c r="M8">
        <v>6</v>
      </c>
      <c r="N8" t="s">
        <v>10</v>
      </c>
      <c r="O8" s="5">
        <f>PFVar!P25</f>
        <v>0</v>
      </c>
      <c r="P8">
        <f>IF(AND(O8&gt;O7, O8&gt;1, O8&gt;MAX($O$2:O7)), MAX(MAX($P$2:P7)+1,2),1)</f>
        <v>1</v>
      </c>
      <c r="S8" s="8" t="s">
        <v>208</v>
      </c>
      <c r="T8">
        <v>0.5</v>
      </c>
      <c r="AB8" s="27" t="s">
        <v>240</v>
      </c>
      <c r="AC8" s="42"/>
      <c r="AD8" s="42"/>
      <c r="AE8" s="70"/>
      <c r="AI8">
        <v>8</v>
      </c>
      <c r="AJ8" s="46">
        <v>6</v>
      </c>
      <c r="AK8" s="46" t="s">
        <v>257</v>
      </c>
      <c r="AL8" t="str">
        <f t="shared" si="0"/>
        <v/>
      </c>
      <c r="AO8" s="46"/>
      <c r="AP8" s="46" t="s">
        <v>15</v>
      </c>
      <c r="AQ8" s="46">
        <v>16.100000000000001</v>
      </c>
      <c r="AR8" s="46"/>
      <c r="AS8" s="46">
        <v>83.9</v>
      </c>
    </row>
    <row r="9" spans="1:219" x14ac:dyDescent="0.25">
      <c r="D9" s="85" t="s">
        <v>238</v>
      </c>
      <c r="E9" s="85" t="s">
        <v>238</v>
      </c>
      <c r="F9" s="85" t="s">
        <v>238</v>
      </c>
      <c r="G9" s="85" t="s">
        <v>238</v>
      </c>
      <c r="H9" s="85" t="s">
        <v>238</v>
      </c>
      <c r="M9">
        <v>7</v>
      </c>
      <c r="N9" t="s">
        <v>9</v>
      </c>
      <c r="O9" s="5">
        <f>PFVar!Q25</f>
        <v>0</v>
      </c>
      <c r="P9">
        <f>IF(AND(O9&gt;O8, O9&gt;1, O9&gt;MAX($O$2:O8)), MAX(MAX($P$2:P8)+1,2),1)</f>
        <v>1</v>
      </c>
      <c r="T9">
        <f>T5+T4*COUNT(PFVar!$J$25:$R$25)+T7*(Interface!$B$13="SB")+T8*(Interface!$B$13="BB")</f>
        <v>2.5</v>
      </c>
      <c r="U9">
        <f>U5*MAX(O2:O19)</f>
        <v>0</v>
      </c>
      <c r="V9">
        <f t="shared" ref="V9:X10" si="1">V5*MAX($O$2:$O$19)</f>
        <v>0</v>
      </c>
      <c r="W9">
        <f t="shared" si="1"/>
        <v>0</v>
      </c>
      <c r="X9">
        <f t="shared" si="1"/>
        <v>0</v>
      </c>
      <c r="AB9" s="44"/>
      <c r="AI9">
        <v>8</v>
      </c>
      <c r="AJ9">
        <v>7</v>
      </c>
      <c r="AK9" s="44" t="s">
        <v>258</v>
      </c>
      <c r="AL9" t="str">
        <f t="shared" si="0"/>
        <v/>
      </c>
      <c r="AP9" s="83" t="s">
        <v>8</v>
      </c>
      <c r="FZ9" t="s">
        <v>3</v>
      </c>
      <c r="GA9">
        <f>AV39</f>
        <v>0</v>
      </c>
      <c r="GD9">
        <f>AW39</f>
        <v>0</v>
      </c>
      <c r="GG9">
        <f>AX39</f>
        <v>0</v>
      </c>
      <c r="GJ9">
        <f>AY39</f>
        <v>0</v>
      </c>
      <c r="GM9">
        <f>AZ39</f>
        <v>0</v>
      </c>
      <c r="GP9">
        <f>BA39</f>
        <v>0</v>
      </c>
      <c r="GS9">
        <f>BB39</f>
        <v>0</v>
      </c>
      <c r="GV9">
        <f>BC39</f>
        <v>0</v>
      </c>
      <c r="GY9">
        <f>BD39</f>
        <v>0</v>
      </c>
      <c r="HB9">
        <f>BE39</f>
        <v>0</v>
      </c>
      <c r="HE9">
        <f>BF39</f>
        <v>0</v>
      </c>
      <c r="HH9">
        <f>BG39</f>
        <v>0</v>
      </c>
      <c r="HK9">
        <f>BH39</f>
        <v>0</v>
      </c>
    </row>
    <row r="10" spans="1:219" x14ac:dyDescent="0.25">
      <c r="M10">
        <v>8</v>
      </c>
      <c r="N10" t="s">
        <v>8</v>
      </c>
      <c r="O10" s="5">
        <f>PFVar!R25</f>
        <v>0</v>
      </c>
      <c r="P10">
        <f>IF(AND(O10&gt;O9, O10&gt;1, O10&gt;MAX($O$2:O9)), MAX(MAX($P$2:P9)+1,2),1)</f>
        <v>1</v>
      </c>
      <c r="T10">
        <f>T9</f>
        <v>2.5</v>
      </c>
      <c r="U10">
        <f>U6*MAX(O2:O19)</f>
        <v>0</v>
      </c>
      <c r="V10">
        <f t="shared" si="1"/>
        <v>0</v>
      </c>
      <c r="W10">
        <f t="shared" si="1"/>
        <v>0</v>
      </c>
      <c r="X10">
        <f t="shared" si="1"/>
        <v>0</v>
      </c>
      <c r="AI10">
        <v>9</v>
      </c>
      <c r="AJ10" s="46">
        <v>0</v>
      </c>
      <c r="AK10" s="46" t="s">
        <v>268</v>
      </c>
      <c r="AL10" t="str">
        <f t="shared" ref="AL10:AL18" si="2">IF(MAX(betTrackRange)=0,"",IF(playerCount=9,_xlfn.XLOOKUP(AJ10,$D$17:$D$25,$E$17:$E$25),""))</f>
        <v/>
      </c>
      <c r="AO10" s="46"/>
      <c r="AP10" s="46" t="s">
        <v>9</v>
      </c>
      <c r="AQ10" s="46">
        <v>26.5</v>
      </c>
      <c r="AR10" s="46">
        <v>54.4</v>
      </c>
      <c r="AS10" s="46">
        <v>19</v>
      </c>
    </row>
    <row r="11" spans="1:219" x14ac:dyDescent="0.25">
      <c r="D11" s="83"/>
      <c r="M11">
        <v>9</v>
      </c>
      <c r="N11" t="s">
        <v>15</v>
      </c>
      <c r="O11" s="6">
        <f>PFVar!S25</f>
        <v>0</v>
      </c>
      <c r="P11">
        <f>IF(AND(O11&gt;O10, O11&gt;1, O11&gt;MAX($O$2:O10)), MAX(MAX($P$2:P10)+1,2),1)</f>
        <v>1</v>
      </c>
      <c r="T11">
        <f>IF(MAX(P2:P19)=1, 1,0)</f>
        <v>1</v>
      </c>
      <c r="U11">
        <f>IF(AND(MAX($P$2:$P$19)=2, $Y$17&gt;$Y$14),1,0)</f>
        <v>0</v>
      </c>
      <c r="V11">
        <f>IF(AND(MAX($P$2:$P$19)=2, $Y$17&lt;$Y$14),1,0)</f>
        <v>0</v>
      </c>
      <c r="W11">
        <f>IF(AND(MAX($P$2:$P$19)=3, $Y$17&gt;$Y$14),1,0)</f>
        <v>0</v>
      </c>
      <c r="X11">
        <f>IF(AND(MAX($P$2:$P$19)=3, $Y$17&lt;$Y$14),1,0)</f>
        <v>0</v>
      </c>
      <c r="AI11">
        <v>9</v>
      </c>
      <c r="AJ11">
        <v>1</v>
      </c>
      <c r="AK11" s="44" t="s">
        <v>259</v>
      </c>
      <c r="AL11" t="str">
        <f t="shared" si="2"/>
        <v/>
      </c>
      <c r="FZ11" t="s">
        <v>4</v>
      </c>
      <c r="GA11">
        <f>BI39</f>
        <v>0</v>
      </c>
      <c r="GD11">
        <f>BJ39</f>
        <v>0</v>
      </c>
      <c r="GG11">
        <f>BK39</f>
        <v>0</v>
      </c>
      <c r="GJ11">
        <f>BL39</f>
        <v>0</v>
      </c>
      <c r="GM11">
        <f>BM39</f>
        <v>0</v>
      </c>
      <c r="GP11">
        <f>BN39</f>
        <v>0</v>
      </c>
      <c r="GS11">
        <f>BO39</f>
        <v>0</v>
      </c>
      <c r="GV11">
        <f>BP39</f>
        <v>0</v>
      </c>
      <c r="GY11">
        <f>BQ39</f>
        <v>0</v>
      </c>
      <c r="HB11">
        <f>BR39</f>
        <v>0</v>
      </c>
      <c r="HE11">
        <f>BS39</f>
        <v>0</v>
      </c>
      <c r="HH11">
        <f>BT39</f>
        <v>0</v>
      </c>
      <c r="HK11">
        <f>BU39</f>
        <v>0</v>
      </c>
    </row>
    <row r="12" spans="1:219" x14ac:dyDescent="0.25">
      <c r="D12" s="83"/>
      <c r="M12">
        <v>1</v>
      </c>
      <c r="N12" s="43" t="s">
        <v>242</v>
      </c>
      <c r="O12" s="6">
        <f>PFVar!T25</f>
        <v>0</v>
      </c>
      <c r="P12">
        <f>IF(AND(O12&gt;O11, O12&gt;1, O12&gt;MAX($O$2:O11)), MAX(MAX($P$2:P11)+1,2),1)</f>
        <v>1</v>
      </c>
      <c r="AI12">
        <v>9</v>
      </c>
      <c r="AJ12" s="46">
        <v>2</v>
      </c>
      <c r="AK12" s="46" t="s">
        <v>260</v>
      </c>
      <c r="AL12" t="str">
        <f t="shared" si="2"/>
        <v/>
      </c>
      <c r="AO12" s="46"/>
      <c r="AP12" s="46"/>
      <c r="AQ12" s="46"/>
      <c r="AR12" s="46"/>
      <c r="AS12" s="46"/>
    </row>
    <row r="13" spans="1:219" x14ac:dyDescent="0.25">
      <c r="D13" s="83"/>
      <c r="M13">
        <v>2</v>
      </c>
      <c r="N13" t="s">
        <v>14</v>
      </c>
      <c r="O13" s="6">
        <f>PFVar!U25</f>
        <v>0</v>
      </c>
      <c r="P13">
        <f>IF(AND(O13&gt;O12, O13&gt;1, O13&gt;MAX($O$2:O12)), MAX(MAX($P$2:P12)+1,2),1)</f>
        <v>1</v>
      </c>
      <c r="R13" t="s">
        <v>233</v>
      </c>
      <c r="S13" t="s">
        <v>232</v>
      </c>
      <c r="Y13" s="8" t="s">
        <v>218</v>
      </c>
      <c r="AI13">
        <v>9</v>
      </c>
      <c r="AJ13">
        <v>3</v>
      </c>
      <c r="AK13" s="44" t="s">
        <v>261</v>
      </c>
      <c r="AL13" t="str">
        <f t="shared" si="2"/>
        <v/>
      </c>
      <c r="FZ13">
        <v>9</v>
      </c>
      <c r="GA13">
        <f>BV39</f>
        <v>0</v>
      </c>
      <c r="GD13">
        <f>BW39</f>
        <v>0</v>
      </c>
      <c r="GG13">
        <f>BX39</f>
        <v>0</v>
      </c>
      <c r="GJ13">
        <f>BY39</f>
        <v>0</v>
      </c>
      <c r="GM13">
        <f>BZ39</f>
        <v>0</v>
      </c>
      <c r="GP13">
        <f>CA39</f>
        <v>0</v>
      </c>
      <c r="GS13">
        <f>CB39</f>
        <v>0</v>
      </c>
      <c r="GV13">
        <f>CC39</f>
        <v>0</v>
      </c>
      <c r="GY13">
        <f>CD39</f>
        <v>0</v>
      </c>
      <c r="HB13">
        <f>CE39</f>
        <v>0</v>
      </c>
      <c r="HE13">
        <f>CF39</f>
        <v>0</v>
      </c>
      <c r="HH13">
        <f>CG39</f>
        <v>0</v>
      </c>
      <c r="HK13">
        <f>CH39</f>
        <v>0</v>
      </c>
    </row>
    <row r="14" spans="1:219" x14ac:dyDescent="0.25">
      <c r="M14">
        <v>3</v>
      </c>
      <c r="N14" t="s">
        <v>13</v>
      </c>
      <c r="O14" s="6">
        <f>PFVar!V25</f>
        <v>0</v>
      </c>
      <c r="P14">
        <f>IF(AND(O14&gt;O13, O14&gt;1, O14&gt;MAX($O$2:O13)), MAX(MAX($P$2:P13)+1,2),1)</f>
        <v>1</v>
      </c>
      <c r="R14">
        <f>IF(SUM(T11:X11)&gt;0,T11*T9+U11*U9+V11*V9+W11*W9+X11*X9,"All In")</f>
        <v>2.5</v>
      </c>
      <c r="S14">
        <f>IF(SUM(T11:X11)&gt;0,T11*T10+U11*U10+V11*V10+W11*W10+X11*X10,"All In")</f>
        <v>2.5</v>
      </c>
      <c r="Y14">
        <f>IFERROR(_xlfn.XLOOKUP(MAX(O2:O19,2),O2:O19,M2:M19),0)</f>
        <v>0</v>
      </c>
      <c r="AI14">
        <v>9</v>
      </c>
      <c r="AJ14" s="46">
        <v>4</v>
      </c>
      <c r="AK14" s="47" t="s">
        <v>263</v>
      </c>
      <c r="AL14" t="str">
        <f t="shared" si="2"/>
        <v/>
      </c>
      <c r="AO14" s="46"/>
      <c r="AP14" s="46">
        <v>9</v>
      </c>
      <c r="AQ14" s="46">
        <v>30.46</v>
      </c>
      <c r="AR14" s="46"/>
      <c r="AS14" s="46"/>
    </row>
    <row r="15" spans="1:219" x14ac:dyDescent="0.25">
      <c r="A15" s="20" t="s">
        <v>230</v>
      </c>
      <c r="M15">
        <v>4</v>
      </c>
      <c r="N15" t="s">
        <v>12</v>
      </c>
      <c r="O15" s="6">
        <f>PFVar!V25</f>
        <v>0</v>
      </c>
      <c r="P15">
        <f>IF(AND(O15&gt;O14, O15&gt;1, O15&gt;MAX($O$2:O14)), MAX(MAX($P$2:P14)+1,2),1)</f>
        <v>1</v>
      </c>
      <c r="AI15">
        <v>9</v>
      </c>
      <c r="AJ15">
        <v>5</v>
      </c>
      <c r="AK15" s="44" t="s">
        <v>262</v>
      </c>
      <c r="AL15" t="str">
        <f t="shared" si="2"/>
        <v/>
      </c>
      <c r="AP15">
        <v>8</v>
      </c>
      <c r="AQ15">
        <v>32.26</v>
      </c>
      <c r="FZ15">
        <v>8</v>
      </c>
      <c r="GA15">
        <f>CI39</f>
        <v>0</v>
      </c>
      <c r="GD15">
        <f>CJ39</f>
        <v>0</v>
      </c>
      <c r="GG15">
        <f>CK39</f>
        <v>0</v>
      </c>
      <c r="GJ15">
        <f>CL39</f>
        <v>0</v>
      </c>
      <c r="GM15">
        <f>CM39</f>
        <v>0</v>
      </c>
      <c r="GP15">
        <f>CN39</f>
        <v>0</v>
      </c>
      <c r="GS15">
        <f>CO39</f>
        <v>0</v>
      </c>
      <c r="GV15">
        <f>CP39</f>
        <v>0</v>
      </c>
      <c r="GY15">
        <f>CQ39</f>
        <v>0</v>
      </c>
      <c r="HB15">
        <f>CR39</f>
        <v>0</v>
      </c>
      <c r="HE15">
        <f>CS39</f>
        <v>0</v>
      </c>
      <c r="HH15">
        <f>CT39</f>
        <v>0</v>
      </c>
      <c r="HK15">
        <f>CU39</f>
        <v>0</v>
      </c>
    </row>
    <row r="16" spans="1:219" x14ac:dyDescent="0.25">
      <c r="E16" s="44" t="s">
        <v>246</v>
      </c>
      <c r="F16" s="44" t="s">
        <v>248</v>
      </c>
      <c r="G16" s="44" t="s">
        <v>249</v>
      </c>
      <c r="H16" s="44"/>
      <c r="M16">
        <v>5</v>
      </c>
      <c r="N16" t="s">
        <v>11</v>
      </c>
      <c r="O16" s="6">
        <f>PFVar!X25</f>
        <v>0</v>
      </c>
      <c r="P16">
        <f>IF(AND(O16&gt;O15, O16&gt;1, O16&gt;MAX($O$2:O15)), MAX(MAX($P$2:P15)+1,2),1)</f>
        <v>1</v>
      </c>
      <c r="Y16" s="8" t="s">
        <v>219</v>
      </c>
      <c r="AI16">
        <v>9</v>
      </c>
      <c r="AJ16" s="46">
        <v>6</v>
      </c>
      <c r="AK16" s="46" t="s">
        <v>264</v>
      </c>
      <c r="AL16" t="str">
        <f t="shared" si="2"/>
        <v/>
      </c>
    </row>
    <row r="17" spans="1:219" x14ac:dyDescent="0.25">
      <c r="A17" s="19" t="s">
        <v>189</v>
      </c>
      <c r="B17" s="21" t="s">
        <v>202</v>
      </c>
      <c r="C17" s="19"/>
      <c r="D17">
        <v>0</v>
      </c>
      <c r="E17">
        <f>_xlfn.XLOOKUP(_xlfn.CONCAT(F17,G17),$S$24:$AA$24,$S$26:$AA$26)</f>
        <v>0</v>
      </c>
      <c r="F17" t="str">
        <f>IF(playerCount=8,currentPosition,"")</f>
        <v/>
      </c>
      <c r="G17" t="str">
        <f>IF(playerCount=9,currentPosition,"")</f>
        <v>BT</v>
      </c>
      <c r="M17">
        <v>6</v>
      </c>
      <c r="N17" t="s">
        <v>10</v>
      </c>
      <c r="O17" s="6">
        <f>PFVar!Y25</f>
        <v>0</v>
      </c>
      <c r="P17">
        <f>IF(AND(O17&gt;O16, O17&gt;1, O17&gt;MAX($O$2:O16)), MAX(MAX($P$2:P16)+1,2),1)</f>
        <v>1</v>
      </c>
      <c r="Y17">
        <f>_xlfn.XLOOKUP(A5,PFVar!N2:N19,PFVar!M2:M19)</f>
        <v>6</v>
      </c>
      <c r="AI17">
        <v>9</v>
      </c>
      <c r="AJ17">
        <v>7</v>
      </c>
      <c r="AK17" s="44" t="s">
        <v>265</v>
      </c>
      <c r="AL17" t="str">
        <f t="shared" si="2"/>
        <v/>
      </c>
      <c r="FZ17">
        <v>7</v>
      </c>
      <c r="GA17">
        <f>CV39</f>
        <v>0</v>
      </c>
      <c r="GD17">
        <f>CW39</f>
        <v>0</v>
      </c>
      <c r="GG17">
        <f>CX39</f>
        <v>0</v>
      </c>
      <c r="GJ17">
        <f>CY39</f>
        <v>0</v>
      </c>
      <c r="GM17">
        <f>CZ39</f>
        <v>0</v>
      </c>
      <c r="GP17">
        <f>DA39</f>
        <v>0</v>
      </c>
      <c r="GS17">
        <f>DB39</f>
        <v>0</v>
      </c>
      <c r="GV17">
        <f>DC39</f>
        <v>0</v>
      </c>
      <c r="GY17">
        <f>DD39</f>
        <v>0</v>
      </c>
      <c r="HB17">
        <f>DE39</f>
        <v>0</v>
      </c>
      <c r="HE17">
        <f>DF39</f>
        <v>0</v>
      </c>
      <c r="HH17">
        <f>DG39</f>
        <v>0</v>
      </c>
      <c r="HK17">
        <f>DH39</f>
        <v>0</v>
      </c>
    </row>
    <row r="18" spans="1:219" x14ac:dyDescent="0.25">
      <c r="A18" t="str">
        <f>IF(B5="SB LIMP", "SB", IF(Interface!B53&lt;&gt;"",Interface!B53,IF(C5&lt;&gt;"None", C5,B5)))</f>
        <v>None</v>
      </c>
      <c r="B18" t="str">
        <f>IF(OR(B5=A18, B5="SB LIMP", B5="BB ALL"), "None", B5)</f>
        <v>None</v>
      </c>
      <c r="D18" s="43">
        <v>1</v>
      </c>
      <c r="E18">
        <f t="shared" ref="E18:E24" si="3">_xlfn.XLOOKUP(_xlfn.CONCAT(F18,G18),$S$24:$AA$24,$S$26:$AA$26)</f>
        <v>0</v>
      </c>
      <c r="F18" t="str">
        <f>IFERROR(_xlfn.XLOOKUP(MOD(_xlfn.XLOOKUP(F17,$N$3:$N$10,$M$3:$M$10),8)+1,$M$3:$M$10,$N$3:$N$10),"")</f>
        <v/>
      </c>
      <c r="G18" t="str">
        <f>IFERROR(_xlfn.XLOOKUP(MOD(_xlfn.XLOOKUP(G17,$N$2:$N$10,$M$2:$M$10),9)+1,$M$2:$M$10,$N$2:$N$10),"")</f>
        <v>SB</v>
      </c>
      <c r="M18">
        <v>7</v>
      </c>
      <c r="N18" t="s">
        <v>9</v>
      </c>
      <c r="O18" s="6">
        <f>PFVar!Z25</f>
        <v>0</v>
      </c>
      <c r="P18">
        <f>IF(AND(O18&gt;O17, O18&gt;1, O18&gt;MAX($O$2:O17)), MAX(MAX($P$2:P17)+1,2),1)</f>
        <v>1</v>
      </c>
      <c r="AI18">
        <v>9</v>
      </c>
      <c r="AJ18" s="46">
        <v>8</v>
      </c>
      <c r="AK18" s="46" t="s">
        <v>266</v>
      </c>
      <c r="AL18" t="str">
        <f t="shared" si="2"/>
        <v/>
      </c>
    </row>
    <row r="19" spans="1:219" x14ac:dyDescent="0.25">
      <c r="D19" s="43">
        <v>2</v>
      </c>
      <c r="E19">
        <f t="shared" si="3"/>
        <v>0</v>
      </c>
      <c r="F19" t="str">
        <f t="shared" ref="F19:F24" si="4">IFERROR(_xlfn.XLOOKUP(MOD(_xlfn.XLOOKUP(F18,$N$3:$N$10,$M$3:$M$10),8)+1,$M$3:$M$10,$N$3:$N$10),"")</f>
        <v/>
      </c>
      <c r="G19" t="str">
        <f t="shared" ref="G19:G25" si="5">IFERROR(_xlfn.XLOOKUP(MOD(_xlfn.XLOOKUP(G18,$N$2:$N$10,$M$2:$M$10),9)+1,$M$2:$M$10,$N$2:$N$10),"")</f>
        <v>BB</v>
      </c>
      <c r="M19">
        <v>8</v>
      </c>
      <c r="N19" t="s">
        <v>8</v>
      </c>
      <c r="O19">
        <f>PFVar!AA25</f>
        <v>0</v>
      </c>
      <c r="P19">
        <f>IF(AND(O19&gt;O18, O19&gt;1, O19&gt;MAX($O$2:O18)), MAX(MAX($P$2:P18)+1,2),1)</f>
        <v>1</v>
      </c>
      <c r="FZ19">
        <v>6</v>
      </c>
      <c r="GA19">
        <f>DI39</f>
        <v>0</v>
      </c>
      <c r="GD19">
        <f>DJ39</f>
        <v>0</v>
      </c>
      <c r="GG19">
        <f>DK39</f>
        <v>0</v>
      </c>
      <c r="GJ19">
        <f>DL39</f>
        <v>0</v>
      </c>
      <c r="GM19">
        <f>DM39</f>
        <v>0</v>
      </c>
      <c r="GP19">
        <f>DN39</f>
        <v>0</v>
      </c>
      <c r="GS19">
        <f>DO39</f>
        <v>0</v>
      </c>
      <c r="GV19">
        <f>DP39</f>
        <v>0</v>
      </c>
      <c r="GY19">
        <f>DQ39</f>
        <v>0</v>
      </c>
      <c r="HB19">
        <f>DR39</f>
        <v>0</v>
      </c>
      <c r="HE19">
        <f>DS39</f>
        <v>0</v>
      </c>
      <c r="HH19">
        <f>DT39</f>
        <v>0</v>
      </c>
      <c r="HK19">
        <f>DU39</f>
        <v>0</v>
      </c>
    </row>
    <row r="20" spans="1:219" x14ac:dyDescent="0.25">
      <c r="A20" s="19" t="s">
        <v>199</v>
      </c>
      <c r="B20" s="19" t="s">
        <v>191</v>
      </c>
      <c r="D20" s="43">
        <v>3</v>
      </c>
      <c r="E20">
        <f t="shared" si="3"/>
        <v>0</v>
      </c>
      <c r="F20" t="str">
        <f t="shared" si="4"/>
        <v/>
      </c>
      <c r="G20" t="str">
        <f t="shared" si="5"/>
        <v>UTG</v>
      </c>
    </row>
    <row r="21" spans="1:219" x14ac:dyDescent="0.25">
      <c r="A21" s="19" t="s">
        <v>201</v>
      </c>
      <c r="B21">
        <f>IF(Interface!B50&gt;0,Interface!B50,B2)</f>
        <v>100</v>
      </c>
      <c r="D21" s="43">
        <v>4</v>
      </c>
      <c r="E21">
        <f t="shared" si="3"/>
        <v>0</v>
      </c>
      <c r="F21" t="str">
        <f t="shared" si="4"/>
        <v/>
      </c>
      <c r="G21" t="str">
        <f t="shared" si="5"/>
        <v>EP</v>
      </c>
      <c r="P21">
        <f>MAX(P2:P19)</f>
        <v>1</v>
      </c>
      <c r="FZ21">
        <v>5</v>
      </c>
      <c r="GA21">
        <f>DV39</f>
        <v>0</v>
      </c>
      <c r="GD21">
        <f>DW39</f>
        <v>0</v>
      </c>
      <c r="GG21">
        <f>DX39</f>
        <v>0</v>
      </c>
      <c r="GJ21">
        <f>DY39</f>
        <v>0</v>
      </c>
      <c r="GM21">
        <f>DZ39</f>
        <v>0</v>
      </c>
      <c r="GP21">
        <f>EA39</f>
        <v>0</v>
      </c>
      <c r="GS21">
        <f>EB39</f>
        <v>0</v>
      </c>
      <c r="GV21">
        <f>EC39</f>
        <v>0</v>
      </c>
      <c r="GY21">
        <f>ED39</f>
        <v>0</v>
      </c>
      <c r="HB21">
        <f>EE39</f>
        <v>0</v>
      </c>
      <c r="HE21">
        <f>EF39</f>
        <v>0</v>
      </c>
      <c r="HH21">
        <f>EG39</f>
        <v>0</v>
      </c>
      <c r="HK21">
        <f>EH39</f>
        <v>0</v>
      </c>
    </row>
    <row r="22" spans="1:219" x14ac:dyDescent="0.25">
      <c r="D22" s="43">
        <v>5</v>
      </c>
      <c r="E22">
        <f t="shared" si="3"/>
        <v>0</v>
      </c>
      <c r="F22" t="str">
        <f t="shared" si="4"/>
        <v/>
      </c>
      <c r="G22" t="str">
        <f t="shared" si="5"/>
        <v>MP</v>
      </c>
    </row>
    <row r="23" spans="1:219" x14ac:dyDescent="0.25">
      <c r="D23" s="43">
        <v>6</v>
      </c>
      <c r="E23">
        <f t="shared" si="3"/>
        <v>0</v>
      </c>
      <c r="F23" t="str">
        <f t="shared" si="4"/>
        <v/>
      </c>
      <c r="G23" t="str">
        <f t="shared" si="5"/>
        <v>LJ</v>
      </c>
      <c r="FZ23">
        <v>4</v>
      </c>
      <c r="GA23">
        <f>EI39</f>
        <v>0</v>
      </c>
      <c r="GD23">
        <f>EJ39</f>
        <v>0</v>
      </c>
      <c r="GG23">
        <f>EK39</f>
        <v>0</v>
      </c>
      <c r="GJ23">
        <f>EL39</f>
        <v>0</v>
      </c>
      <c r="GM23">
        <f>EM39</f>
        <v>0</v>
      </c>
      <c r="GP23">
        <f>EN39</f>
        <v>0</v>
      </c>
      <c r="GS23">
        <f>EO39</f>
        <v>0</v>
      </c>
      <c r="GV23">
        <f>EP39</f>
        <v>0</v>
      </c>
      <c r="GY23">
        <f>EQ39</f>
        <v>0</v>
      </c>
      <c r="HB23">
        <f>ER39</f>
        <v>0</v>
      </c>
      <c r="HE23">
        <f>ES39</f>
        <v>0</v>
      </c>
      <c r="HH23">
        <f>ET39</f>
        <v>0</v>
      </c>
      <c r="HK23">
        <f>EU39</f>
        <v>0</v>
      </c>
    </row>
    <row r="24" spans="1:219" x14ac:dyDescent="0.25">
      <c r="D24" s="43">
        <v>7</v>
      </c>
      <c r="E24">
        <f t="shared" si="3"/>
        <v>0</v>
      </c>
      <c r="F24" t="str">
        <f t="shared" si="4"/>
        <v/>
      </c>
      <c r="G24" t="str">
        <f t="shared" si="5"/>
        <v>HJ</v>
      </c>
      <c r="J24" s="46" t="s">
        <v>15</v>
      </c>
      <c r="K24" s="46" t="s">
        <v>242</v>
      </c>
      <c r="L24" s="46" t="s">
        <v>14</v>
      </c>
      <c r="M24" s="46" t="s">
        <v>13</v>
      </c>
      <c r="N24" s="46" t="s">
        <v>12</v>
      </c>
      <c r="O24" s="46" t="s">
        <v>11</v>
      </c>
      <c r="P24" s="46" t="s">
        <v>10</v>
      </c>
      <c r="Q24" s="46" t="s">
        <v>9</v>
      </c>
      <c r="R24" s="46" t="s">
        <v>8</v>
      </c>
      <c r="S24" s="46" t="s">
        <v>15</v>
      </c>
      <c r="T24" s="46" t="s">
        <v>242</v>
      </c>
      <c r="U24" s="46" t="s">
        <v>14</v>
      </c>
      <c r="V24" s="46" t="s">
        <v>13</v>
      </c>
      <c r="W24" s="46" t="s">
        <v>12</v>
      </c>
      <c r="X24" s="46" t="s">
        <v>11</v>
      </c>
      <c r="Y24" s="46" t="s">
        <v>10</v>
      </c>
      <c r="Z24" s="46" t="s">
        <v>9</v>
      </c>
      <c r="AA24" s="46" t="s">
        <v>8</v>
      </c>
    </row>
    <row r="25" spans="1:219" x14ac:dyDescent="0.25">
      <c r="D25" s="43">
        <v>8</v>
      </c>
      <c r="E25">
        <f>IFERROR(_xlfn.XLOOKUP(_xlfn.CONCAT(F25,G25),$S$24:$AA$24,$S$26:$AA$26),"")</f>
        <v>0</v>
      </c>
      <c r="G25" t="str">
        <f t="shared" si="5"/>
        <v>CO</v>
      </c>
      <c r="J25" s="5"/>
      <c r="K25" s="5"/>
      <c r="L25" s="5"/>
      <c r="M25" s="5"/>
      <c r="N25" s="5"/>
      <c r="O25" s="5"/>
      <c r="P25" s="5"/>
      <c r="Q25" s="5"/>
      <c r="R25" s="5"/>
      <c r="S25" s="5"/>
      <c r="T25" s="5"/>
      <c r="U25" s="5"/>
      <c r="V25" s="5"/>
      <c r="W25" s="5"/>
      <c r="X25" s="5"/>
      <c r="Y25" s="5"/>
      <c r="Z25" s="5"/>
      <c r="AA25" s="5"/>
      <c r="FZ25">
        <v>3</v>
      </c>
      <c r="GA25">
        <f>EV39</f>
        <v>0</v>
      </c>
      <c r="GD25">
        <f>EW39</f>
        <v>0</v>
      </c>
      <c r="GG25">
        <f>EX39</f>
        <v>0</v>
      </c>
      <c r="GJ25">
        <f>EY39</f>
        <v>0</v>
      </c>
      <c r="GM25">
        <f>EZ39</f>
        <v>0</v>
      </c>
      <c r="GP25">
        <f>FA39</f>
        <v>0</v>
      </c>
      <c r="GS25">
        <f>FB39</f>
        <v>0</v>
      </c>
      <c r="GV25">
        <f>FC39</f>
        <v>0</v>
      </c>
      <c r="GY25">
        <f>FD39</f>
        <v>0</v>
      </c>
      <c r="HB25">
        <f>FE39</f>
        <v>0</v>
      </c>
      <c r="HE25">
        <f>FF39</f>
        <v>0</v>
      </c>
      <c r="HH25">
        <f>FG39</f>
        <v>0</v>
      </c>
      <c r="HK25">
        <f>FH39</f>
        <v>0</v>
      </c>
    </row>
    <row r="26" spans="1:219" x14ac:dyDescent="0.25">
      <c r="S26">
        <f>MAX(S25,J25)</f>
        <v>0</v>
      </c>
      <c r="T26">
        <f t="shared" ref="T26:AA26" si="6">MAX(T25,K25)</f>
        <v>0</v>
      </c>
      <c r="U26">
        <f t="shared" si="6"/>
        <v>0</v>
      </c>
      <c r="V26">
        <f t="shared" si="6"/>
        <v>0</v>
      </c>
      <c r="W26">
        <f t="shared" si="6"/>
        <v>0</v>
      </c>
      <c r="X26">
        <f t="shared" si="6"/>
        <v>0</v>
      </c>
      <c r="Y26">
        <f t="shared" si="6"/>
        <v>0</v>
      </c>
      <c r="Z26">
        <f t="shared" si="6"/>
        <v>0</v>
      </c>
      <c r="AA26">
        <f t="shared" si="6"/>
        <v>0</v>
      </c>
    </row>
    <row r="27" spans="1:219" x14ac:dyDescent="0.25">
      <c r="FZ27">
        <v>2</v>
      </c>
      <c r="GA27">
        <f>FI39</f>
        <v>0</v>
      </c>
      <c r="GD27">
        <f>FJ39</f>
        <v>0</v>
      </c>
      <c r="GG27">
        <f>FK39</f>
        <v>0</v>
      </c>
      <c r="GJ27">
        <f>FL39</f>
        <v>0</v>
      </c>
      <c r="GM27">
        <f>FM39</f>
        <v>0</v>
      </c>
      <c r="GP27">
        <f>FN39</f>
        <v>0</v>
      </c>
      <c r="GS27">
        <f>FO39</f>
        <v>0</v>
      </c>
      <c r="GV27">
        <f>FP39</f>
        <v>0</v>
      </c>
      <c r="GY27">
        <f>FQ39</f>
        <v>0</v>
      </c>
      <c r="HB27">
        <f>FR39</f>
        <v>0</v>
      </c>
      <c r="HE27">
        <f>FS39</f>
        <v>0</v>
      </c>
      <c r="HH27">
        <f>FT39</f>
        <v>0</v>
      </c>
      <c r="HK27">
        <f>FU39</f>
        <v>0</v>
      </c>
    </row>
    <row r="28" spans="1:219" x14ac:dyDescent="0.25">
      <c r="K28" s="14" t="s">
        <v>204</v>
      </c>
      <c r="L28" s="14"/>
      <c r="M28" s="14"/>
      <c r="N28" s="14"/>
      <c r="O28" s="14"/>
      <c r="P28" s="14"/>
    </row>
    <row r="29" spans="1:219" x14ac:dyDescent="0.2">
      <c r="K29" s="47">
        <f>PFVar!E3</f>
        <v>0</v>
      </c>
      <c r="L29" s="47">
        <f>PFVar!F3</f>
        <v>0</v>
      </c>
      <c r="M29" s="47" t="str">
        <f>IF(K29&lt;&gt;L29,IF(PFVar!E4=PFVar!F4,"s", "o"),"")</f>
        <v/>
      </c>
      <c r="N29" s="46"/>
      <c r="O29" s="46"/>
      <c r="P29" s="46" t="str">
        <f>_xlfn.CONCAT(K29:M29)</f>
        <v>00</v>
      </c>
      <c r="T29" s="82"/>
    </row>
    <row r="32" spans="1:219" x14ac:dyDescent="0.25">
      <c r="B32" s="17" t="s">
        <v>222</v>
      </c>
      <c r="C32" s="17" t="s">
        <v>223</v>
      </c>
      <c r="D32" s="17" t="s">
        <v>224</v>
      </c>
    </row>
    <row r="33" spans="1:178" x14ac:dyDescent="0.25">
      <c r="B33" s="17" t="s">
        <v>225</v>
      </c>
    </row>
    <row r="34" spans="1:178" x14ac:dyDescent="0.25">
      <c r="B34" s="17" t="s">
        <v>226</v>
      </c>
    </row>
    <row r="35" spans="1:178" x14ac:dyDescent="0.25">
      <c r="B35" s="6"/>
      <c r="C35" s="6"/>
      <c r="D35" s="6"/>
      <c r="E35" s="6"/>
      <c r="F35" s="6"/>
      <c r="G35" s="6"/>
      <c r="H35" s="6"/>
      <c r="I35" s="12" t="s">
        <v>17</v>
      </c>
      <c r="J35" s="12" t="s">
        <v>18</v>
      </c>
      <c r="K35" s="12" t="s">
        <v>19</v>
      </c>
      <c r="L35" s="12" t="s">
        <v>20</v>
      </c>
      <c r="M35" s="12" t="s">
        <v>21</v>
      </c>
      <c r="N35" s="12" t="s">
        <v>22</v>
      </c>
      <c r="O35" s="12" t="s">
        <v>23</v>
      </c>
      <c r="P35" s="12" t="s">
        <v>24</v>
      </c>
      <c r="Q35" s="12" t="s">
        <v>25</v>
      </c>
      <c r="R35" s="12" t="s">
        <v>26</v>
      </c>
      <c r="S35" s="12" t="s">
        <v>27</v>
      </c>
      <c r="T35" s="12" t="s">
        <v>28</v>
      </c>
      <c r="U35" s="12" t="s">
        <v>29</v>
      </c>
      <c r="V35" s="12" t="s">
        <v>30</v>
      </c>
      <c r="W35" s="12" t="s">
        <v>31</v>
      </c>
      <c r="X35" s="12" t="s">
        <v>32</v>
      </c>
      <c r="Y35" s="12" t="s">
        <v>33</v>
      </c>
      <c r="Z35" s="12" t="s">
        <v>34</v>
      </c>
      <c r="AA35" s="12" t="s">
        <v>35</v>
      </c>
      <c r="AB35" s="12" t="s">
        <v>36</v>
      </c>
      <c r="AC35" s="12" t="s">
        <v>37</v>
      </c>
      <c r="AD35" s="12" t="s">
        <v>38</v>
      </c>
      <c r="AE35" s="12" t="s">
        <v>39</v>
      </c>
      <c r="AF35" s="12" t="s">
        <v>40</v>
      </c>
      <c r="AG35" s="12" t="s">
        <v>41</v>
      </c>
      <c r="AH35" s="12" t="s">
        <v>42</v>
      </c>
      <c r="AI35" s="12" t="s">
        <v>43</v>
      </c>
      <c r="AJ35" s="12" t="s">
        <v>44</v>
      </c>
      <c r="AK35" s="12" t="s">
        <v>45</v>
      </c>
      <c r="AL35" s="12" t="s">
        <v>46</v>
      </c>
      <c r="AM35" s="12" t="s">
        <v>47</v>
      </c>
      <c r="AN35" s="12" t="s">
        <v>48</v>
      </c>
      <c r="AO35" s="12" t="s">
        <v>49</v>
      </c>
      <c r="AP35" s="12" t="s">
        <v>50</v>
      </c>
      <c r="AQ35" s="12" t="s">
        <v>51</v>
      </c>
      <c r="AR35" s="12" t="s">
        <v>52</v>
      </c>
      <c r="AS35" s="12" t="s">
        <v>53</v>
      </c>
      <c r="AT35" s="12" t="s">
        <v>54</v>
      </c>
      <c r="AU35" s="12" t="s">
        <v>55</v>
      </c>
      <c r="AV35" s="12" t="s">
        <v>56</v>
      </c>
      <c r="AW35" s="12" t="s">
        <v>57</v>
      </c>
      <c r="AX35" s="12" t="s">
        <v>58</v>
      </c>
      <c r="AY35" s="12" t="s">
        <v>59</v>
      </c>
      <c r="AZ35" s="12" t="s">
        <v>60</v>
      </c>
      <c r="BA35" s="12" t="s">
        <v>61</v>
      </c>
      <c r="BB35" s="12" t="s">
        <v>62</v>
      </c>
      <c r="BC35" s="12" t="s">
        <v>63</v>
      </c>
      <c r="BD35" s="12" t="s">
        <v>64</v>
      </c>
      <c r="BE35" s="12" t="s">
        <v>65</v>
      </c>
      <c r="BF35" s="12" t="s">
        <v>66</v>
      </c>
      <c r="BG35" s="12" t="s">
        <v>67</v>
      </c>
      <c r="BH35" s="12" t="s">
        <v>68</v>
      </c>
      <c r="BI35" s="12" t="s">
        <v>69</v>
      </c>
      <c r="BJ35" s="12" t="s">
        <v>70</v>
      </c>
      <c r="BK35" s="12" t="s">
        <v>71</v>
      </c>
      <c r="BL35" s="12" t="s">
        <v>72</v>
      </c>
      <c r="BM35" s="12" t="s">
        <v>73</v>
      </c>
      <c r="BN35" s="12" t="s">
        <v>74</v>
      </c>
      <c r="BO35" s="12" t="s">
        <v>75</v>
      </c>
      <c r="BP35" s="12" t="s">
        <v>76</v>
      </c>
      <c r="BQ35" s="12" t="s">
        <v>77</v>
      </c>
      <c r="BR35" s="12" t="s">
        <v>78</v>
      </c>
      <c r="BS35" s="12" t="s">
        <v>79</v>
      </c>
      <c r="BT35" s="12" t="s">
        <v>80</v>
      </c>
      <c r="BU35" s="12" t="s">
        <v>81</v>
      </c>
      <c r="BV35" s="12" t="s">
        <v>82</v>
      </c>
      <c r="BW35" s="12" t="s">
        <v>83</v>
      </c>
      <c r="BX35" s="12" t="s">
        <v>84</v>
      </c>
      <c r="BY35" s="12" t="s">
        <v>85</v>
      </c>
      <c r="BZ35" s="12" t="s">
        <v>86</v>
      </c>
      <c r="CA35" s="12">
        <v>99</v>
      </c>
      <c r="CB35" s="12" t="s">
        <v>88</v>
      </c>
      <c r="CC35" s="12" t="s">
        <v>89</v>
      </c>
      <c r="CD35" s="12" t="s">
        <v>90</v>
      </c>
      <c r="CE35" s="12" t="s">
        <v>91</v>
      </c>
      <c r="CF35" s="12" t="s">
        <v>92</v>
      </c>
      <c r="CG35" s="12" t="s">
        <v>93</v>
      </c>
      <c r="CH35" s="12" t="s">
        <v>94</v>
      </c>
      <c r="CI35" s="12" t="s">
        <v>95</v>
      </c>
      <c r="CJ35" s="12" t="s">
        <v>96</v>
      </c>
      <c r="CK35" s="12" t="s">
        <v>97</v>
      </c>
      <c r="CL35" s="12" t="s">
        <v>98</v>
      </c>
      <c r="CM35" s="12" t="s">
        <v>99</v>
      </c>
      <c r="CN35" s="12" t="s">
        <v>100</v>
      </c>
      <c r="CO35" s="12">
        <v>88</v>
      </c>
      <c r="CP35" s="12" t="s">
        <v>102</v>
      </c>
      <c r="CQ35" s="12" t="s">
        <v>103</v>
      </c>
      <c r="CR35" s="12" t="s">
        <v>104</v>
      </c>
      <c r="CS35" s="12" t="s">
        <v>105</v>
      </c>
      <c r="CT35" s="12" t="s">
        <v>106</v>
      </c>
      <c r="CU35" s="12" t="s">
        <v>107</v>
      </c>
      <c r="CV35" s="12" t="s">
        <v>108</v>
      </c>
      <c r="CW35" s="12" t="s">
        <v>109</v>
      </c>
      <c r="CX35" s="12" t="s">
        <v>110</v>
      </c>
      <c r="CY35" s="12" t="s">
        <v>111</v>
      </c>
      <c r="CZ35" s="12" t="s">
        <v>112</v>
      </c>
      <c r="DA35" s="12" t="s">
        <v>113</v>
      </c>
      <c r="DB35" s="12" t="s">
        <v>114</v>
      </c>
      <c r="DC35" s="12">
        <v>77</v>
      </c>
      <c r="DD35" s="12" t="s">
        <v>116</v>
      </c>
      <c r="DE35" s="12" t="s">
        <v>117</v>
      </c>
      <c r="DF35" s="12" t="s">
        <v>118</v>
      </c>
      <c r="DG35" s="12" t="s">
        <v>119</v>
      </c>
      <c r="DH35" s="12" t="s">
        <v>120</v>
      </c>
      <c r="DI35" s="12" t="s">
        <v>121</v>
      </c>
      <c r="DJ35" s="12" t="s">
        <v>122</v>
      </c>
      <c r="DK35" s="12" t="s">
        <v>123</v>
      </c>
      <c r="DL35" s="12" t="s">
        <v>124</v>
      </c>
      <c r="DM35" s="12" t="s">
        <v>125</v>
      </c>
      <c r="DN35" s="12" t="s">
        <v>126</v>
      </c>
      <c r="DO35" s="12" t="s">
        <v>127</v>
      </c>
      <c r="DP35" s="12" t="s">
        <v>128</v>
      </c>
      <c r="DQ35" s="12">
        <v>66</v>
      </c>
      <c r="DR35" s="12" t="s">
        <v>130</v>
      </c>
      <c r="DS35" s="12" t="s">
        <v>131</v>
      </c>
      <c r="DT35" s="12" t="s">
        <v>132</v>
      </c>
      <c r="DU35" s="12" t="s">
        <v>133</v>
      </c>
      <c r="DV35" s="12" t="s">
        <v>134</v>
      </c>
      <c r="DW35" s="12" t="s">
        <v>135</v>
      </c>
      <c r="DX35" s="12" t="s">
        <v>136</v>
      </c>
      <c r="DY35" s="12" t="s">
        <v>137</v>
      </c>
      <c r="DZ35" s="12" t="s">
        <v>138</v>
      </c>
      <c r="EA35" s="12" t="s">
        <v>139</v>
      </c>
      <c r="EB35" s="12" t="s">
        <v>140</v>
      </c>
      <c r="EC35" s="12" t="s">
        <v>141</v>
      </c>
      <c r="ED35" s="12" t="s">
        <v>142</v>
      </c>
      <c r="EE35" s="12">
        <v>55</v>
      </c>
      <c r="EF35" s="12" t="s">
        <v>144</v>
      </c>
      <c r="EG35" s="12" t="s">
        <v>145</v>
      </c>
      <c r="EH35" s="12" t="s">
        <v>146</v>
      </c>
      <c r="EI35" s="12" t="s">
        <v>147</v>
      </c>
      <c r="EJ35" s="12" t="s">
        <v>148</v>
      </c>
      <c r="EK35" s="12" t="s">
        <v>149</v>
      </c>
      <c r="EL35" s="12" t="s">
        <v>150</v>
      </c>
      <c r="EM35" s="12" t="s">
        <v>151</v>
      </c>
      <c r="EN35" s="12" t="s">
        <v>152</v>
      </c>
      <c r="EO35" s="12" t="s">
        <v>153</v>
      </c>
      <c r="EP35" s="12" t="s">
        <v>154</v>
      </c>
      <c r="EQ35" s="12" t="s">
        <v>155</v>
      </c>
      <c r="ER35" s="12" t="s">
        <v>156</v>
      </c>
      <c r="ES35" s="12">
        <v>44</v>
      </c>
      <c r="ET35" s="12" t="s">
        <v>158</v>
      </c>
      <c r="EU35" s="12" t="s">
        <v>159</v>
      </c>
      <c r="EV35" s="12" t="s">
        <v>160</v>
      </c>
      <c r="EW35" s="12" t="s">
        <v>161</v>
      </c>
      <c r="EX35" s="12" t="s">
        <v>162</v>
      </c>
      <c r="EY35" s="12" t="s">
        <v>163</v>
      </c>
      <c r="EZ35" s="12" t="s">
        <v>164</v>
      </c>
      <c r="FA35" s="12" t="s">
        <v>165</v>
      </c>
      <c r="FB35" s="12" t="s">
        <v>166</v>
      </c>
      <c r="FC35" s="12" t="s">
        <v>167</v>
      </c>
      <c r="FD35" s="12" t="s">
        <v>168</v>
      </c>
      <c r="FE35" s="12" t="s">
        <v>169</v>
      </c>
      <c r="FF35" s="12" t="s">
        <v>170</v>
      </c>
      <c r="FG35" s="12">
        <v>33</v>
      </c>
      <c r="FH35" s="12" t="s">
        <v>172</v>
      </c>
      <c r="FI35" s="12" t="s">
        <v>173</v>
      </c>
      <c r="FJ35" s="12" t="s">
        <v>174</v>
      </c>
      <c r="FK35" s="12" t="s">
        <v>175</v>
      </c>
      <c r="FL35" s="12" t="s">
        <v>176</v>
      </c>
      <c r="FM35" s="12" t="s">
        <v>177</v>
      </c>
      <c r="FN35" s="12" t="s">
        <v>178</v>
      </c>
      <c r="FO35" s="12" t="s">
        <v>179</v>
      </c>
      <c r="FP35" s="12" t="s">
        <v>180</v>
      </c>
      <c r="FQ35" s="12" t="s">
        <v>181</v>
      </c>
      <c r="FR35" s="12" t="s">
        <v>182</v>
      </c>
      <c r="FS35" s="12" t="s">
        <v>183</v>
      </c>
      <c r="FT35" s="12" t="s">
        <v>184</v>
      </c>
      <c r="FU35" s="12">
        <v>22</v>
      </c>
    </row>
    <row r="36" spans="1:178" x14ac:dyDescent="0.25">
      <c r="A36" t="str" cm="1">
        <f t="array" ref="A36:FV36">_xlfn._xlws.FILTER(Charts!$A$2:$FV$9636,(Charts!$A$2:$A$9636=PFVar!$C$2)*(Charts!$B$2:$B$9636=$A$2)*($B$2=Charts!$C$2:$C$9636)*($A$5=Charts!$D$2:$D$9636)*($B$5=Charts!$E$2:$E$9636)*($C$5=Charts!$F$2:$F$9636)*("R"=Charts!$H$2:$H$9636))</f>
        <v>Cash</v>
      </c>
      <c r="B36">
        <v>9</v>
      </c>
      <c r="C36">
        <v>100</v>
      </c>
      <c r="D36" t="str">
        <v>BT</v>
      </c>
      <c r="E36" t="str">
        <v>None</v>
      </c>
      <c r="F36" t="str">
        <v>None</v>
      </c>
      <c r="G36" t="str">
        <v>No</v>
      </c>
      <c r="H36" t="str">
        <v>R</v>
      </c>
      <c r="I36">
        <v>1</v>
      </c>
      <c r="J36">
        <v>1</v>
      </c>
      <c r="K36">
        <v>1</v>
      </c>
      <c r="L36">
        <v>1</v>
      </c>
      <c r="M36">
        <v>1</v>
      </c>
      <c r="N36">
        <v>1</v>
      </c>
      <c r="O36">
        <v>1</v>
      </c>
      <c r="P36">
        <v>1</v>
      </c>
      <c r="Q36">
        <v>1</v>
      </c>
      <c r="R36">
        <v>1</v>
      </c>
      <c r="S36">
        <v>1</v>
      </c>
      <c r="T36">
        <v>1</v>
      </c>
      <c r="U36">
        <v>1</v>
      </c>
      <c r="V36">
        <v>1</v>
      </c>
      <c r="W36">
        <v>1</v>
      </c>
      <c r="X36">
        <v>1</v>
      </c>
      <c r="Y36">
        <v>1</v>
      </c>
      <c r="Z36">
        <v>1</v>
      </c>
      <c r="AA36">
        <v>1</v>
      </c>
      <c r="AB36">
        <v>1</v>
      </c>
      <c r="AC36">
        <v>1</v>
      </c>
      <c r="AD36">
        <v>1</v>
      </c>
      <c r="AE36">
        <v>1</v>
      </c>
      <c r="AF36">
        <v>1</v>
      </c>
      <c r="AG36">
        <v>1</v>
      </c>
      <c r="AH36">
        <v>1</v>
      </c>
      <c r="AI36">
        <v>1</v>
      </c>
      <c r="AJ36">
        <v>1</v>
      </c>
      <c r="AK36">
        <v>1</v>
      </c>
      <c r="AL36">
        <v>1</v>
      </c>
      <c r="AM36">
        <v>1</v>
      </c>
      <c r="AN36">
        <v>1</v>
      </c>
      <c r="AO36">
        <v>1</v>
      </c>
      <c r="AP36">
        <v>1</v>
      </c>
      <c r="AQ36">
        <v>1</v>
      </c>
      <c r="AR36">
        <v>1</v>
      </c>
      <c r="AS36">
        <v>1</v>
      </c>
      <c r="AT36">
        <v>1</v>
      </c>
      <c r="AU36">
        <v>1</v>
      </c>
      <c r="AV36">
        <v>1</v>
      </c>
      <c r="AW36">
        <v>1</v>
      </c>
      <c r="AX36">
        <v>1</v>
      </c>
      <c r="AY36">
        <v>1</v>
      </c>
      <c r="AZ36">
        <v>1</v>
      </c>
      <c r="BA36">
        <v>1</v>
      </c>
      <c r="BB36">
        <v>1</v>
      </c>
      <c r="BC36">
        <v>1</v>
      </c>
      <c r="BD36">
        <v>1</v>
      </c>
      <c r="BE36">
        <v>0</v>
      </c>
      <c r="BF36">
        <v>0</v>
      </c>
      <c r="BG36">
        <v>0</v>
      </c>
      <c r="BH36">
        <v>0</v>
      </c>
      <c r="BI36">
        <v>1</v>
      </c>
      <c r="BJ36">
        <v>1</v>
      </c>
      <c r="BK36">
        <v>1</v>
      </c>
      <c r="BL36">
        <v>1</v>
      </c>
      <c r="BM36">
        <v>1</v>
      </c>
      <c r="BN36">
        <v>1</v>
      </c>
      <c r="BO36">
        <v>1</v>
      </c>
      <c r="BP36">
        <v>1</v>
      </c>
      <c r="BQ36">
        <v>1</v>
      </c>
      <c r="BR36">
        <v>0</v>
      </c>
      <c r="BS36">
        <v>0</v>
      </c>
      <c r="BT36">
        <v>0</v>
      </c>
      <c r="BU36">
        <v>0</v>
      </c>
      <c r="BV36">
        <v>1</v>
      </c>
      <c r="BW36">
        <v>1</v>
      </c>
      <c r="BX36">
        <v>1</v>
      </c>
      <c r="BY36">
        <v>1</v>
      </c>
      <c r="BZ36">
        <v>1</v>
      </c>
      <c r="CA36">
        <v>1</v>
      </c>
      <c r="CB36">
        <v>1</v>
      </c>
      <c r="CC36">
        <v>1</v>
      </c>
      <c r="CD36">
        <v>1</v>
      </c>
      <c r="CE36">
        <v>0</v>
      </c>
      <c r="CF36">
        <v>0</v>
      </c>
      <c r="CG36">
        <v>0</v>
      </c>
      <c r="CH36">
        <v>0</v>
      </c>
      <c r="CI36">
        <v>1</v>
      </c>
      <c r="CJ36">
        <v>1</v>
      </c>
      <c r="CK36">
        <v>1</v>
      </c>
      <c r="CL36">
        <v>1</v>
      </c>
      <c r="CM36">
        <v>1</v>
      </c>
      <c r="CN36">
        <v>1</v>
      </c>
      <c r="CO36">
        <v>1</v>
      </c>
      <c r="CP36">
        <v>1</v>
      </c>
      <c r="CQ36">
        <v>1</v>
      </c>
      <c r="CR36">
        <v>1</v>
      </c>
      <c r="CS36">
        <v>0</v>
      </c>
      <c r="CT36">
        <v>0</v>
      </c>
      <c r="CU36">
        <v>0</v>
      </c>
      <c r="CV36">
        <v>1</v>
      </c>
      <c r="CW36">
        <v>1</v>
      </c>
      <c r="CX36">
        <v>0</v>
      </c>
      <c r="CY36">
        <v>0</v>
      </c>
      <c r="CZ36">
        <v>0</v>
      </c>
      <c r="DA36">
        <v>1</v>
      </c>
      <c r="DB36">
        <v>1</v>
      </c>
      <c r="DC36">
        <v>1</v>
      </c>
      <c r="DD36">
        <v>1</v>
      </c>
      <c r="DE36">
        <v>1</v>
      </c>
      <c r="DF36">
        <v>1</v>
      </c>
      <c r="DG36">
        <v>0</v>
      </c>
      <c r="DH36">
        <v>0</v>
      </c>
      <c r="DI36">
        <v>1</v>
      </c>
      <c r="DJ36">
        <v>0</v>
      </c>
      <c r="DK36">
        <v>0</v>
      </c>
      <c r="DL36">
        <v>0</v>
      </c>
      <c r="DM36">
        <v>0</v>
      </c>
      <c r="DN36">
        <v>0</v>
      </c>
      <c r="DO36">
        <v>0</v>
      </c>
      <c r="DP36">
        <v>1</v>
      </c>
      <c r="DQ36">
        <v>1</v>
      </c>
      <c r="DR36">
        <v>1</v>
      </c>
      <c r="DS36">
        <v>1</v>
      </c>
      <c r="DT36">
        <v>0</v>
      </c>
      <c r="DU36">
        <v>0</v>
      </c>
      <c r="DV36">
        <v>1</v>
      </c>
      <c r="DW36">
        <v>0</v>
      </c>
      <c r="DX36">
        <v>0</v>
      </c>
      <c r="DY36">
        <v>0</v>
      </c>
      <c r="DZ36">
        <v>0</v>
      </c>
      <c r="EA36">
        <v>0</v>
      </c>
      <c r="EB36">
        <v>0</v>
      </c>
      <c r="EC36">
        <v>0</v>
      </c>
      <c r="ED36">
        <v>0</v>
      </c>
      <c r="EE36">
        <v>1</v>
      </c>
      <c r="EF36">
        <v>1</v>
      </c>
      <c r="EG36">
        <v>1</v>
      </c>
      <c r="EH36">
        <v>0</v>
      </c>
      <c r="EI36">
        <v>1</v>
      </c>
      <c r="EJ36">
        <v>0</v>
      </c>
      <c r="EK36">
        <v>0</v>
      </c>
      <c r="EL36">
        <v>0</v>
      </c>
      <c r="EM36">
        <v>0</v>
      </c>
      <c r="EN36">
        <v>0</v>
      </c>
      <c r="EO36">
        <v>0</v>
      </c>
      <c r="EP36">
        <v>0</v>
      </c>
      <c r="EQ36">
        <v>0</v>
      </c>
      <c r="ER36">
        <v>0</v>
      </c>
      <c r="ES36">
        <v>1</v>
      </c>
      <c r="ET36">
        <v>1</v>
      </c>
      <c r="EU36">
        <v>0</v>
      </c>
      <c r="EV36">
        <v>1</v>
      </c>
      <c r="EW36">
        <v>0</v>
      </c>
      <c r="EX36">
        <v>0</v>
      </c>
      <c r="EY36">
        <v>0</v>
      </c>
      <c r="EZ36">
        <v>0</v>
      </c>
      <c r="FA36">
        <v>0</v>
      </c>
      <c r="FB36">
        <v>0</v>
      </c>
      <c r="FC36">
        <v>0</v>
      </c>
      <c r="FD36">
        <v>0</v>
      </c>
      <c r="FE36">
        <v>0</v>
      </c>
      <c r="FF36">
        <v>0</v>
      </c>
      <c r="FG36">
        <v>1</v>
      </c>
      <c r="FH36">
        <v>1</v>
      </c>
      <c r="FI36">
        <v>1</v>
      </c>
      <c r="FJ36">
        <v>0</v>
      </c>
      <c r="FK36">
        <v>0</v>
      </c>
      <c r="FL36">
        <v>0</v>
      </c>
      <c r="FM36">
        <v>0</v>
      </c>
      <c r="FN36">
        <v>0</v>
      </c>
      <c r="FO36">
        <v>0</v>
      </c>
      <c r="FP36">
        <v>0</v>
      </c>
      <c r="FQ36">
        <v>0</v>
      </c>
      <c r="FR36">
        <v>0</v>
      </c>
      <c r="FS36">
        <v>0</v>
      </c>
      <c r="FT36">
        <v>0</v>
      </c>
      <c r="FU36">
        <v>1</v>
      </c>
      <c r="FV36">
        <v>0.5113122171945701</v>
      </c>
    </row>
    <row r="37" spans="1:178" x14ac:dyDescent="0.25">
      <c r="A37" t="e" cm="1" vm="1">
        <f t="array" ref="A37">_xlfn._xlws.FILTER(Charts!$A$2:$FV$9636,(Charts!$A$2:$A$9636=PFVar!$C$2)*(Charts!$B$2:$B$9636=$A$2)*($B$2=Charts!$C$2:$C$9636)*($A$5=Charts!$D$2:$D$9636)*($B$5=Charts!$E$2:$E$9636)*($C$5=Charts!$F$2:$F$9636)*("C"=Charts!$H$2:$H$9636))</f>
        <v>#VALUE!</v>
      </c>
    </row>
    <row r="38" spans="1:178" x14ac:dyDescent="0.25">
      <c r="A38" t="e" cm="1" vm="1">
        <f t="array" ref="A38">_xlfn._xlws.FILTER(Charts!$A$2:$FV$9636,(Charts!$A$2:$A$9636=PFVar!$C$2)*(Charts!$B$2:$B$9636=$A$2)*($B$2=Charts!$C$2:$C$9636)*($A$5=Charts!$D$2:$D$9636)*($B$5=Charts!$E$2:$E$9636)*($C$5=Charts!$F$2:$F$9636)*("F"=Charts!$H$2:$H$9636))</f>
        <v>#VALUE!</v>
      </c>
    </row>
    <row r="39" spans="1:178" x14ac:dyDescent="0.25">
      <c r="A39" t="e" cm="1" vm="1">
        <f t="array" ref="A39">_xlfn._xlws.FILTER(Charts!$A$2:$FV$9636,(Charts!$A$2:$A$9636=PFVar!$C$2)*(Charts!$B$2:$B$9636=$A$2)*($B$2=Charts!$C$2:$C$9636)*($A$5=Charts!$D$2:$D$9636)*($B$5=Charts!$E$2:$E$9636)*($C$5=Charts!$F$2:$F$9636)*("RB"=Charts!$H$2:$H$9636))</f>
        <v>#VALUE!</v>
      </c>
    </row>
    <row r="40" spans="1:178" x14ac:dyDescent="0.25">
      <c r="A40" t="e" vm="2">
        <f>A39</f>
        <v>#VALUE!</v>
      </c>
      <c r="B40">
        <f t="shared" ref="B40:G40" si="7">B39</f>
        <v>0</v>
      </c>
      <c r="C40">
        <f t="shared" si="7"/>
        <v>0</v>
      </c>
      <c r="D40">
        <f t="shared" si="7"/>
        <v>0</v>
      </c>
      <c r="E40">
        <f t="shared" si="7"/>
        <v>0</v>
      </c>
      <c r="F40">
        <f t="shared" si="7"/>
        <v>0</v>
      </c>
      <c r="G40">
        <f t="shared" si="7"/>
        <v>0</v>
      </c>
      <c r="H40" s="17" t="s">
        <v>221</v>
      </c>
      <c r="I40">
        <f>I39+I36</f>
        <v>1</v>
      </c>
      <c r="J40">
        <f t="shared" ref="J40:BU40" si="8">J39+J36</f>
        <v>1</v>
      </c>
      <c r="K40">
        <f t="shared" si="8"/>
        <v>1</v>
      </c>
      <c r="L40">
        <f t="shared" si="8"/>
        <v>1</v>
      </c>
      <c r="M40">
        <f t="shared" si="8"/>
        <v>1</v>
      </c>
      <c r="N40">
        <f t="shared" si="8"/>
        <v>1</v>
      </c>
      <c r="O40">
        <f t="shared" si="8"/>
        <v>1</v>
      </c>
      <c r="P40">
        <f t="shared" si="8"/>
        <v>1</v>
      </c>
      <c r="Q40">
        <f t="shared" si="8"/>
        <v>1</v>
      </c>
      <c r="R40">
        <f t="shared" si="8"/>
        <v>1</v>
      </c>
      <c r="S40">
        <f t="shared" si="8"/>
        <v>1</v>
      </c>
      <c r="T40">
        <f t="shared" si="8"/>
        <v>1</v>
      </c>
      <c r="U40">
        <f t="shared" si="8"/>
        <v>1</v>
      </c>
      <c r="V40">
        <f t="shared" si="8"/>
        <v>1</v>
      </c>
      <c r="W40">
        <f t="shared" si="8"/>
        <v>1</v>
      </c>
      <c r="X40">
        <f t="shared" si="8"/>
        <v>1</v>
      </c>
      <c r="Y40">
        <f t="shared" si="8"/>
        <v>1</v>
      </c>
      <c r="Z40">
        <f t="shared" si="8"/>
        <v>1</v>
      </c>
      <c r="AA40">
        <f t="shared" si="8"/>
        <v>1</v>
      </c>
      <c r="AB40">
        <f t="shared" si="8"/>
        <v>1</v>
      </c>
      <c r="AC40">
        <f t="shared" si="8"/>
        <v>1</v>
      </c>
      <c r="AD40">
        <f t="shared" si="8"/>
        <v>1</v>
      </c>
      <c r="AE40">
        <f t="shared" si="8"/>
        <v>1</v>
      </c>
      <c r="AF40">
        <f t="shared" si="8"/>
        <v>1</v>
      </c>
      <c r="AG40">
        <f t="shared" si="8"/>
        <v>1</v>
      </c>
      <c r="AH40">
        <f t="shared" si="8"/>
        <v>1</v>
      </c>
      <c r="AI40">
        <f t="shared" si="8"/>
        <v>1</v>
      </c>
      <c r="AJ40">
        <f t="shared" si="8"/>
        <v>1</v>
      </c>
      <c r="AK40">
        <f t="shared" si="8"/>
        <v>1</v>
      </c>
      <c r="AL40">
        <f t="shared" si="8"/>
        <v>1</v>
      </c>
      <c r="AM40">
        <f t="shared" si="8"/>
        <v>1</v>
      </c>
      <c r="AN40">
        <f t="shared" si="8"/>
        <v>1</v>
      </c>
      <c r="AO40">
        <f t="shared" si="8"/>
        <v>1</v>
      </c>
      <c r="AP40">
        <f t="shared" si="8"/>
        <v>1</v>
      </c>
      <c r="AQ40">
        <f t="shared" si="8"/>
        <v>1</v>
      </c>
      <c r="AR40">
        <f t="shared" si="8"/>
        <v>1</v>
      </c>
      <c r="AS40">
        <f t="shared" si="8"/>
        <v>1</v>
      </c>
      <c r="AT40">
        <f t="shared" si="8"/>
        <v>1</v>
      </c>
      <c r="AU40">
        <f t="shared" si="8"/>
        <v>1</v>
      </c>
      <c r="AV40">
        <f t="shared" si="8"/>
        <v>1</v>
      </c>
      <c r="AW40">
        <f t="shared" si="8"/>
        <v>1</v>
      </c>
      <c r="AX40">
        <f t="shared" si="8"/>
        <v>1</v>
      </c>
      <c r="AY40">
        <f t="shared" si="8"/>
        <v>1</v>
      </c>
      <c r="AZ40">
        <f t="shared" si="8"/>
        <v>1</v>
      </c>
      <c r="BA40">
        <f t="shared" si="8"/>
        <v>1</v>
      </c>
      <c r="BB40">
        <f t="shared" si="8"/>
        <v>1</v>
      </c>
      <c r="BC40">
        <f t="shared" si="8"/>
        <v>1</v>
      </c>
      <c r="BD40">
        <f t="shared" si="8"/>
        <v>1</v>
      </c>
      <c r="BE40">
        <f t="shared" si="8"/>
        <v>0</v>
      </c>
      <c r="BF40">
        <f t="shared" si="8"/>
        <v>0</v>
      </c>
      <c r="BG40">
        <f t="shared" si="8"/>
        <v>0</v>
      </c>
      <c r="BH40">
        <f t="shared" si="8"/>
        <v>0</v>
      </c>
      <c r="BI40">
        <f t="shared" si="8"/>
        <v>1</v>
      </c>
      <c r="BJ40">
        <f t="shared" si="8"/>
        <v>1</v>
      </c>
      <c r="BK40">
        <f t="shared" si="8"/>
        <v>1</v>
      </c>
      <c r="BL40">
        <f t="shared" si="8"/>
        <v>1</v>
      </c>
      <c r="BM40">
        <f t="shared" si="8"/>
        <v>1</v>
      </c>
      <c r="BN40">
        <f t="shared" si="8"/>
        <v>1</v>
      </c>
      <c r="BO40">
        <f t="shared" si="8"/>
        <v>1</v>
      </c>
      <c r="BP40">
        <f t="shared" si="8"/>
        <v>1</v>
      </c>
      <c r="BQ40">
        <f t="shared" si="8"/>
        <v>1</v>
      </c>
      <c r="BR40">
        <f t="shared" si="8"/>
        <v>0</v>
      </c>
      <c r="BS40">
        <f t="shared" si="8"/>
        <v>0</v>
      </c>
      <c r="BT40">
        <f t="shared" si="8"/>
        <v>0</v>
      </c>
      <c r="BU40">
        <f t="shared" si="8"/>
        <v>0</v>
      </c>
      <c r="BV40">
        <f t="shared" ref="BV40:EG40" si="9">BV39+BV36</f>
        <v>1</v>
      </c>
      <c r="BW40">
        <f t="shared" si="9"/>
        <v>1</v>
      </c>
      <c r="BX40">
        <f t="shared" si="9"/>
        <v>1</v>
      </c>
      <c r="BY40">
        <f t="shared" si="9"/>
        <v>1</v>
      </c>
      <c r="BZ40">
        <f t="shared" si="9"/>
        <v>1</v>
      </c>
      <c r="CA40">
        <f t="shared" si="9"/>
        <v>1</v>
      </c>
      <c r="CB40">
        <f t="shared" si="9"/>
        <v>1</v>
      </c>
      <c r="CC40">
        <f t="shared" si="9"/>
        <v>1</v>
      </c>
      <c r="CD40">
        <f t="shared" si="9"/>
        <v>1</v>
      </c>
      <c r="CE40">
        <f t="shared" si="9"/>
        <v>0</v>
      </c>
      <c r="CF40">
        <f t="shared" si="9"/>
        <v>0</v>
      </c>
      <c r="CG40">
        <f t="shared" si="9"/>
        <v>0</v>
      </c>
      <c r="CH40">
        <f t="shared" si="9"/>
        <v>0</v>
      </c>
      <c r="CI40">
        <f t="shared" si="9"/>
        <v>1</v>
      </c>
      <c r="CJ40">
        <f t="shared" si="9"/>
        <v>1</v>
      </c>
      <c r="CK40">
        <f t="shared" si="9"/>
        <v>1</v>
      </c>
      <c r="CL40">
        <f t="shared" si="9"/>
        <v>1</v>
      </c>
      <c r="CM40">
        <f t="shared" si="9"/>
        <v>1</v>
      </c>
      <c r="CN40">
        <f t="shared" si="9"/>
        <v>1</v>
      </c>
      <c r="CO40">
        <f t="shared" si="9"/>
        <v>1</v>
      </c>
      <c r="CP40">
        <f t="shared" si="9"/>
        <v>1</v>
      </c>
      <c r="CQ40">
        <f t="shared" si="9"/>
        <v>1</v>
      </c>
      <c r="CR40">
        <f t="shared" si="9"/>
        <v>1</v>
      </c>
      <c r="CS40">
        <f t="shared" si="9"/>
        <v>0</v>
      </c>
      <c r="CT40">
        <f t="shared" si="9"/>
        <v>0</v>
      </c>
      <c r="CU40">
        <f t="shared" si="9"/>
        <v>0</v>
      </c>
      <c r="CV40">
        <f t="shared" si="9"/>
        <v>1</v>
      </c>
      <c r="CW40">
        <f t="shared" si="9"/>
        <v>1</v>
      </c>
      <c r="CX40">
        <f t="shared" si="9"/>
        <v>0</v>
      </c>
      <c r="CY40">
        <f t="shared" si="9"/>
        <v>0</v>
      </c>
      <c r="CZ40">
        <f t="shared" si="9"/>
        <v>0</v>
      </c>
      <c r="DA40">
        <f t="shared" si="9"/>
        <v>1</v>
      </c>
      <c r="DB40">
        <f t="shared" si="9"/>
        <v>1</v>
      </c>
      <c r="DC40">
        <f t="shared" si="9"/>
        <v>1</v>
      </c>
      <c r="DD40">
        <f t="shared" si="9"/>
        <v>1</v>
      </c>
      <c r="DE40">
        <f t="shared" si="9"/>
        <v>1</v>
      </c>
      <c r="DF40">
        <f t="shared" si="9"/>
        <v>1</v>
      </c>
      <c r="DG40">
        <f t="shared" si="9"/>
        <v>0</v>
      </c>
      <c r="DH40">
        <f t="shared" si="9"/>
        <v>0</v>
      </c>
      <c r="DI40">
        <f t="shared" si="9"/>
        <v>1</v>
      </c>
      <c r="DJ40">
        <f t="shared" si="9"/>
        <v>0</v>
      </c>
      <c r="DK40">
        <f t="shared" si="9"/>
        <v>0</v>
      </c>
      <c r="DL40">
        <f t="shared" si="9"/>
        <v>0</v>
      </c>
      <c r="DM40">
        <f t="shared" si="9"/>
        <v>0</v>
      </c>
      <c r="DN40">
        <f t="shared" si="9"/>
        <v>0</v>
      </c>
      <c r="DO40">
        <f t="shared" si="9"/>
        <v>0</v>
      </c>
      <c r="DP40">
        <f t="shared" si="9"/>
        <v>1</v>
      </c>
      <c r="DQ40">
        <f t="shared" si="9"/>
        <v>1</v>
      </c>
      <c r="DR40">
        <f t="shared" si="9"/>
        <v>1</v>
      </c>
      <c r="DS40">
        <f t="shared" si="9"/>
        <v>1</v>
      </c>
      <c r="DT40">
        <f t="shared" si="9"/>
        <v>0</v>
      </c>
      <c r="DU40">
        <f t="shared" si="9"/>
        <v>0</v>
      </c>
      <c r="DV40">
        <f t="shared" si="9"/>
        <v>1</v>
      </c>
      <c r="DW40">
        <f t="shared" si="9"/>
        <v>0</v>
      </c>
      <c r="DX40">
        <f t="shared" si="9"/>
        <v>0</v>
      </c>
      <c r="DY40">
        <f t="shared" si="9"/>
        <v>0</v>
      </c>
      <c r="DZ40">
        <f t="shared" si="9"/>
        <v>0</v>
      </c>
      <c r="EA40">
        <f t="shared" si="9"/>
        <v>0</v>
      </c>
      <c r="EB40">
        <f t="shared" si="9"/>
        <v>0</v>
      </c>
      <c r="EC40">
        <f t="shared" si="9"/>
        <v>0</v>
      </c>
      <c r="ED40">
        <f t="shared" si="9"/>
        <v>0</v>
      </c>
      <c r="EE40">
        <f t="shared" si="9"/>
        <v>1</v>
      </c>
      <c r="EF40">
        <f t="shared" si="9"/>
        <v>1</v>
      </c>
      <c r="EG40">
        <f t="shared" si="9"/>
        <v>1</v>
      </c>
      <c r="EH40">
        <f t="shared" ref="EH40:FU40" si="10">EH39+EH36</f>
        <v>0</v>
      </c>
      <c r="EI40">
        <f t="shared" si="10"/>
        <v>1</v>
      </c>
      <c r="EJ40">
        <f t="shared" si="10"/>
        <v>0</v>
      </c>
      <c r="EK40">
        <f t="shared" si="10"/>
        <v>0</v>
      </c>
      <c r="EL40">
        <f t="shared" si="10"/>
        <v>0</v>
      </c>
      <c r="EM40">
        <f t="shared" si="10"/>
        <v>0</v>
      </c>
      <c r="EN40">
        <f t="shared" si="10"/>
        <v>0</v>
      </c>
      <c r="EO40">
        <f t="shared" si="10"/>
        <v>0</v>
      </c>
      <c r="EP40">
        <f t="shared" si="10"/>
        <v>0</v>
      </c>
      <c r="EQ40">
        <f t="shared" si="10"/>
        <v>0</v>
      </c>
      <c r="ER40">
        <f t="shared" si="10"/>
        <v>0</v>
      </c>
      <c r="ES40">
        <f t="shared" si="10"/>
        <v>1</v>
      </c>
      <c r="ET40">
        <f t="shared" si="10"/>
        <v>1</v>
      </c>
      <c r="EU40">
        <f t="shared" si="10"/>
        <v>0</v>
      </c>
      <c r="EV40">
        <f t="shared" si="10"/>
        <v>1</v>
      </c>
      <c r="EW40">
        <f t="shared" si="10"/>
        <v>0</v>
      </c>
      <c r="EX40">
        <f t="shared" si="10"/>
        <v>0</v>
      </c>
      <c r="EY40">
        <f t="shared" si="10"/>
        <v>0</v>
      </c>
      <c r="EZ40">
        <f t="shared" si="10"/>
        <v>0</v>
      </c>
      <c r="FA40">
        <f t="shared" si="10"/>
        <v>0</v>
      </c>
      <c r="FB40">
        <f t="shared" si="10"/>
        <v>0</v>
      </c>
      <c r="FC40">
        <f t="shared" si="10"/>
        <v>0</v>
      </c>
      <c r="FD40">
        <f t="shared" si="10"/>
        <v>0</v>
      </c>
      <c r="FE40">
        <f t="shared" si="10"/>
        <v>0</v>
      </c>
      <c r="FF40">
        <f t="shared" si="10"/>
        <v>0</v>
      </c>
      <c r="FG40">
        <f t="shared" si="10"/>
        <v>1</v>
      </c>
      <c r="FH40">
        <f t="shared" si="10"/>
        <v>1</v>
      </c>
      <c r="FI40">
        <f t="shared" si="10"/>
        <v>1</v>
      </c>
      <c r="FJ40">
        <f t="shared" si="10"/>
        <v>0</v>
      </c>
      <c r="FK40">
        <f t="shared" si="10"/>
        <v>0</v>
      </c>
      <c r="FL40">
        <f t="shared" si="10"/>
        <v>0</v>
      </c>
      <c r="FM40">
        <f t="shared" si="10"/>
        <v>0</v>
      </c>
      <c r="FN40">
        <f t="shared" si="10"/>
        <v>0</v>
      </c>
      <c r="FO40">
        <f t="shared" si="10"/>
        <v>0</v>
      </c>
      <c r="FP40">
        <f t="shared" si="10"/>
        <v>0</v>
      </c>
      <c r="FQ40">
        <f t="shared" si="10"/>
        <v>0</v>
      </c>
      <c r="FR40">
        <f t="shared" si="10"/>
        <v>0</v>
      </c>
      <c r="FS40">
        <f t="shared" si="10"/>
        <v>0</v>
      </c>
      <c r="FT40">
        <f t="shared" si="10"/>
        <v>0</v>
      </c>
      <c r="FU40">
        <f t="shared" si="10"/>
        <v>1</v>
      </c>
      <c r="FV40">
        <f>FV39+FV36</f>
        <v>0.5113122171945701</v>
      </c>
    </row>
    <row r="43" spans="1:178" x14ac:dyDescent="0.25">
      <c r="A43" t="e" cm="1" vm="1">
        <f t="array" ref="A43">_xlfn._xlws.FILTER(Charts!$A$2:$FV$9636,(Charts!$A$2:$A$9636=PFVar!$C$2)*(Charts!$B$2:$B$9636=$A$2)*($B$21=Charts!$C$2:$C$9636)*($A$18=Charts!$D$2:$D$9636)*($B$18=Charts!$E$2:$E$9636)*($C$5=Charts!$F$2:$F$9636)*("R"=Charts!$H$2:$H$9636))</f>
        <v>#VALUE!</v>
      </c>
    </row>
    <row r="44" spans="1:178" x14ac:dyDescent="0.25">
      <c r="A44" t="e" cm="1" vm="1">
        <f t="array" ref="A44">_xlfn._xlws.FILTER(Charts!$A$2:$FV$9636,(Charts!$A$2:$A$9636=PFVar!$C$2)*(Charts!$B$2:$B$9636=$A$2)*($B$21=Charts!$C$2:$C$9636)*($A$18=Charts!$D$2:$D$9636)*($B$18=Charts!$E$2:$E$9636)*($C$5=Charts!$F$2:$F$9636)*("C"=Charts!$H$2:$H$9636))</f>
        <v>#VALUE!</v>
      </c>
    </row>
    <row r="45" spans="1:178" x14ac:dyDescent="0.25">
      <c r="A45" t="e" cm="1" vm="1">
        <f t="array" ref="A45">_xlfn._xlws.FILTER(Charts!$A$2:$FV$9636,(Charts!$A$2:$A$9636=PFVar!$C$2)*(Charts!$B$2:$B$9636=$A$2)*($B$21=Charts!$C$2:$C$9636)*($A$18=Charts!$D$2:$D$9636)*($B$18=Charts!$E$2:$E$9636)*($C$5=Charts!$F$2:$F$9636)*("F"=Charts!$H$2:$H$9636))</f>
        <v>#VALUE!</v>
      </c>
    </row>
    <row r="46" spans="1:178" x14ac:dyDescent="0.25">
      <c r="A46" t="e" cm="1" vm="1">
        <f t="array" ref="A46">_xlfn._xlws.FILTER(Charts!$A$2:$FV$9636,(Charts!$A$2:$A$9636=PFVar!$C$2)*(Charts!$B$2:$B$9636=$A$2)*($B$21=Charts!$C$2:$C$9636)*($A$18=Charts!$D$2:$D$9636)*($B$18=Charts!$E$2:$E$9636)*($C$5=Charts!$F$2:$F$9636)*("RB"=Charts!$H$2:$H$9636))</f>
        <v>#VALUE!</v>
      </c>
    </row>
    <row r="47" spans="1:178" x14ac:dyDescent="0.25">
      <c r="A47" t="e" vm="2">
        <f>A46</f>
        <v>#VALUE!</v>
      </c>
      <c r="B47">
        <f t="shared" ref="B47" si="11">B46</f>
        <v>0</v>
      </c>
      <c r="C47">
        <f t="shared" ref="C47" si="12">C46</f>
        <v>0</v>
      </c>
      <c r="D47">
        <f t="shared" ref="D47" si="13">D46</f>
        <v>0</v>
      </c>
      <c r="E47">
        <f t="shared" ref="E47" si="14">E46</f>
        <v>0</v>
      </c>
      <c r="F47">
        <f t="shared" ref="F47" si="15">F46</f>
        <v>0</v>
      </c>
      <c r="G47">
        <f t="shared" ref="G47" si="16">G46</f>
        <v>0</v>
      </c>
      <c r="H47" s="17" t="s">
        <v>221</v>
      </c>
      <c r="I47">
        <f>I46+I43</f>
        <v>0</v>
      </c>
      <c r="J47">
        <f t="shared" ref="J47:BU47" si="17">J46+J43</f>
        <v>0</v>
      </c>
      <c r="K47">
        <f t="shared" si="17"/>
        <v>0</v>
      </c>
      <c r="L47">
        <f t="shared" si="17"/>
        <v>0</v>
      </c>
      <c r="M47">
        <f t="shared" si="17"/>
        <v>0</v>
      </c>
      <c r="N47">
        <f t="shared" si="17"/>
        <v>0</v>
      </c>
      <c r="O47">
        <f t="shared" si="17"/>
        <v>0</v>
      </c>
      <c r="P47">
        <f t="shared" si="17"/>
        <v>0</v>
      </c>
      <c r="Q47">
        <f t="shared" si="17"/>
        <v>0</v>
      </c>
      <c r="R47">
        <f t="shared" si="17"/>
        <v>0</v>
      </c>
      <c r="S47">
        <f t="shared" si="17"/>
        <v>0</v>
      </c>
      <c r="T47">
        <f t="shared" si="17"/>
        <v>0</v>
      </c>
      <c r="U47">
        <f t="shared" si="17"/>
        <v>0</v>
      </c>
      <c r="V47">
        <f t="shared" si="17"/>
        <v>0</v>
      </c>
      <c r="W47">
        <f t="shared" si="17"/>
        <v>0</v>
      </c>
      <c r="X47">
        <f t="shared" si="17"/>
        <v>0</v>
      </c>
      <c r="Y47">
        <f t="shared" si="17"/>
        <v>0</v>
      </c>
      <c r="Z47">
        <f t="shared" si="17"/>
        <v>0</v>
      </c>
      <c r="AA47">
        <f t="shared" si="17"/>
        <v>0</v>
      </c>
      <c r="AB47">
        <f t="shared" si="17"/>
        <v>0</v>
      </c>
      <c r="AC47">
        <f t="shared" si="17"/>
        <v>0</v>
      </c>
      <c r="AD47">
        <f t="shared" si="17"/>
        <v>0</v>
      </c>
      <c r="AE47">
        <f t="shared" si="17"/>
        <v>0</v>
      </c>
      <c r="AF47">
        <f t="shared" si="17"/>
        <v>0</v>
      </c>
      <c r="AG47">
        <f t="shared" si="17"/>
        <v>0</v>
      </c>
      <c r="AH47">
        <f t="shared" si="17"/>
        <v>0</v>
      </c>
      <c r="AI47">
        <f t="shared" si="17"/>
        <v>0</v>
      </c>
      <c r="AJ47">
        <f t="shared" si="17"/>
        <v>0</v>
      </c>
      <c r="AK47">
        <f t="shared" si="17"/>
        <v>0</v>
      </c>
      <c r="AL47">
        <f t="shared" si="17"/>
        <v>0</v>
      </c>
      <c r="AM47">
        <f t="shared" si="17"/>
        <v>0</v>
      </c>
      <c r="AN47">
        <f t="shared" si="17"/>
        <v>0</v>
      </c>
      <c r="AO47">
        <f t="shared" si="17"/>
        <v>0</v>
      </c>
      <c r="AP47">
        <f t="shared" si="17"/>
        <v>0</v>
      </c>
      <c r="AQ47">
        <f t="shared" si="17"/>
        <v>0</v>
      </c>
      <c r="AR47">
        <f t="shared" si="17"/>
        <v>0</v>
      </c>
      <c r="AS47">
        <f t="shared" si="17"/>
        <v>0</v>
      </c>
      <c r="AT47">
        <f t="shared" si="17"/>
        <v>0</v>
      </c>
      <c r="AU47">
        <f t="shared" si="17"/>
        <v>0</v>
      </c>
      <c r="AV47">
        <f t="shared" si="17"/>
        <v>0</v>
      </c>
      <c r="AW47">
        <f t="shared" si="17"/>
        <v>0</v>
      </c>
      <c r="AX47">
        <f t="shared" si="17"/>
        <v>0</v>
      </c>
      <c r="AY47">
        <f t="shared" si="17"/>
        <v>0</v>
      </c>
      <c r="AZ47">
        <f t="shared" si="17"/>
        <v>0</v>
      </c>
      <c r="BA47">
        <f t="shared" si="17"/>
        <v>0</v>
      </c>
      <c r="BB47">
        <f t="shared" si="17"/>
        <v>0</v>
      </c>
      <c r="BC47">
        <f t="shared" si="17"/>
        <v>0</v>
      </c>
      <c r="BD47">
        <f t="shared" si="17"/>
        <v>0</v>
      </c>
      <c r="BE47">
        <f t="shared" si="17"/>
        <v>0</v>
      </c>
      <c r="BF47">
        <f t="shared" si="17"/>
        <v>0</v>
      </c>
      <c r="BG47">
        <f t="shared" si="17"/>
        <v>0</v>
      </c>
      <c r="BH47">
        <f t="shared" si="17"/>
        <v>0</v>
      </c>
      <c r="BI47">
        <f t="shared" si="17"/>
        <v>0</v>
      </c>
      <c r="BJ47">
        <f t="shared" si="17"/>
        <v>0</v>
      </c>
      <c r="BK47">
        <f t="shared" si="17"/>
        <v>0</v>
      </c>
      <c r="BL47">
        <f t="shared" si="17"/>
        <v>0</v>
      </c>
      <c r="BM47">
        <f t="shared" si="17"/>
        <v>0</v>
      </c>
      <c r="BN47">
        <f t="shared" si="17"/>
        <v>0</v>
      </c>
      <c r="BO47">
        <f t="shared" si="17"/>
        <v>0</v>
      </c>
      <c r="BP47">
        <f t="shared" si="17"/>
        <v>0</v>
      </c>
      <c r="BQ47">
        <f t="shared" si="17"/>
        <v>0</v>
      </c>
      <c r="BR47">
        <f t="shared" si="17"/>
        <v>0</v>
      </c>
      <c r="BS47">
        <f t="shared" si="17"/>
        <v>0</v>
      </c>
      <c r="BT47">
        <f t="shared" si="17"/>
        <v>0</v>
      </c>
      <c r="BU47">
        <f t="shared" si="17"/>
        <v>0</v>
      </c>
      <c r="BV47">
        <f t="shared" ref="BV47:EG47" si="18">BV46+BV43</f>
        <v>0</v>
      </c>
      <c r="BW47">
        <f t="shared" si="18"/>
        <v>0</v>
      </c>
      <c r="BX47">
        <f t="shared" si="18"/>
        <v>0</v>
      </c>
      <c r="BY47">
        <f t="shared" si="18"/>
        <v>0</v>
      </c>
      <c r="BZ47">
        <f t="shared" si="18"/>
        <v>0</v>
      </c>
      <c r="CA47">
        <f t="shared" si="18"/>
        <v>0</v>
      </c>
      <c r="CB47">
        <f t="shared" si="18"/>
        <v>0</v>
      </c>
      <c r="CC47">
        <f t="shared" si="18"/>
        <v>0</v>
      </c>
      <c r="CD47">
        <f t="shared" si="18"/>
        <v>0</v>
      </c>
      <c r="CE47">
        <f t="shared" si="18"/>
        <v>0</v>
      </c>
      <c r="CF47">
        <f t="shared" si="18"/>
        <v>0</v>
      </c>
      <c r="CG47">
        <f t="shared" si="18"/>
        <v>0</v>
      </c>
      <c r="CH47">
        <f t="shared" si="18"/>
        <v>0</v>
      </c>
      <c r="CI47">
        <f t="shared" si="18"/>
        <v>0</v>
      </c>
      <c r="CJ47">
        <f t="shared" si="18"/>
        <v>0</v>
      </c>
      <c r="CK47">
        <f t="shared" si="18"/>
        <v>0</v>
      </c>
      <c r="CL47">
        <f t="shared" si="18"/>
        <v>0</v>
      </c>
      <c r="CM47">
        <f t="shared" si="18"/>
        <v>0</v>
      </c>
      <c r="CN47">
        <f t="shared" si="18"/>
        <v>0</v>
      </c>
      <c r="CO47">
        <f t="shared" si="18"/>
        <v>0</v>
      </c>
      <c r="CP47">
        <f t="shared" si="18"/>
        <v>0</v>
      </c>
      <c r="CQ47">
        <f t="shared" si="18"/>
        <v>0</v>
      </c>
      <c r="CR47">
        <f t="shared" si="18"/>
        <v>0</v>
      </c>
      <c r="CS47">
        <f t="shared" si="18"/>
        <v>0</v>
      </c>
      <c r="CT47">
        <f t="shared" si="18"/>
        <v>0</v>
      </c>
      <c r="CU47">
        <f t="shared" si="18"/>
        <v>0</v>
      </c>
      <c r="CV47">
        <f t="shared" si="18"/>
        <v>0</v>
      </c>
      <c r="CW47">
        <f t="shared" si="18"/>
        <v>0</v>
      </c>
      <c r="CX47">
        <f t="shared" si="18"/>
        <v>0</v>
      </c>
      <c r="CY47">
        <f t="shared" si="18"/>
        <v>0</v>
      </c>
      <c r="CZ47">
        <f t="shared" si="18"/>
        <v>0</v>
      </c>
      <c r="DA47">
        <f t="shared" si="18"/>
        <v>0</v>
      </c>
      <c r="DB47">
        <f t="shared" si="18"/>
        <v>0</v>
      </c>
      <c r="DC47">
        <f t="shared" si="18"/>
        <v>0</v>
      </c>
      <c r="DD47">
        <f t="shared" si="18"/>
        <v>0</v>
      </c>
      <c r="DE47">
        <f t="shared" si="18"/>
        <v>0</v>
      </c>
      <c r="DF47">
        <f t="shared" si="18"/>
        <v>0</v>
      </c>
      <c r="DG47">
        <f t="shared" si="18"/>
        <v>0</v>
      </c>
      <c r="DH47">
        <f t="shared" si="18"/>
        <v>0</v>
      </c>
      <c r="DI47">
        <f t="shared" si="18"/>
        <v>0</v>
      </c>
      <c r="DJ47">
        <f t="shared" si="18"/>
        <v>0</v>
      </c>
      <c r="DK47">
        <f t="shared" si="18"/>
        <v>0</v>
      </c>
      <c r="DL47">
        <f t="shared" si="18"/>
        <v>0</v>
      </c>
      <c r="DM47">
        <f t="shared" si="18"/>
        <v>0</v>
      </c>
      <c r="DN47">
        <f t="shared" si="18"/>
        <v>0</v>
      </c>
      <c r="DO47">
        <f t="shared" si="18"/>
        <v>0</v>
      </c>
      <c r="DP47">
        <f t="shared" si="18"/>
        <v>0</v>
      </c>
      <c r="DQ47">
        <f t="shared" si="18"/>
        <v>0</v>
      </c>
      <c r="DR47">
        <f t="shared" si="18"/>
        <v>0</v>
      </c>
      <c r="DS47">
        <f t="shared" si="18"/>
        <v>0</v>
      </c>
      <c r="DT47">
        <f t="shared" si="18"/>
        <v>0</v>
      </c>
      <c r="DU47">
        <f t="shared" si="18"/>
        <v>0</v>
      </c>
      <c r="DV47">
        <f t="shared" si="18"/>
        <v>0</v>
      </c>
      <c r="DW47">
        <f t="shared" si="18"/>
        <v>0</v>
      </c>
      <c r="DX47">
        <f t="shared" si="18"/>
        <v>0</v>
      </c>
      <c r="DY47">
        <f t="shared" si="18"/>
        <v>0</v>
      </c>
      <c r="DZ47">
        <f t="shared" si="18"/>
        <v>0</v>
      </c>
      <c r="EA47">
        <f t="shared" si="18"/>
        <v>0</v>
      </c>
      <c r="EB47">
        <f t="shared" si="18"/>
        <v>0</v>
      </c>
      <c r="EC47">
        <f t="shared" si="18"/>
        <v>0</v>
      </c>
      <c r="ED47">
        <f t="shared" si="18"/>
        <v>0</v>
      </c>
      <c r="EE47">
        <f t="shared" si="18"/>
        <v>0</v>
      </c>
      <c r="EF47">
        <f t="shared" si="18"/>
        <v>0</v>
      </c>
      <c r="EG47">
        <f t="shared" si="18"/>
        <v>0</v>
      </c>
      <c r="EH47">
        <f t="shared" ref="EH47:FU47" si="19">EH46+EH43</f>
        <v>0</v>
      </c>
      <c r="EI47">
        <f t="shared" si="19"/>
        <v>0</v>
      </c>
      <c r="EJ47">
        <f t="shared" si="19"/>
        <v>0</v>
      </c>
      <c r="EK47">
        <f t="shared" si="19"/>
        <v>0</v>
      </c>
      <c r="EL47">
        <f t="shared" si="19"/>
        <v>0</v>
      </c>
      <c r="EM47">
        <f t="shared" si="19"/>
        <v>0</v>
      </c>
      <c r="EN47">
        <f t="shared" si="19"/>
        <v>0</v>
      </c>
      <c r="EO47">
        <f t="shared" si="19"/>
        <v>0</v>
      </c>
      <c r="EP47">
        <f t="shared" si="19"/>
        <v>0</v>
      </c>
      <c r="EQ47">
        <f t="shared" si="19"/>
        <v>0</v>
      </c>
      <c r="ER47">
        <f t="shared" si="19"/>
        <v>0</v>
      </c>
      <c r="ES47">
        <f t="shared" si="19"/>
        <v>0</v>
      </c>
      <c r="ET47">
        <f t="shared" si="19"/>
        <v>0</v>
      </c>
      <c r="EU47">
        <f t="shared" si="19"/>
        <v>0</v>
      </c>
      <c r="EV47">
        <f t="shared" si="19"/>
        <v>0</v>
      </c>
      <c r="EW47">
        <f t="shared" si="19"/>
        <v>0</v>
      </c>
      <c r="EX47">
        <f t="shared" si="19"/>
        <v>0</v>
      </c>
      <c r="EY47">
        <f t="shared" si="19"/>
        <v>0</v>
      </c>
      <c r="EZ47">
        <f t="shared" si="19"/>
        <v>0</v>
      </c>
      <c r="FA47">
        <f t="shared" si="19"/>
        <v>0</v>
      </c>
      <c r="FB47">
        <f t="shared" si="19"/>
        <v>0</v>
      </c>
      <c r="FC47">
        <f t="shared" si="19"/>
        <v>0</v>
      </c>
      <c r="FD47">
        <f t="shared" si="19"/>
        <v>0</v>
      </c>
      <c r="FE47">
        <f t="shared" si="19"/>
        <v>0</v>
      </c>
      <c r="FF47">
        <f t="shared" si="19"/>
        <v>0</v>
      </c>
      <c r="FG47">
        <f t="shared" si="19"/>
        <v>0</v>
      </c>
      <c r="FH47">
        <f t="shared" si="19"/>
        <v>0</v>
      </c>
      <c r="FI47">
        <f t="shared" si="19"/>
        <v>0</v>
      </c>
      <c r="FJ47">
        <f t="shared" si="19"/>
        <v>0</v>
      </c>
      <c r="FK47">
        <f t="shared" si="19"/>
        <v>0</v>
      </c>
      <c r="FL47">
        <f t="shared" si="19"/>
        <v>0</v>
      </c>
      <c r="FM47">
        <f t="shared" si="19"/>
        <v>0</v>
      </c>
      <c r="FN47">
        <f t="shared" si="19"/>
        <v>0</v>
      </c>
      <c r="FO47">
        <f t="shared" si="19"/>
        <v>0</v>
      </c>
      <c r="FP47">
        <f t="shared" si="19"/>
        <v>0</v>
      </c>
      <c r="FQ47">
        <f t="shared" si="19"/>
        <v>0</v>
      </c>
      <c r="FR47">
        <f t="shared" si="19"/>
        <v>0</v>
      </c>
      <c r="FS47">
        <f t="shared" si="19"/>
        <v>0</v>
      </c>
      <c r="FT47">
        <f t="shared" si="19"/>
        <v>0</v>
      </c>
      <c r="FU47">
        <f t="shared" si="19"/>
        <v>0</v>
      </c>
      <c r="FV47">
        <f>FV46+FV43</f>
        <v>0</v>
      </c>
    </row>
  </sheetData>
  <conditionalFormatting sqref="J25">
    <cfRule type="expression" dxfId="5" priority="1">
      <formula>$B$4&lt;9</formula>
    </cfRule>
  </conditionalFormatting>
  <conditionalFormatting sqref="S25">
    <cfRule type="expression" dxfId="4" priority="2">
      <formula>$B$4&lt;9</formula>
    </cfRule>
  </conditionalFormatting>
  <conditionalFormatting sqref="J25:K25 R25">
    <cfRule type="expression" dxfId="3" priority="3">
      <formula>J$18=$B$13</formula>
    </cfRule>
  </conditionalFormatting>
  <conditionalFormatting sqref="S25:AA25">
    <cfRule type="expression" dxfId="2" priority="4">
      <formula>J$18=$B$13</formula>
    </cfRule>
  </conditionalFormatting>
  <conditionalFormatting sqref="L25:O25">
    <cfRule type="expression" dxfId="1" priority="873">
      <formula>M$18=$B$13</formula>
    </cfRule>
  </conditionalFormatting>
  <conditionalFormatting sqref="P25:Q25">
    <cfRule type="expression" dxfId="0" priority="927">
      <formula>AJ$17=$B$13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Intro</vt:lpstr>
      <vt:lpstr>Interface</vt:lpstr>
      <vt:lpstr>Charts</vt:lpstr>
      <vt:lpstr>Chart Staging</vt:lpstr>
      <vt:lpstr>PFVar</vt:lpstr>
      <vt:lpstr>betTrackRange</vt:lpstr>
      <vt:lpstr>currentPos</vt:lpstr>
      <vt:lpstr>currentPosition</vt:lpstr>
      <vt:lpstr>oppBLinds</vt:lpstr>
      <vt:lpstr>oppPos</vt:lpstr>
      <vt:lpstr>playerCount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Bruinsma, Nick</dc:creator>
  <cp:lastModifiedBy>Nick Bruinsma</cp:lastModifiedBy>
  <dcterms:created xsi:type="dcterms:W3CDTF">2025-06-23T15:51:40Z</dcterms:created>
  <dcterms:modified xsi:type="dcterms:W3CDTF">2026-05-01T17:29:43Z</dcterms:modified>
</cp:coreProperties>
</file>